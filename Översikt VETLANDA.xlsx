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45688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45688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45688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45688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45688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45688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45688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45688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45688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45688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45688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45688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45688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45688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45688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45688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45688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45688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45688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45688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45688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45688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45688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45688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45688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45688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45688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45688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45688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45688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45688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45688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45688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45688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45688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45688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45688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45688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45688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45688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45688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45688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45688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45688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45688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45688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45688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45688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45688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45688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45688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45688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45688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45688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45688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45688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45688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45688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45688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45688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45688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45688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45688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45688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45688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45688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45688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45688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45688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45688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45688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45688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45688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45688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45688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45688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45688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45688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45688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45688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45688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45688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45688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45688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45688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45688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45688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45688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45688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45688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45688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45688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45688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45688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45688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45688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45688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45688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45688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45688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45688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45688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45688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45688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45688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45688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45688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45688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45688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45688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45688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45688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45688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45688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45688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45688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45688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45688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45688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45688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45688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45688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45688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45688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45688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45688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45688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45688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45688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45688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45688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45688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45688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45688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45688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45688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45688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45688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45688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45688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45688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45688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45688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45688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45688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45688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45688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45688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45688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45688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45688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45688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45688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45688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45688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45688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45688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45688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45688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45688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45688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45688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45688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45688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45688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45688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45688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45688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45688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45688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45688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45688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45688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45688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45688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45688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45688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45688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45688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45688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45688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45688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45688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45688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45688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45688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45688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45688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45688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45688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45688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45688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45688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45688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45688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45688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45688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45688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45688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45688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45688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45688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45688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45688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45688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45688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45688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45688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45688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45688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45688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45688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45688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45688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45688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45688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45688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45688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45688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45688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45688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45688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45688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45688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45688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45688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45688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45688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45688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45688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45688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45688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45688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45688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45688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45688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45688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45688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45688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45688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45688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45688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45688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45688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45688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45688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45688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45688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45688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45688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45688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45688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45688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45688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45688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45688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45688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45688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45688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45688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45688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45688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45688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45688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45688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45688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45688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45688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45688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45688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45688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45688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45688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45688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45688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45688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45688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45688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45688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45688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45688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45688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45688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45688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45688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45688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45688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45688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45688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45688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45688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45688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45688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45688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45688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45688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45688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45688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45688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45688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45688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45688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45688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45688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45688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45688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45688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45688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45688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45688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45688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45688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45688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45688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45688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45688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45688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45688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45688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45688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45688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45688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45688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45688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45688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45688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45688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45688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45688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45688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45688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45688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45688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45688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45688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45688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45688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45688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45688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45688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45688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45688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45688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45688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45688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45688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45688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45688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45688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45688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45688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45688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45688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45688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45688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45688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45688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45688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45688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45688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45688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45688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45688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45688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45688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45688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45688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45688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45688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45688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45688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45688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45688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45688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45688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45688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45688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45688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45688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45688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45688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45688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45688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45688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45688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45688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45688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45688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45688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45688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45688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45688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45688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45688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45688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45688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45688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45688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45688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45688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45688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45688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45688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45688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45688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45688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45688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45688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45688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45688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45688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45688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45688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45688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45688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45688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45688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45688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45688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45688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45688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45688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45688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45688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45688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45688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45688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45688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45688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45688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45688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45688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45688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45688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45688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45688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45688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45688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45688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45688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45688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45688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45688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45688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45688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45688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45688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45688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45688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45688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45688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45688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45688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45688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45688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45688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45688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45688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45688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45688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45688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45688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45688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45688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45688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45688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45688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45688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45688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45688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45688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45688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45688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45688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45688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45688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45688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45688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45688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45688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45688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45688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45688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45688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45688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45688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45688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45688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45688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45688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45688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45688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45688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45688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45688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45688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45688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45688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45688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45688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45688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45688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45688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45688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45688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45688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45688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45688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45688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45688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45688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45688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45688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45688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45688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45688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45688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45688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45688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45688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45688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45688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45688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45688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45688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45688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45688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45688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45688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45688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45688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45688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45688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45688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45688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45688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45688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45688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45688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45688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45688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45688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45688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45688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45688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45688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45688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45688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45688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45688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45688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45688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45688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45688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45688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45688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45688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45688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45688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45688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45688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45688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45688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45688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45688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45688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45688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45688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45688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45688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45688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45688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45688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45688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45688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45688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45688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45688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45688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45688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45688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45688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45688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45688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45688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45688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45688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45688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45688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45688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45688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45688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45688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45688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45688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45688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45688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45688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45688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45688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45688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45688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45688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45688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45688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45688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45688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45688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45688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45688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45688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45688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45688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45688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45688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45688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45688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45688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45688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45688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45688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45688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45688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45688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45688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45688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45688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45688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45688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45688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45688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45688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45688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45688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45688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45688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45688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45688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45688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45688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45688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45688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45688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45688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45688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45688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45688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45688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45688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45688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45688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45688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45688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45688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45688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45688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45688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45688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45688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45688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45688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45688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45688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45688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45688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45688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45688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45688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45688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45688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45688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45688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45688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45688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45688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45688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45688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45688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45688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45688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45688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45688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45688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45688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45688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45688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45688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45688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45688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45688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45688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45688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45688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45688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45688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45688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45688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45688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45688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45688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45688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45688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45688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45688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45688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45688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45688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45688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45688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45688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45688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45688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45688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45688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45688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45688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45688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45688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45688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45688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45688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45688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45688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45688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45688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45688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45688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45688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45688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45688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45688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45688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45688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45688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45688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45688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45688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45688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45688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45688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45688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45688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45688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45688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45688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45688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45688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45688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45688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45688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45688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45688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45688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45688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45688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45688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45688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45688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45688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45688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45688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45688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45688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45688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45688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45688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45688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45688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45688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45688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45688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45688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45688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45688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45688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45688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45688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45688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45688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45688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45688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45688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45688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45688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45688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45688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45688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45688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45688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45688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45688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45688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45688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45688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45688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45688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45688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45688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45688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45688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45688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45688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45688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45688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45688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45688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45688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45688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45688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45688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45688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45688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45688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45688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45688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45688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45688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45688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45688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45688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45688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45688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45688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45688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45688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45688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45688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45688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45688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45688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45688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45688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45688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45688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45688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45688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45688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45688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45688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45688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45688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45688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45688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45688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45688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45688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45688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45688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45688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45688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45688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45688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45688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45688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45688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45688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45688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45688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45688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45688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45688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45688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45688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45688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45688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45688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45688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45688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45688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45688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45688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45688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45688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45688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45688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45688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45688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45688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45688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45688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45688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45688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45688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45688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45688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45688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45688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45688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45688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45688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45688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45688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45688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45688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45688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45688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45688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45688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45688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45688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45688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45688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45688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45688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45688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45688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45688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45688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45688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45688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45688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45688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45688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45688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45688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45688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45688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45688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45688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45688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45688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45688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45688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45688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45688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45688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45688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45688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45688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45688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45688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45688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45688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45688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45688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45688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45688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45688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45688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45688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45688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45688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45688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45688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45688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45688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45688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45688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45688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45688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45688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45688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45688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45688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45688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45688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45688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45688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45688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45688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45688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45688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45688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45688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45688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45688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45688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45688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45688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45688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45688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45688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45688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45688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45688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45688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45688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45688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45688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45688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45688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45688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45688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45688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45688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45688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45688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45688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45688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45688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45688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45688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45688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45688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45688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45688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45688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45688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45688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45688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45688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45688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45688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45688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45688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45688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45688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45688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45688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45688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45688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45688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45688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45688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45688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45688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45688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45688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45688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45688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45688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45688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45688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45688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45688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45688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45688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45688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45688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45688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45688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45688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45688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45688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45688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45688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45688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45688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45688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45688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45688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45688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45688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45688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45688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45688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45688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45688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45688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45688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45688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45688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45688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45688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45688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45688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45688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45688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45688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45688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45688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45688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45688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45688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45688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45688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45688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45688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45688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45688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45688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45688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45688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45688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45688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45688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45688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45688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45688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45688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45688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45688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45688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45688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45688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45688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45688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45688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45688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45688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45688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45688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45688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45688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45688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45688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45688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45688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45688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45688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45688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45688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45688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45688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45688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45688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45688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45688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45688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45688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45688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45688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45688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45688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45688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45688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45688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45688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45688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45688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45688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45688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45688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45688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45688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45688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45688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45688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45688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45688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45688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45688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45688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45688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45688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45688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45688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45688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45688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45688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45688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45688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45688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45688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45688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45688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45688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45688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45688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45688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45688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45688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45688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45688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45688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45688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45688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45688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45688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45688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45688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45688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45688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45688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45688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45688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45688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45688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45688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45688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45688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45688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45688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45688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45688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45688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45688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45688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45688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45688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45688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45688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45688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45688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45688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45688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45688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45688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45688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45688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45688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45688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45688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45688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45688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45688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45688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45688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45688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45688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45688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45688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45688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45688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45688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45688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45688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45688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45688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45688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45688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45688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45688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45688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45688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45688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45688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45688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45688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45688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45688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45688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45688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45688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45688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45688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45688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45688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45688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45688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45688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45688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45688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45688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45688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45688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45688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45688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45688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45688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45688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45688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45688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45688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45688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45688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45688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45688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45688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45688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45688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45688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45688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45688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45688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45688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45688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45688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45688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45688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45688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45688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45688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45688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45688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45688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45688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45688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45688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45688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45688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45688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45688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45688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45688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45688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45688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45688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45688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45688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45688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45688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45688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45688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45688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45688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45688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45688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45688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45688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45688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45688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45688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45688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45688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45688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45688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45688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45688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45688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45688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45688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45688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45688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45688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45688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45688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45688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45688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45688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45688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45688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45688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45688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45688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45688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45688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45688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45688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45688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45688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45688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45688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45688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45688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45688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45688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45688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45688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45688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45688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45688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45688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45688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45688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45688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45688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45688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45688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45688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45688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45688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45688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45688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45688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45688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45688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45688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45688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45688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45688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45688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45688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45688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45688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45688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45688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45688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45688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45688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45688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45688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45688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45688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45688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45688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45688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45688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45688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45688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45688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45688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45688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45688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45688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45688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45688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45688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45688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45688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45688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45688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45688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45688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45688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45688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45688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45688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45688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45688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45688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45688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45688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45688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45688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45688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45688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45688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45688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45688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45688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45688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45688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45688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45688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45688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45688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45688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45688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45688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45688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45688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45688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45688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45688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45688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45688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45688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45688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45688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45688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45688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45688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45688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45688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45688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45688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45688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45688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45688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45688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45688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45688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45688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45688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45688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45688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45688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45688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45688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45688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45688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45688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45688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45688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45688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45688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45688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45688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45688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45688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45688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45688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45688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45688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45688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45688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45688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45688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45688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45688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45688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45688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45688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45688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45688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45688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45688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45688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45688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45688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45688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45688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45688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45688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45688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45688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45688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45688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45688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45688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45688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45688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45688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45688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45688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45688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45688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45688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45688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45688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45688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45688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45688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45688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45688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45688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45688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45688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45688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45688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45688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45688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45688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45688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45688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45688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45688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45688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45688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45688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45688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45688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45688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45688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45688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45688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45688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45688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45688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45688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45688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45688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45688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45688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45688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45688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45688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45688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45688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45688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45688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45688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45688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45688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45688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45688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45688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45688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45688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45688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45688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45688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45688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45688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45688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45688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45688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45688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45688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45688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45688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45688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45688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45688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45688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45688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45688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45688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45688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45688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45688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45688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45688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45688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45688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45688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45688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45688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45688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45688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45688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45688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45688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45688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45688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45688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45688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45688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45688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45688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45688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45688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45688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45688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45688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45688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45688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45688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45688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45688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45688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45688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45688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45688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45688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45688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45688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45688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45688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45688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45688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45688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45688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45688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45688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45688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45688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45688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45688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45688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45688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45688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45688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45688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45688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45688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45688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45688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45688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45688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45688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45688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45688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45688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45688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45688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45688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45688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45688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45688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45688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45688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45688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45688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45688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45688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45688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45688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45688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45688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45688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45688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45688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45688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45688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45688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45688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45688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45688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45688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45688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45688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45688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45688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45688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45688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45688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45688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45688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45688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45688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45688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45688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45688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45688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45688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45688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45688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45688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45688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45688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45688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45688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45688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45688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45688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45688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45688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45688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45688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45688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45688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45688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45688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45688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45688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45688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45688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45688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45688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45688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45688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45688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45688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45688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45688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45688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45688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45688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45688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45688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45688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45688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45688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45688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45688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45688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45688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45688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45688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45688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45688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45688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45688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45688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45688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45688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45688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45688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45688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45688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45688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45688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45688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45688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45688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45688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45688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45688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45688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45688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45688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45688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45688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45688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45688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45688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45688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45688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45688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45688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45688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45688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45688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45688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45688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45688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45688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45688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45688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45688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45688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45688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45688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45688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45688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45688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45688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45688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45688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45688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45688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45688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45688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45688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45688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45688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45688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45688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45688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45688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45688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45688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45688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45688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45688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45688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45688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45688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45688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45688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45688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45688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45688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45688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45688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45688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45688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45688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45688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45688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45688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45688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45688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45688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45688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45688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45688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45688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45688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45688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45688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45688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45688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45688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45688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45688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45688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45688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45688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45688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45688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45688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45688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45688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45688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45688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45688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45688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45688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45688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45688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45688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45688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45688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45688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45688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45688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45688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45688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45688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45688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45688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45688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45688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45688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45688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45688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45688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45688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45688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45688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45688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45688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45688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45688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45688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45688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45688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45688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45688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45688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45688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45688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45688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45688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45688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45688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45688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45688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45688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45688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45688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45688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45688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45688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45688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45688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45688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45688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45688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45688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45688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45688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45688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45688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45688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45688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45688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45688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45688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45688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45688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45688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45688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45688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45688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45688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45688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45688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45688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45688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45688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45688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45688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45688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45688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45688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45688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45688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45688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45688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45688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45688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45688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45688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45688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45688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45688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45688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45688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45688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45688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45688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45688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45688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45688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45688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45688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45688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45688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45688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45688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45688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45688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45688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45688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45688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45688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45688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45688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45688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45688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45688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45688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45688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45688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45688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45688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45688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45688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45688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45688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45688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45688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45688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45688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45688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45688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45688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45688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45688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45688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45688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45688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45688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45688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45688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45688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45688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45688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45688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45688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45688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45688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45688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45688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45688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45688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45688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45688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45688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45688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45688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45688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45688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45688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45688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45688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45688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45688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45688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45688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45688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45688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45688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45688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45688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45688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45688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45688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45688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45688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45688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45688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45688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45688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45688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45688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45688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45688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45688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45688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45688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45688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45688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45688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45688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45688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45688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45688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45688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45688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45688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45688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45688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45688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45688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45688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45688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45688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45688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45688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45688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45688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45688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45688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45688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45688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45688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45688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45688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45688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45688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45688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45688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45688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45688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45688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45688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45688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45688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45688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45688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45688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45688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45688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45688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45688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45688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45688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45688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45688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45688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45688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45688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45688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45688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45688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45688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45688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45688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45688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45688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45688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45688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45688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45688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45688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45688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45688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45688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45688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45688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45688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45688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45688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45688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45688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45688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45688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45688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45688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45688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45688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45688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45688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45688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45688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45688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45688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45688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45688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45688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45688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45688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45688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45688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45688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45688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45688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45688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45688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45688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45688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45688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45688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45688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45688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45688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45688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45688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45688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45688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45688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45688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45688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45688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45688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45688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45688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45688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45688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45688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45688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45688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45688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45688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45688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45688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45688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45688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45688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45688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45688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45688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45688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45688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45688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45688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45688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45688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45688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45688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45688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45688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45688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45688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45688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45688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45688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45688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45688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45688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45688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45688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45688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45688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45688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45688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45688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45688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45688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45688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45688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45688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45688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45688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45688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639-2025</t>
        </is>
      </c>
      <c r="B2172" s="1" t="n">
        <v>45660</v>
      </c>
      <c r="C2172" s="1" t="n">
        <v>45688</v>
      </c>
      <c r="D2172" t="inlineStr">
        <is>
          <t>JÖNKÖPINGS LÄN</t>
        </is>
      </c>
      <c r="E2172" t="inlineStr">
        <is>
          <t>VETLANDA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632-2025</t>
        </is>
      </c>
      <c r="B2173" s="1" t="n">
        <v>45660</v>
      </c>
      <c r="C2173" s="1" t="n">
        <v>45688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329-2025</t>
        </is>
      </c>
      <c r="B2174" s="1" t="n">
        <v>45660</v>
      </c>
      <c r="C2174" s="1" t="n">
        <v>45688</v>
      </c>
      <c r="D2174" t="inlineStr">
        <is>
          <t>JÖNKÖPINGS LÄN</t>
        </is>
      </c>
      <c r="E2174" t="inlineStr">
        <is>
          <t>VETLANDA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606-2025</t>
        </is>
      </c>
      <c r="B2175" s="1" t="n">
        <v>45660</v>
      </c>
      <c r="C2175" s="1" t="n">
        <v>45688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637-2025</t>
        </is>
      </c>
      <c r="B2176" s="1" t="n">
        <v>45660</v>
      </c>
      <c r="C2176" s="1" t="n">
        <v>45688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45688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45688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45688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45688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45688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45688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45688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45688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45688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45688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45688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1840-2025</t>
        </is>
      </c>
      <c r="B2188" s="1" t="n">
        <v>45671</v>
      </c>
      <c r="C2188" s="1" t="n">
        <v>45688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1950-2025</t>
        </is>
      </c>
      <c r="B2189" s="1" t="n">
        <v>45672</v>
      </c>
      <c r="C2189" s="1" t="n">
        <v>45688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1947-2025</t>
        </is>
      </c>
      <c r="B2190" s="1" t="n">
        <v>45672</v>
      </c>
      <c r="C2190" s="1" t="n">
        <v>45688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45688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45688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1953-2025</t>
        </is>
      </c>
      <c r="B2193" s="1" t="n">
        <v>45672</v>
      </c>
      <c r="C2193" s="1" t="n">
        <v>45688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HYPERLINK("https://klasma.github.io/Logging_0685/knärot/A 1953-2025 karta knärot.png", "A 1953-2025")</f>
        <v/>
      </c>
      <c r="V2193">
        <f>HYPERLINK("https://klasma.github.io/Logging_0685/klagomål/A 1953-2025 FSC-klagomål.docx", "A 1953-2025")</f>
        <v/>
      </c>
      <c r="W2193">
        <f>HYPERLINK("https://klasma.github.io/Logging_0685/klagomålsmail/A 1953-2025 FSC-klagomål mail.docx", "A 1953-2025")</f>
        <v/>
      </c>
      <c r="X2193">
        <f>HYPERLINK("https://klasma.github.io/Logging_0685/tillsyn/A 1953-2025 tillsynsbegäran.docx", "A 1953-2025")</f>
        <v/>
      </c>
      <c r="Y2193">
        <f>HYPERLINK("https://klasma.github.io/Logging_0685/tillsynsmail/A 1953-2025 tillsynsbegäran mail.docx", "A 1953-2025")</f>
        <v/>
      </c>
    </row>
    <row r="2194" ht="15" customHeight="1">
      <c r="A2194" t="inlineStr">
        <is>
          <t>A 1960-2025</t>
        </is>
      </c>
      <c r="B2194" s="1" t="n">
        <v>45672</v>
      </c>
      <c r="C2194" s="1" t="n">
        <v>45688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45688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2205-2025</t>
        </is>
      </c>
      <c r="B2196" s="1" t="n">
        <v>45673</v>
      </c>
      <c r="C2196" s="1" t="n">
        <v>45688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2370-2025</t>
        </is>
      </c>
      <c r="B2197" s="1" t="n">
        <v>45673</v>
      </c>
      <c r="C2197" s="1" t="n">
        <v>45688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45688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2369-2025</t>
        </is>
      </c>
      <c r="B2199" s="1" t="n">
        <v>45673</v>
      </c>
      <c r="C2199" s="1" t="n">
        <v>45688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45688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2459-2025</t>
        </is>
      </c>
      <c r="B2201" s="1" t="n">
        <v>45674</v>
      </c>
      <c r="C2201" s="1" t="n">
        <v>45688</v>
      </c>
      <c r="D2201" t="inlineStr">
        <is>
          <t>JÖNKÖPINGS LÄN</t>
        </is>
      </c>
      <c r="E2201" t="inlineStr">
        <is>
          <t>VETLANDA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2497-2025</t>
        </is>
      </c>
      <c r="B2202" s="1" t="n">
        <v>45674</v>
      </c>
      <c r="C2202" s="1" t="n">
        <v>45688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45688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45688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2810-2025</t>
        </is>
      </c>
      <c r="B2205" s="1" t="n">
        <v>45677</v>
      </c>
      <c r="C2205" s="1" t="n">
        <v>45688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2812-2025</t>
        </is>
      </c>
      <c r="B2206" s="1" t="n">
        <v>45677</v>
      </c>
      <c r="C2206" s="1" t="n">
        <v>45688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45688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45688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45688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45688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3683-2025</t>
        </is>
      </c>
      <c r="B2211" s="1" t="n">
        <v>45681</v>
      </c>
      <c r="C2211" s="1" t="n">
        <v>45688</v>
      </c>
      <c r="D2211" t="inlineStr">
        <is>
          <t>JÖNKÖPINGS LÄN</t>
        </is>
      </c>
      <c r="E2211" t="inlineStr">
        <is>
          <t>VETLANDA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3621-2025</t>
        </is>
      </c>
      <c r="B2212" s="1" t="n">
        <v>45681</v>
      </c>
      <c r="C2212" s="1" t="n">
        <v>45688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45688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3633-2025</t>
        </is>
      </c>
      <c r="B2214" s="1" t="n">
        <v>45681</v>
      </c>
      <c r="C2214" s="1" t="n">
        <v>45688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3811-2025</t>
        </is>
      </c>
      <c r="B2215" s="1" t="n">
        <v>45681</v>
      </c>
      <c r="C2215" s="1" t="n">
        <v>45688</v>
      </c>
      <c r="D2215" t="inlineStr">
        <is>
          <t>JÖNKÖPINGS LÄN</t>
        </is>
      </c>
      <c r="E2215" t="inlineStr">
        <is>
          <t>VETLANDA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3854-2025</t>
        </is>
      </c>
      <c r="B2216" s="1" t="n">
        <v>45684</v>
      </c>
      <c r="C2216" s="1" t="n">
        <v>45688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4064-2025</t>
        </is>
      </c>
      <c r="B2217" s="1" t="n">
        <v>45684</v>
      </c>
      <c r="C2217" s="1" t="n">
        <v>45688</v>
      </c>
      <c r="D2217" t="inlineStr">
        <is>
          <t>JÖNKÖPINGS LÄN</t>
        </is>
      </c>
      <c r="E2217" t="inlineStr">
        <is>
          <t>VETLANDA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4068-2025</t>
        </is>
      </c>
      <c r="B2218" s="1" t="n">
        <v>45684</v>
      </c>
      <c r="C2218" s="1" t="n">
        <v>45688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4061-2025</t>
        </is>
      </c>
      <c r="B2219" s="1" t="n">
        <v>45684</v>
      </c>
      <c r="C2219" s="1" t="n">
        <v>45688</v>
      </c>
      <c r="D2219" t="inlineStr">
        <is>
          <t>JÖNKÖPINGS LÄN</t>
        </is>
      </c>
      <c r="E2219" t="inlineStr">
        <is>
          <t>VETLANDA</t>
        </is>
      </c>
      <c r="F2219" t="inlineStr">
        <is>
          <t>Sveaskog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4066-2025</t>
        </is>
      </c>
      <c r="B2220" s="1" t="n">
        <v>45684</v>
      </c>
      <c r="C2220" s="1" t="n">
        <v>45688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>
      <c r="A2221" t="inlineStr">
        <is>
          <t>A 4070-2025</t>
        </is>
      </c>
      <c r="B2221" s="1" t="n">
        <v>45684</v>
      </c>
      <c r="C2221" s="1" t="n">
        <v>45688</v>
      </c>
      <c r="D2221" t="inlineStr">
        <is>
          <t>JÖNKÖPINGS LÄN</t>
        </is>
      </c>
      <c r="E2221" t="inlineStr">
        <is>
          <t>VETLANDA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2025-01-31T22:01:48Z</dcterms:created>
  <dcterms:modified xmlns:dcterms="http://purl.org/dc/terms/" xmlns:xsi="http://www.w3.org/2001/XMLSchema-instance" xsi:type="dcterms:W3CDTF">2025-01-31T22:01:50Z</dcterms:modified>
</cp:coreProperties>
</file>