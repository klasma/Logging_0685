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45704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45704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45704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45704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45704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45704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45704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47248-2019</t>
        </is>
      </c>
      <c r="B24" s="1" t="n">
        <v>43721</v>
      </c>
      <c r="C24" s="1" t="n">
        <v>45704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Grönpyrola</t>
        </is>
      </c>
      <c r="S24">
        <f>HYPERLINK("https://klasma.github.io/Logging_0685/artfynd/A 47248-2019 artfynd.xlsx", "A 47248-2019")</f>
        <v/>
      </c>
      <c r="T24">
        <f>HYPERLINK("https://klasma.github.io/Logging_0685/kartor/A 47248-2019 karta.png", "A 47248-2019")</f>
        <v/>
      </c>
      <c r="U24">
        <f>HYPERLINK("https://klasma.github.io/Logging_0685/knärot/A 47248-2019 karta knärot.png", "A 47248-2019")</f>
        <v/>
      </c>
      <c r="V24">
        <f>HYPERLINK("https://klasma.github.io/Logging_0685/klagomål/A 47248-2019 FSC-klagomål.docx", "A 47248-2019")</f>
        <v/>
      </c>
      <c r="W24">
        <f>HYPERLINK("https://klasma.github.io/Logging_0685/klagomålsmail/A 47248-2019 FSC-klagomål mail.docx", "A 47248-2019")</f>
        <v/>
      </c>
      <c r="X24">
        <f>HYPERLINK("https://klasma.github.io/Logging_0685/tillsyn/A 47248-2019 tillsynsbegäran.docx", "A 47248-2019")</f>
        <v/>
      </c>
      <c r="Y24">
        <f>HYPERLINK("https://klasma.github.io/Logging_0685/tillsynsmail/A 47248-2019 tillsynsbegäran mail.docx", "A 47248-2019")</f>
        <v/>
      </c>
      <c r="Z24">
        <f>HYPERLINK("https://klasma.github.io/Logging_0685/fåglar/A 47248-2019 prioriterade fågelarter.docx", "A 47248-2019")</f>
        <v/>
      </c>
    </row>
    <row r="25" ht="15" customHeight="1">
      <c r="A25" t="inlineStr">
        <is>
          <t>A 47975-2019</t>
        </is>
      </c>
      <c r="B25" s="1" t="n">
        <v>43725</v>
      </c>
      <c r="C25" s="1" t="n">
        <v>45704</v>
      </c>
      <c r="D25" t="inlineStr">
        <is>
          <t>JÖNKÖPINGS LÄN</t>
        </is>
      </c>
      <c r="E25" t="inlineStr">
        <is>
          <t>VETLANDA</t>
        </is>
      </c>
      <c r="G25" t="n">
        <v>2.7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Underviol
Blåsippa</t>
        </is>
      </c>
      <c r="S25">
        <f>HYPERLINK("https://klasma.github.io/Logging_0685/artfynd/A 47975-2019 artfynd.xlsx", "A 47975-2019")</f>
        <v/>
      </c>
      <c r="T25">
        <f>HYPERLINK("https://klasma.github.io/Logging_0685/kartor/A 47975-2019 karta.png", "A 47975-2019")</f>
        <v/>
      </c>
      <c r="V25">
        <f>HYPERLINK("https://klasma.github.io/Logging_0685/klagomål/A 47975-2019 FSC-klagomål.docx", "A 47975-2019")</f>
        <v/>
      </c>
      <c r="W25">
        <f>HYPERLINK("https://klasma.github.io/Logging_0685/klagomålsmail/A 47975-2019 FSC-klagomål mail.docx", "A 47975-2019")</f>
        <v/>
      </c>
      <c r="X25">
        <f>HYPERLINK("https://klasma.github.io/Logging_0685/tillsyn/A 47975-2019 tillsynsbegäran.docx", "A 47975-2019")</f>
        <v/>
      </c>
      <c r="Y25">
        <f>HYPERLINK("https://klasma.github.io/Logging_0685/tillsynsmail/A 47975-2019 tillsynsbegäran mail.docx", "A 47975-2019")</f>
        <v/>
      </c>
    </row>
    <row r="26" ht="15" customHeight="1">
      <c r="A26" t="inlineStr">
        <is>
          <t>A 33152-2021</t>
        </is>
      </c>
      <c r="B26" s="1" t="n">
        <v>44376</v>
      </c>
      <c r="C26" s="1" t="n">
        <v>45704</v>
      </c>
      <c r="D26" t="inlineStr">
        <is>
          <t>JÖNKÖPINGS LÄN</t>
        </is>
      </c>
      <c r="E26" t="inlineStr">
        <is>
          <t>VETLANDA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Blåmossa
Grönpyrola</t>
        </is>
      </c>
      <c r="S26">
        <f>HYPERLINK("https://klasma.github.io/Logging_0685/artfynd/A 33152-2021 artfynd.xlsx", "A 33152-2021")</f>
        <v/>
      </c>
      <c r="T26">
        <f>HYPERLINK("https://klasma.github.io/Logging_0685/kartor/A 33152-2021 karta.png", "A 33152-2021")</f>
        <v/>
      </c>
      <c r="V26">
        <f>HYPERLINK("https://klasma.github.io/Logging_0685/klagomål/A 33152-2021 FSC-klagomål.docx", "A 33152-2021")</f>
        <v/>
      </c>
      <c r="W26">
        <f>HYPERLINK("https://klasma.github.io/Logging_0685/klagomålsmail/A 33152-2021 FSC-klagomål mail.docx", "A 33152-2021")</f>
        <v/>
      </c>
      <c r="X26">
        <f>HYPERLINK("https://klasma.github.io/Logging_0685/tillsyn/A 33152-2021 tillsynsbegäran.docx", "A 33152-2021")</f>
        <v/>
      </c>
      <c r="Y26">
        <f>HYPERLINK("https://klasma.github.io/Logging_0685/tillsynsmail/A 33152-2021 tillsynsbegäran mail.docx", "A 33152-2021")</f>
        <v/>
      </c>
    </row>
    <row r="27" ht="15" customHeight="1">
      <c r="A27" t="inlineStr">
        <is>
          <t>A 64029-2021</t>
        </is>
      </c>
      <c r="B27" s="1" t="n">
        <v>44509</v>
      </c>
      <c r="C27" s="1" t="n">
        <v>45704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Blåsippa</t>
        </is>
      </c>
      <c r="S27">
        <f>HYPERLINK("https://klasma.github.io/Logging_0685/artfynd/A 64029-2021 artfynd.xlsx", "A 64029-2021")</f>
        <v/>
      </c>
      <c r="T27">
        <f>HYPERLINK("https://klasma.github.io/Logging_0685/kartor/A 64029-2021 karta.png", "A 64029-2021")</f>
        <v/>
      </c>
      <c r="U27">
        <f>HYPERLINK("https://klasma.github.io/Logging_0685/knärot/A 64029-2021 karta knärot.png", "A 64029-2021")</f>
        <v/>
      </c>
      <c r="V27">
        <f>HYPERLINK("https://klasma.github.io/Logging_0685/klagomål/A 64029-2021 FSC-klagomål.docx", "A 64029-2021")</f>
        <v/>
      </c>
      <c r="W27">
        <f>HYPERLINK("https://klasma.github.io/Logging_0685/klagomålsmail/A 64029-2021 FSC-klagomål mail.docx", "A 64029-2021")</f>
        <v/>
      </c>
      <c r="X27">
        <f>HYPERLINK("https://klasma.github.io/Logging_0685/tillsyn/A 64029-2021 tillsynsbegäran.docx", "A 64029-2021")</f>
        <v/>
      </c>
      <c r="Y27">
        <f>HYPERLINK("https://klasma.github.io/Logging_0685/tillsynsmail/A 64029-2021 tillsynsbegäran mail.docx", "A 64029-2021")</f>
        <v/>
      </c>
    </row>
    <row r="28" ht="15" customHeight="1">
      <c r="A28" t="inlineStr">
        <is>
          <t>A 72401-2021</t>
        </is>
      </c>
      <c r="B28" s="1" t="n">
        <v>44545</v>
      </c>
      <c r="C28" s="1" t="n">
        <v>45704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Större brunfladdermus</t>
        </is>
      </c>
      <c r="S28">
        <f>HYPERLINK("https://klasma.github.io/Logging_0685/artfynd/A 72401-2021 artfynd.xlsx", "A 72401-2021")</f>
        <v/>
      </c>
      <c r="T28">
        <f>HYPERLINK("https://klasma.github.io/Logging_0685/kartor/A 72401-2021 karta.png", "A 72401-2021")</f>
        <v/>
      </c>
      <c r="V28">
        <f>HYPERLINK("https://klasma.github.io/Logging_0685/klagomål/A 72401-2021 FSC-klagomål.docx", "A 72401-2021")</f>
        <v/>
      </c>
      <c r="W28">
        <f>HYPERLINK("https://klasma.github.io/Logging_0685/klagomålsmail/A 72401-2021 FSC-klagomål mail.docx", "A 72401-2021")</f>
        <v/>
      </c>
      <c r="X28">
        <f>HYPERLINK("https://klasma.github.io/Logging_0685/tillsyn/A 72401-2021 tillsynsbegäran.docx", "A 72401-2021")</f>
        <v/>
      </c>
      <c r="Y28">
        <f>HYPERLINK("https://klasma.github.io/Logging_0685/tillsynsmail/A 72401-2021 tillsynsbegäran mail.docx", "A 72401-2021")</f>
        <v/>
      </c>
    </row>
    <row r="29" ht="15" customHeight="1">
      <c r="A29" t="inlineStr">
        <is>
          <t>A 39819-2022</t>
        </is>
      </c>
      <c r="B29" s="1" t="n">
        <v>44819</v>
      </c>
      <c r="C29" s="1" t="n">
        <v>45704</v>
      </c>
      <c r="D29" t="inlineStr">
        <is>
          <t>JÖNKÖPINGS LÄN</t>
        </is>
      </c>
      <c r="E29" t="inlineStr">
        <is>
          <t>VETLANDA</t>
        </is>
      </c>
      <c r="F29" t="inlineStr">
        <is>
          <t>Övriga Aktiebolag</t>
        </is>
      </c>
      <c r="G29" t="n">
        <v>6.5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Slåttergubbe
Slåtterfibbla
Trådkällmossa</t>
        </is>
      </c>
      <c r="S29">
        <f>HYPERLINK("https://klasma.github.io/Logging_0685/artfynd/A 39819-2022 artfynd.xlsx", "A 39819-2022")</f>
        <v/>
      </c>
      <c r="T29">
        <f>HYPERLINK("https://klasma.github.io/Logging_0685/kartor/A 39819-2022 karta.png", "A 39819-2022")</f>
        <v/>
      </c>
      <c r="V29">
        <f>HYPERLINK("https://klasma.github.io/Logging_0685/klagomål/A 39819-2022 FSC-klagomål.docx", "A 39819-2022")</f>
        <v/>
      </c>
      <c r="W29">
        <f>HYPERLINK("https://klasma.github.io/Logging_0685/klagomålsmail/A 39819-2022 FSC-klagomål mail.docx", "A 39819-2022")</f>
        <v/>
      </c>
      <c r="X29">
        <f>HYPERLINK("https://klasma.github.io/Logging_0685/tillsyn/A 39819-2022 tillsynsbegäran.docx", "A 39819-2022")</f>
        <v/>
      </c>
      <c r="Y29">
        <f>HYPERLINK("https://klasma.github.io/Logging_0685/tillsynsmail/A 39819-2022 tillsynsbegäran mail.docx", "A 39819-2022")</f>
        <v/>
      </c>
    </row>
    <row r="30" ht="15" customHeight="1">
      <c r="A30" t="inlineStr">
        <is>
          <t>A 55943-2022</t>
        </is>
      </c>
      <c r="B30" s="1" t="n">
        <v>44889</v>
      </c>
      <c r="C30" s="1" t="n">
        <v>45704</v>
      </c>
      <c r="D30" t="inlineStr">
        <is>
          <t>JÖNKÖPINGS LÄN</t>
        </is>
      </c>
      <c r="E30" t="inlineStr">
        <is>
          <t>VETLANDA</t>
        </is>
      </c>
      <c r="G30" t="n">
        <v>10.8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Grovticka
Blåsippa</t>
        </is>
      </c>
      <c r="S30">
        <f>HYPERLINK("https://klasma.github.io/Logging_0685/artfynd/A 55943-2022 artfynd.xlsx", "A 55943-2022")</f>
        <v/>
      </c>
      <c r="T30">
        <f>HYPERLINK("https://klasma.github.io/Logging_0685/kartor/A 55943-2022 karta.png", "A 55943-2022")</f>
        <v/>
      </c>
      <c r="U30">
        <f>HYPERLINK("https://klasma.github.io/Logging_0685/knärot/A 55943-2022 karta knärot.png", "A 55943-2022")</f>
        <v/>
      </c>
      <c r="V30">
        <f>HYPERLINK("https://klasma.github.io/Logging_0685/klagomål/A 55943-2022 FSC-klagomål.docx", "A 55943-2022")</f>
        <v/>
      </c>
      <c r="W30">
        <f>HYPERLINK("https://klasma.github.io/Logging_0685/klagomålsmail/A 55943-2022 FSC-klagomål mail.docx", "A 55943-2022")</f>
        <v/>
      </c>
      <c r="X30">
        <f>HYPERLINK("https://klasma.github.io/Logging_0685/tillsyn/A 55943-2022 tillsynsbegäran.docx", "A 55943-2022")</f>
        <v/>
      </c>
      <c r="Y30">
        <f>HYPERLINK("https://klasma.github.io/Logging_0685/tillsynsmail/A 55943-2022 tillsynsbegäran mail.docx", "A 55943-2022")</f>
        <v/>
      </c>
    </row>
    <row r="31" ht="15" customHeight="1">
      <c r="A31" t="inlineStr">
        <is>
          <t>A 58768-2022</t>
        </is>
      </c>
      <c r="B31" s="1" t="n">
        <v>44903</v>
      </c>
      <c r="C31" s="1" t="n">
        <v>45704</v>
      </c>
      <c r="D31" t="inlineStr">
        <is>
          <t>JÖNKÖPINGS LÄN</t>
        </is>
      </c>
      <c r="E31" t="inlineStr">
        <is>
          <t>VETLANDA</t>
        </is>
      </c>
      <c r="G31" t="n">
        <v>4.2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Fjällig taggsvamp s.str.
Svavelriska</t>
        </is>
      </c>
      <c r="S31">
        <f>HYPERLINK("https://klasma.github.io/Logging_0685/artfynd/A 58768-2022 artfynd.xlsx", "A 58768-2022")</f>
        <v/>
      </c>
      <c r="T31">
        <f>HYPERLINK("https://klasma.github.io/Logging_0685/kartor/A 58768-2022 karta.png", "A 58768-2022")</f>
        <v/>
      </c>
      <c r="V31">
        <f>HYPERLINK("https://klasma.github.io/Logging_0685/klagomål/A 58768-2022 FSC-klagomål.docx", "A 58768-2022")</f>
        <v/>
      </c>
      <c r="W31">
        <f>HYPERLINK("https://klasma.github.io/Logging_0685/klagomålsmail/A 58768-2022 FSC-klagomål mail.docx", "A 58768-2022")</f>
        <v/>
      </c>
      <c r="X31">
        <f>HYPERLINK("https://klasma.github.io/Logging_0685/tillsyn/A 58768-2022 tillsynsbegäran.docx", "A 58768-2022")</f>
        <v/>
      </c>
      <c r="Y31">
        <f>HYPERLINK("https://klasma.github.io/Logging_0685/tillsynsmail/A 58768-2022 tillsynsbegäran mail.docx", "A 58768-2022")</f>
        <v/>
      </c>
    </row>
    <row r="32" ht="15" customHeight="1">
      <c r="A32" t="inlineStr">
        <is>
          <t>A 21328-2024</t>
        </is>
      </c>
      <c r="B32" s="1" t="n">
        <v>45440</v>
      </c>
      <c r="C32" s="1" t="n">
        <v>45704</v>
      </c>
      <c r="D32" t="inlineStr">
        <is>
          <t>JÖNKÖPINGS LÄN</t>
        </is>
      </c>
      <c r="E32" t="inlineStr">
        <is>
          <t>VETLANDA</t>
        </is>
      </c>
      <c r="G32" t="n">
        <v>1.4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Strutbräken
Stubbspretmossa
Västlig hakmossa</t>
        </is>
      </c>
      <c r="S32">
        <f>HYPERLINK("https://klasma.github.io/Logging_0685/artfynd/A 21328-2024 artfynd.xlsx", "A 21328-2024")</f>
        <v/>
      </c>
      <c r="T32">
        <f>HYPERLINK("https://klasma.github.io/Logging_0685/kartor/A 21328-2024 karta.png", "A 21328-2024")</f>
        <v/>
      </c>
      <c r="V32">
        <f>HYPERLINK("https://klasma.github.io/Logging_0685/klagomål/A 21328-2024 FSC-klagomål.docx", "A 21328-2024")</f>
        <v/>
      </c>
      <c r="W32">
        <f>HYPERLINK("https://klasma.github.io/Logging_0685/klagomålsmail/A 21328-2024 FSC-klagomål mail.docx", "A 21328-2024")</f>
        <v/>
      </c>
      <c r="X32">
        <f>HYPERLINK("https://klasma.github.io/Logging_0685/tillsyn/A 21328-2024 tillsynsbegäran.docx", "A 21328-2024")</f>
        <v/>
      </c>
      <c r="Y32">
        <f>HYPERLINK("https://klasma.github.io/Logging_0685/tillsynsmail/A 21328-2024 tillsynsbegäran mail.docx", "A 21328-2024")</f>
        <v/>
      </c>
    </row>
    <row r="33" ht="15" customHeight="1">
      <c r="A33" t="inlineStr">
        <is>
          <t>A 46781-2024</t>
        </is>
      </c>
      <c r="B33" s="1" t="n">
        <v>45583</v>
      </c>
      <c r="C33" s="1" t="n">
        <v>45704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Nordfladdermus
Vattenfladdermus</t>
        </is>
      </c>
      <c r="S33">
        <f>HYPERLINK("https://klasma.github.io/Logging_0685/artfynd/A 46781-2024 artfynd.xlsx", "A 46781-2024")</f>
        <v/>
      </c>
      <c r="T33">
        <f>HYPERLINK("https://klasma.github.io/Logging_0685/kartor/A 46781-2024 karta.png", "A 46781-2024")</f>
        <v/>
      </c>
      <c r="V33">
        <f>HYPERLINK("https://klasma.github.io/Logging_0685/klagomål/A 46781-2024 FSC-klagomål.docx", "A 46781-2024")</f>
        <v/>
      </c>
      <c r="W33">
        <f>HYPERLINK("https://klasma.github.io/Logging_0685/klagomålsmail/A 46781-2024 FSC-klagomål mail.docx", "A 46781-2024")</f>
        <v/>
      </c>
      <c r="X33">
        <f>HYPERLINK("https://klasma.github.io/Logging_0685/tillsyn/A 46781-2024 tillsynsbegäran.docx", "A 46781-2024")</f>
        <v/>
      </c>
      <c r="Y33">
        <f>HYPERLINK("https://klasma.github.io/Logging_0685/tillsynsmail/A 46781-2024 tillsynsbegäran mail.docx", "A 46781-2024")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45704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45704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45704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45704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45704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45704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45704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45704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45704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45704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45704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45704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45704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45704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45704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45704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45704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45704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45704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45704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45704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45704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45704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45704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45704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45704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45704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45704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45704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45704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45704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45704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45704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45704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45704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45704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45704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45704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32870-2020</t>
        </is>
      </c>
      <c r="B72" s="1" t="n">
        <v>44018</v>
      </c>
      <c r="C72" s="1" t="n">
        <v>45704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32870-2020 artfynd.xlsx", "A 32870-2020")</f>
        <v/>
      </c>
      <c r="T72">
        <f>HYPERLINK("https://klasma.github.io/Logging_0685/kartor/A 32870-2020 karta.png", "A 32870-2020")</f>
        <v/>
      </c>
      <c r="U72">
        <f>HYPERLINK("https://klasma.github.io/Logging_0685/knärot/A 32870-2020 karta knärot.png", "A 32870-2020")</f>
        <v/>
      </c>
      <c r="V72">
        <f>HYPERLINK("https://klasma.github.io/Logging_0685/klagomål/A 32870-2020 FSC-klagomål.docx", "A 32870-2020")</f>
        <v/>
      </c>
      <c r="W72">
        <f>HYPERLINK("https://klasma.github.io/Logging_0685/klagomålsmail/A 32870-2020 FSC-klagomål mail.docx", "A 32870-2020")</f>
        <v/>
      </c>
      <c r="X72">
        <f>HYPERLINK("https://klasma.github.io/Logging_0685/tillsyn/A 32870-2020 tillsynsbegäran.docx", "A 32870-2020")</f>
        <v/>
      </c>
      <c r="Y72">
        <f>HYPERLINK("https://klasma.github.io/Logging_0685/tillsynsmail/A 32870-2020 tillsynsbegäran mail.docx", "A 32870-2020")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45704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45704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45704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45704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45704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45704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45704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45704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45704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45704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45704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45704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45704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45704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45704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45704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45704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45704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45704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45704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45704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45704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45704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45704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45704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45704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45704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45704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45704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45704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45704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45704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45704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45704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45704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45704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45704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3135-2024</t>
        </is>
      </c>
      <c r="B110" s="1" t="n">
        <v>45316</v>
      </c>
      <c r="C110" s="1" t="n">
        <v>45704</v>
      </c>
      <c r="D110" t="inlineStr">
        <is>
          <t>JÖNKÖPINGS LÄN</t>
        </is>
      </c>
      <c r="E110" t="inlineStr">
        <is>
          <t>VETLANDA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Backsippa</t>
        </is>
      </c>
      <c r="S110">
        <f>HYPERLINK("https://klasma.github.io/Logging_0685/artfynd/A 3135-2024 artfynd.xlsx", "A 3135-2024")</f>
        <v/>
      </c>
      <c r="T110">
        <f>HYPERLINK("https://klasma.github.io/Logging_0685/kartor/A 3135-2024 karta.png", "A 3135-2024")</f>
        <v/>
      </c>
      <c r="V110">
        <f>HYPERLINK("https://klasma.github.io/Logging_0685/klagomål/A 3135-2024 FSC-klagomål.docx", "A 3135-2024")</f>
        <v/>
      </c>
      <c r="W110">
        <f>HYPERLINK("https://klasma.github.io/Logging_0685/klagomålsmail/A 3135-2024 FSC-klagomål mail.docx", "A 3135-2024")</f>
        <v/>
      </c>
      <c r="X110">
        <f>HYPERLINK("https://klasma.github.io/Logging_0685/tillsyn/A 3135-2024 tillsynsbegäran.docx", "A 3135-2024")</f>
        <v/>
      </c>
      <c r="Y110">
        <f>HYPERLINK("https://klasma.github.io/Logging_0685/tillsynsmail/A 3135-2024 tillsynsbegäran mail.docx", "A 3135-2024")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45704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8677-2024</t>
        </is>
      </c>
      <c r="B112" s="1" t="n">
        <v>45352</v>
      </c>
      <c r="C112" s="1" t="n">
        <v>45704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8677-2024 artfynd.xlsx", "A 8677-2024")</f>
        <v/>
      </c>
      <c r="T112">
        <f>HYPERLINK("https://klasma.github.io/Logging_0685/kartor/A 8677-2024 karta.png", "A 8677-2024")</f>
        <v/>
      </c>
      <c r="V112">
        <f>HYPERLINK("https://klasma.github.io/Logging_0685/klagomål/A 8677-2024 FSC-klagomål.docx", "A 8677-2024")</f>
        <v/>
      </c>
      <c r="W112">
        <f>HYPERLINK("https://klasma.github.io/Logging_0685/klagomålsmail/A 8677-2024 FSC-klagomål mail.docx", "A 8677-2024")</f>
        <v/>
      </c>
      <c r="X112">
        <f>HYPERLINK("https://klasma.github.io/Logging_0685/tillsyn/A 8677-2024 tillsynsbegäran.docx", "A 8677-2024")</f>
        <v/>
      </c>
      <c r="Y112">
        <f>HYPERLINK("https://klasma.github.io/Logging_0685/tillsynsmail/A 8677-2024 tillsynsbegäran mail.docx", "A 8677-2024")</f>
        <v/>
      </c>
    </row>
    <row r="113" ht="15" customHeight="1">
      <c r="A113" t="inlineStr">
        <is>
          <t>A 8976-2024</t>
        </is>
      </c>
      <c r="B113" s="1" t="n">
        <v>45357</v>
      </c>
      <c r="C113" s="1" t="n">
        <v>45704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HYPERLINK("https://klasma.github.io/Logging_0685/artfynd/A 8976-2024 artfynd.xlsx", "A 8976-2024")</f>
        <v/>
      </c>
      <c r="T113">
        <f>HYPERLINK("https://klasma.github.io/Logging_0685/kartor/A 8976-2024 karta.png", "A 8976-2024")</f>
        <v/>
      </c>
      <c r="V113">
        <f>HYPERLINK("https://klasma.github.io/Logging_0685/klagomål/A 8976-2024 FSC-klagomål.docx", "A 8976-2024")</f>
        <v/>
      </c>
      <c r="W113">
        <f>HYPERLINK("https://klasma.github.io/Logging_0685/klagomålsmail/A 8976-2024 FSC-klagomål mail.docx", "A 8976-2024")</f>
        <v/>
      </c>
      <c r="X113">
        <f>HYPERLINK("https://klasma.github.io/Logging_0685/tillsyn/A 8976-2024 tillsynsbegäran.docx", "A 8976-2024")</f>
        <v/>
      </c>
      <c r="Y113">
        <f>HYPERLINK("https://klasma.github.io/Logging_0685/tillsynsmail/A 8976-2024 tillsynsbegäran mail.docx", "A 8976-2024")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45704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45704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45704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45704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45704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45704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45704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45704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45704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45704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45704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45979-2024</t>
        </is>
      </c>
      <c r="B125" s="1" t="n">
        <v>45580</v>
      </c>
      <c r="C125" s="1" t="n">
        <v>45704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45979-2024 artfynd.xlsx", "A 45979-2024")</f>
        <v/>
      </c>
      <c r="T125">
        <f>HYPERLINK("https://klasma.github.io/Logging_0685/kartor/A 45979-2024 karta.png", "A 45979-2024")</f>
        <v/>
      </c>
      <c r="V125">
        <f>HYPERLINK("https://klasma.github.io/Logging_0685/klagomål/A 45979-2024 FSC-klagomål.docx", "A 45979-2024")</f>
        <v/>
      </c>
      <c r="W125">
        <f>HYPERLINK("https://klasma.github.io/Logging_0685/klagomålsmail/A 45979-2024 FSC-klagomål mail.docx", "A 45979-2024")</f>
        <v/>
      </c>
      <c r="X125">
        <f>HYPERLINK("https://klasma.github.io/Logging_0685/tillsyn/A 45979-2024 tillsynsbegäran.docx", "A 45979-2024")</f>
        <v/>
      </c>
      <c r="Y125">
        <f>HYPERLINK("https://klasma.github.io/Logging_0685/tillsynsmail/A 45979-2024 tillsynsbegäran mail.docx", "A 45979-2024")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45704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45704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45704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2586-2025</t>
        </is>
      </c>
      <c r="B129" s="1" t="n">
        <v>45674</v>
      </c>
      <c r="C129" s="1" t="n">
        <v>45704</v>
      </c>
      <c r="D129" t="inlineStr">
        <is>
          <t>JÖNKÖPINGS LÄN</t>
        </is>
      </c>
      <c r="E129" t="inlineStr">
        <is>
          <t>VETLANDA</t>
        </is>
      </c>
      <c r="G129" t="n">
        <v>1.5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Korallrot</t>
        </is>
      </c>
      <c r="S129">
        <f>HYPERLINK("https://klasma.github.io/Logging_0685/artfynd/A 2586-2025 artfynd.xlsx", "A 2586-2025")</f>
        <v/>
      </c>
      <c r="T129">
        <f>HYPERLINK("https://klasma.github.io/Logging_0685/kartor/A 2586-2025 karta.png", "A 2586-2025")</f>
        <v/>
      </c>
      <c r="V129">
        <f>HYPERLINK("https://klasma.github.io/Logging_0685/klagomål/A 2586-2025 FSC-klagomål.docx", "A 2586-2025")</f>
        <v/>
      </c>
      <c r="W129">
        <f>HYPERLINK("https://klasma.github.io/Logging_0685/klagomålsmail/A 2586-2025 FSC-klagomål mail.docx", "A 2586-2025")</f>
        <v/>
      </c>
      <c r="X129">
        <f>HYPERLINK("https://klasma.github.io/Logging_0685/tillsyn/A 2586-2025 tillsynsbegäran.docx", "A 2586-2025")</f>
        <v/>
      </c>
      <c r="Y129">
        <f>HYPERLINK("https://klasma.github.io/Logging_0685/tillsynsmail/A 2586-2025 tillsynsbegäran mail.docx", "A 2586-2025")</f>
        <v/>
      </c>
    </row>
    <row r="130" ht="15" customHeight="1">
      <c r="A130" t="inlineStr">
        <is>
          <t>A 18559-2019</t>
        </is>
      </c>
      <c r="B130" s="1" t="n">
        <v>43559</v>
      </c>
      <c r="C130" s="1" t="n">
        <v>45704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18733-2019</t>
        </is>
      </c>
      <c r="B131" s="1" t="n">
        <v>43560</v>
      </c>
      <c r="C131" s="1" t="n">
        <v>45704</v>
      </c>
      <c r="D131" t="inlineStr">
        <is>
          <t>JÖNKÖPINGS LÄN</t>
        </is>
      </c>
      <c r="E131" t="inlineStr">
        <is>
          <t>VETLANDA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19600-2019</t>
        </is>
      </c>
      <c r="B132" s="1" t="n">
        <v>43566</v>
      </c>
      <c r="C132" s="1" t="n">
        <v>45704</v>
      </c>
      <c r="D132" t="inlineStr">
        <is>
          <t>JÖNKÖPINGS LÄN</t>
        </is>
      </c>
      <c r="E132" t="inlineStr">
        <is>
          <t>VETLANDA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19605-2019</t>
        </is>
      </c>
      <c r="B133" s="1" t="n">
        <v>43566</v>
      </c>
      <c r="C133" s="1" t="n">
        <v>45704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19911-2019</t>
        </is>
      </c>
      <c r="B134" s="1" t="n">
        <v>43567</v>
      </c>
      <c r="C134" s="1" t="n">
        <v>45704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20325-2019</t>
        </is>
      </c>
      <c r="B135" s="1" t="n">
        <v>43571</v>
      </c>
      <c r="C135" s="1" t="n">
        <v>45704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21227-2019</t>
        </is>
      </c>
      <c r="B136" s="1" t="n">
        <v>43579</v>
      </c>
      <c r="C136" s="1" t="n">
        <v>45704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21354-2019</t>
        </is>
      </c>
      <c r="B137" s="1" t="n">
        <v>43579</v>
      </c>
      <c r="C137" s="1" t="n">
        <v>45704</v>
      </c>
      <c r="D137" t="inlineStr">
        <is>
          <t>JÖNKÖPINGS LÄN</t>
        </is>
      </c>
      <c r="E137" t="inlineStr">
        <is>
          <t>VETLANDA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21571-2019</t>
        </is>
      </c>
      <c r="B138" s="1" t="n">
        <v>43580</v>
      </c>
      <c r="C138" s="1" t="n">
        <v>45704</v>
      </c>
      <c r="D138" t="inlineStr">
        <is>
          <t>JÖNKÖPINGS LÄN</t>
        </is>
      </c>
      <c r="E138" t="inlineStr">
        <is>
          <t>VETLANDA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21568-2019</t>
        </is>
      </c>
      <c r="B139" s="1" t="n">
        <v>43580</v>
      </c>
      <c r="C139" s="1" t="n">
        <v>45704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21856-2019</t>
        </is>
      </c>
      <c r="B140" s="1" t="n">
        <v>43584</v>
      </c>
      <c r="C140" s="1" t="n">
        <v>45704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22167-2019</t>
        </is>
      </c>
      <c r="B141" s="1" t="n">
        <v>43585</v>
      </c>
      <c r="C141" s="1" t="n">
        <v>45704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22171-2019</t>
        </is>
      </c>
      <c r="B142" s="1" t="n">
        <v>43585</v>
      </c>
      <c r="C142" s="1" t="n">
        <v>45704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23164-2019</t>
        </is>
      </c>
      <c r="B143" s="1" t="n">
        <v>43592</v>
      </c>
      <c r="C143" s="1" t="n">
        <v>45704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23371-2019</t>
        </is>
      </c>
      <c r="B144" s="1" t="n">
        <v>43593</v>
      </c>
      <c r="C144" s="1" t="n">
        <v>45704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23369-2019</t>
        </is>
      </c>
      <c r="B145" s="1" t="n">
        <v>43593</v>
      </c>
      <c r="C145" s="1" t="n">
        <v>45704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23650-2019</t>
        </is>
      </c>
      <c r="B146" s="1" t="n">
        <v>43594</v>
      </c>
      <c r="C146" s="1" t="n">
        <v>45704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23978-2019</t>
        </is>
      </c>
      <c r="B147" s="1" t="n">
        <v>43595</v>
      </c>
      <c r="C147" s="1" t="n">
        <v>45704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24648-2019</t>
        </is>
      </c>
      <c r="B148" s="1" t="n">
        <v>43601</v>
      </c>
      <c r="C148" s="1" t="n">
        <v>45704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24649-2019</t>
        </is>
      </c>
      <c r="B149" s="1" t="n">
        <v>43601</v>
      </c>
      <c r="C149" s="1" t="n">
        <v>45704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25086-2019</t>
        </is>
      </c>
      <c r="B150" s="1" t="n">
        <v>43605</v>
      </c>
      <c r="C150" s="1" t="n">
        <v>45704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25888-2019</t>
        </is>
      </c>
      <c r="B151" s="1" t="n">
        <v>43605</v>
      </c>
      <c r="C151" s="1" t="n">
        <v>45704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25819-2019</t>
        </is>
      </c>
      <c r="B152" s="1" t="n">
        <v>43605</v>
      </c>
      <c r="C152" s="1" t="n">
        <v>45704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25868-2019</t>
        </is>
      </c>
      <c r="B153" s="1" t="n">
        <v>43605</v>
      </c>
      <c r="C153" s="1" t="n">
        <v>45704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25795-2019</t>
        </is>
      </c>
      <c r="B154" s="1" t="n">
        <v>43605</v>
      </c>
      <c r="C154" s="1" t="n">
        <v>45704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25083-2019</t>
        </is>
      </c>
      <c r="B155" s="1" t="n">
        <v>43605</v>
      </c>
      <c r="C155" s="1" t="n">
        <v>45704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25389-2019</t>
        </is>
      </c>
      <c r="B156" s="1" t="n">
        <v>43606</v>
      </c>
      <c r="C156" s="1" t="n">
        <v>45704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25379-2019</t>
        </is>
      </c>
      <c r="B157" s="1" t="n">
        <v>43606</v>
      </c>
      <c r="C157" s="1" t="n">
        <v>45704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25582-2019</t>
        </is>
      </c>
      <c r="B158" s="1" t="n">
        <v>43607</v>
      </c>
      <c r="C158" s="1" t="n">
        <v>45704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26554-2019</t>
        </is>
      </c>
      <c r="B159" s="1" t="n">
        <v>43612</v>
      </c>
      <c r="C159" s="1" t="n">
        <v>45704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27044-2019</t>
        </is>
      </c>
      <c r="B160" s="1" t="n">
        <v>43614</v>
      </c>
      <c r="C160" s="1" t="n">
        <v>45704</v>
      </c>
      <c r="D160" t="inlineStr">
        <is>
          <t>JÖNKÖPINGS LÄN</t>
        </is>
      </c>
      <c r="E160" t="inlineStr">
        <is>
          <t>VETLANDA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27466-2019</t>
        </is>
      </c>
      <c r="B161" s="1" t="n">
        <v>43618</v>
      </c>
      <c r="C161" s="1" t="n">
        <v>45704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27642-2019</t>
        </is>
      </c>
      <c r="B162" s="1" t="n">
        <v>43619</v>
      </c>
      <c r="C162" s="1" t="n">
        <v>45704</v>
      </c>
      <c r="D162" t="inlineStr">
        <is>
          <t>JÖNKÖPINGS LÄN</t>
        </is>
      </c>
      <c r="E162" t="inlineStr">
        <is>
          <t>VETLANDA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27643-2019</t>
        </is>
      </c>
      <c r="B163" s="1" t="n">
        <v>43619</v>
      </c>
      <c r="C163" s="1" t="n">
        <v>45704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28246-2019</t>
        </is>
      </c>
      <c r="B164" s="1" t="n">
        <v>43622</v>
      </c>
      <c r="C164" s="1" t="n">
        <v>45704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28587-2019</t>
        </is>
      </c>
      <c r="B165" s="1" t="n">
        <v>43626</v>
      </c>
      <c r="C165" s="1" t="n">
        <v>45704</v>
      </c>
      <c r="D165" t="inlineStr">
        <is>
          <t>JÖNKÖPINGS LÄN</t>
        </is>
      </c>
      <c r="E165" t="inlineStr">
        <is>
          <t>VETLANDA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28657-2019</t>
        </is>
      </c>
      <c r="B166" s="1" t="n">
        <v>43627</v>
      </c>
      <c r="C166" s="1" t="n">
        <v>45704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28676-2019</t>
        </is>
      </c>
      <c r="B167" s="1" t="n">
        <v>43627</v>
      </c>
      <c r="C167" s="1" t="n">
        <v>45704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29406-2019</t>
        </is>
      </c>
      <c r="B168" s="1" t="n">
        <v>43629</v>
      </c>
      <c r="C168" s="1" t="n">
        <v>45704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29420-2019</t>
        </is>
      </c>
      <c r="B169" s="1" t="n">
        <v>43629</v>
      </c>
      <c r="C169" s="1" t="n">
        <v>45704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29716-2019</t>
        </is>
      </c>
      <c r="B170" s="1" t="n">
        <v>43630</v>
      </c>
      <c r="C170" s="1" t="n">
        <v>45704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29539-2019</t>
        </is>
      </c>
      <c r="B171" s="1" t="n">
        <v>43630</v>
      </c>
      <c r="C171" s="1" t="n">
        <v>45704</v>
      </c>
      <c r="D171" t="inlineStr">
        <is>
          <t>JÖNKÖPINGS LÄN</t>
        </is>
      </c>
      <c r="E171" t="inlineStr">
        <is>
          <t>VETLANDA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30909-2019</t>
        </is>
      </c>
      <c r="B172" s="1" t="n">
        <v>43636</v>
      </c>
      <c r="C172" s="1" t="n">
        <v>45704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30803-2019</t>
        </is>
      </c>
      <c r="B173" s="1" t="n">
        <v>43636</v>
      </c>
      <c r="C173" s="1" t="n">
        <v>45704</v>
      </c>
      <c r="D173" t="inlineStr">
        <is>
          <t>JÖNKÖPINGS LÄN</t>
        </is>
      </c>
      <c r="E173" t="inlineStr">
        <is>
          <t>VETLANDA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30791-2019</t>
        </is>
      </c>
      <c r="B174" s="1" t="n">
        <v>43636</v>
      </c>
      <c r="C174" s="1" t="n">
        <v>45704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31246-2019</t>
        </is>
      </c>
      <c r="B175" s="1" t="n">
        <v>43640</v>
      </c>
      <c r="C175" s="1" t="n">
        <v>45704</v>
      </c>
      <c r="D175" t="inlineStr">
        <is>
          <t>JÖNKÖPINGS LÄN</t>
        </is>
      </c>
      <c r="E175" t="inlineStr">
        <is>
          <t>VETLANDA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31819-2019</t>
        </is>
      </c>
      <c r="B176" s="1" t="n">
        <v>43642</v>
      </c>
      <c r="C176" s="1" t="n">
        <v>45704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31858-2019</t>
        </is>
      </c>
      <c r="B177" s="1" t="n">
        <v>43642</v>
      </c>
      <c r="C177" s="1" t="n">
        <v>45704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32235-2019</t>
        </is>
      </c>
      <c r="B178" s="1" t="n">
        <v>43644</v>
      </c>
      <c r="C178" s="1" t="n">
        <v>45704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32241-2019</t>
        </is>
      </c>
      <c r="B179" s="1" t="n">
        <v>43644</v>
      </c>
      <c r="C179" s="1" t="n">
        <v>45704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32237-2019</t>
        </is>
      </c>
      <c r="B180" s="1" t="n">
        <v>43644</v>
      </c>
      <c r="C180" s="1" t="n">
        <v>45704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32504-2019</t>
        </is>
      </c>
      <c r="B181" s="1" t="n">
        <v>43644</v>
      </c>
      <c r="C181" s="1" t="n">
        <v>45704</v>
      </c>
      <c r="D181" t="inlineStr">
        <is>
          <t>JÖNKÖPINGS LÄN</t>
        </is>
      </c>
      <c r="E181" t="inlineStr">
        <is>
          <t>VETLANDA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35494-2019</t>
        </is>
      </c>
      <c r="B182" s="1" t="n">
        <v>43651</v>
      </c>
      <c r="C182" s="1" t="n">
        <v>45704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35489-2019</t>
        </is>
      </c>
      <c r="B183" s="1" t="n">
        <v>43651</v>
      </c>
      <c r="C183" s="1" t="n">
        <v>45704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34380-2019</t>
        </is>
      </c>
      <c r="B184" s="1" t="n">
        <v>43656</v>
      </c>
      <c r="C184" s="1" t="n">
        <v>45704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35935-2019</t>
        </is>
      </c>
      <c r="B185" s="1" t="n">
        <v>43656</v>
      </c>
      <c r="C185" s="1" t="n">
        <v>45704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35946-2019</t>
        </is>
      </c>
      <c r="B186" s="1" t="n">
        <v>43656</v>
      </c>
      <c r="C186" s="1" t="n">
        <v>45704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35910-2019</t>
        </is>
      </c>
      <c r="B187" s="1" t="n">
        <v>43656</v>
      </c>
      <c r="C187" s="1" t="n">
        <v>45704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35945-2019</t>
        </is>
      </c>
      <c r="B188" s="1" t="n">
        <v>43656</v>
      </c>
      <c r="C188" s="1" t="n">
        <v>45704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35942-2019</t>
        </is>
      </c>
      <c r="B189" s="1" t="n">
        <v>43656</v>
      </c>
      <c r="C189" s="1" t="n">
        <v>45704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35944-2019</t>
        </is>
      </c>
      <c r="B190" s="1" t="n">
        <v>43656</v>
      </c>
      <c r="C190" s="1" t="n">
        <v>45704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35903-2019</t>
        </is>
      </c>
      <c r="B191" s="1" t="n">
        <v>43656</v>
      </c>
      <c r="C191" s="1" t="n">
        <v>45704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34775-2019</t>
        </is>
      </c>
      <c r="B192" s="1" t="n">
        <v>43658</v>
      </c>
      <c r="C192" s="1" t="n">
        <v>45704</v>
      </c>
      <c r="D192" t="inlineStr">
        <is>
          <t>JÖNKÖPINGS LÄN</t>
        </is>
      </c>
      <c r="E192" t="inlineStr">
        <is>
          <t>VETLANDA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35117-2019</t>
        </is>
      </c>
      <c r="B193" s="1" t="n">
        <v>43661</v>
      </c>
      <c r="C193" s="1" t="n">
        <v>45704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35309-2019</t>
        </is>
      </c>
      <c r="B194" s="1" t="n">
        <v>43662</v>
      </c>
      <c r="C194" s="1" t="n">
        <v>45704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35310-2019</t>
        </is>
      </c>
      <c r="B195" s="1" t="n">
        <v>43662</v>
      </c>
      <c r="C195" s="1" t="n">
        <v>45704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35477-2019</t>
        </is>
      </c>
      <c r="B196" s="1" t="n">
        <v>43663</v>
      </c>
      <c r="C196" s="1" t="n">
        <v>45704</v>
      </c>
      <c r="D196" t="inlineStr">
        <is>
          <t>JÖNKÖPINGS LÄN</t>
        </is>
      </c>
      <c r="E196" t="inlineStr">
        <is>
          <t>VETLANDA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35528-2019</t>
        </is>
      </c>
      <c r="B197" s="1" t="n">
        <v>43664</v>
      </c>
      <c r="C197" s="1" t="n">
        <v>45704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35914-2019</t>
        </is>
      </c>
      <c r="B198" s="1" t="n">
        <v>43665</v>
      </c>
      <c r="C198" s="1" t="n">
        <v>45704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35760-2019</t>
        </is>
      </c>
      <c r="B199" s="1" t="n">
        <v>43665</v>
      </c>
      <c r="C199" s="1" t="n">
        <v>45704</v>
      </c>
      <c r="D199" t="inlineStr">
        <is>
          <t>JÖNKÖPINGS LÄN</t>
        </is>
      </c>
      <c r="E199" t="inlineStr">
        <is>
          <t>VETLANDA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35904-2019</t>
        </is>
      </c>
      <c r="B200" s="1" t="n">
        <v>43665</v>
      </c>
      <c r="C200" s="1" t="n">
        <v>45704</v>
      </c>
      <c r="D200" t="inlineStr">
        <is>
          <t>JÖNKÖPINGS LÄN</t>
        </is>
      </c>
      <c r="E200" t="inlineStr">
        <is>
          <t>VETLANDA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35925-2019</t>
        </is>
      </c>
      <c r="B201" s="1" t="n">
        <v>43665</v>
      </c>
      <c r="C201" s="1" t="n">
        <v>45704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35815-2019</t>
        </is>
      </c>
      <c r="B202" s="1" t="n">
        <v>43665</v>
      </c>
      <c r="C202" s="1" t="n">
        <v>45704</v>
      </c>
      <c r="D202" t="inlineStr">
        <is>
          <t>JÖNKÖPINGS LÄN</t>
        </is>
      </c>
      <c r="E202" t="inlineStr">
        <is>
          <t>VETLANDA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35876-2019</t>
        </is>
      </c>
      <c r="B203" s="1" t="n">
        <v>43665</v>
      </c>
      <c r="C203" s="1" t="n">
        <v>45704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35902-2019</t>
        </is>
      </c>
      <c r="B204" s="1" t="n">
        <v>43665</v>
      </c>
      <c r="C204" s="1" t="n">
        <v>45704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37557-2019</t>
        </is>
      </c>
      <c r="B205" s="1" t="n">
        <v>43679</v>
      </c>
      <c r="C205" s="1" t="n">
        <v>45704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37569-2019</t>
        </is>
      </c>
      <c r="B206" s="1" t="n">
        <v>43679</v>
      </c>
      <c r="C206" s="1" t="n">
        <v>45704</v>
      </c>
      <c r="D206" t="inlineStr">
        <is>
          <t>JÖNKÖPINGS LÄN</t>
        </is>
      </c>
      <c r="E206" t="inlineStr">
        <is>
          <t>VETLANDA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37738-2019</t>
        </is>
      </c>
      <c r="B207" s="1" t="n">
        <v>43682</v>
      </c>
      <c r="C207" s="1" t="n">
        <v>45704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38454-2019</t>
        </is>
      </c>
      <c r="B208" s="1" t="n">
        <v>43683</v>
      </c>
      <c r="C208" s="1" t="n">
        <v>45704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38481-2019</t>
        </is>
      </c>
      <c r="B209" s="1" t="n">
        <v>43685</v>
      </c>
      <c r="C209" s="1" t="n">
        <v>45704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38657-2019</t>
        </is>
      </c>
      <c r="B210" s="1" t="n">
        <v>43686</v>
      </c>
      <c r="C210" s="1" t="n">
        <v>45704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39318-2019</t>
        </is>
      </c>
      <c r="B211" s="1" t="n">
        <v>43686</v>
      </c>
      <c r="C211" s="1" t="n">
        <v>45704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38856-2019</t>
        </is>
      </c>
      <c r="B212" s="1" t="n">
        <v>43689</v>
      </c>
      <c r="C212" s="1" t="n">
        <v>45704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38855-2019</t>
        </is>
      </c>
      <c r="B213" s="1" t="n">
        <v>43689</v>
      </c>
      <c r="C213" s="1" t="n">
        <v>45704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41146-2019</t>
        </is>
      </c>
      <c r="B214" s="1" t="n">
        <v>43691</v>
      </c>
      <c r="C214" s="1" t="n">
        <v>45704</v>
      </c>
      <c r="D214" t="inlineStr">
        <is>
          <t>JÖNKÖPINGS LÄN</t>
        </is>
      </c>
      <c r="E214" t="inlineStr">
        <is>
          <t>VETLANDA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39880-2019</t>
        </is>
      </c>
      <c r="B215" s="1" t="n">
        <v>43692</v>
      </c>
      <c r="C215" s="1" t="n">
        <v>45704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39932-2019</t>
        </is>
      </c>
      <c r="B216" s="1" t="n">
        <v>43692</v>
      </c>
      <c r="C216" s="1" t="n">
        <v>45704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40603-2019</t>
        </is>
      </c>
      <c r="B217" s="1" t="n">
        <v>43696</v>
      </c>
      <c r="C217" s="1" t="n">
        <v>45704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41205-2019</t>
        </is>
      </c>
      <c r="B218" s="1" t="n">
        <v>43696</v>
      </c>
      <c r="C218" s="1" t="n">
        <v>45704</v>
      </c>
      <c r="D218" t="inlineStr">
        <is>
          <t>JÖNKÖPINGS LÄN</t>
        </is>
      </c>
      <c r="E218" t="inlineStr">
        <is>
          <t>VETLANDA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40975-2019</t>
        </is>
      </c>
      <c r="B219" s="1" t="n">
        <v>43697</v>
      </c>
      <c r="C219" s="1" t="n">
        <v>45704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40976-2019</t>
        </is>
      </c>
      <c r="B220" s="1" t="n">
        <v>43697</v>
      </c>
      <c r="C220" s="1" t="n">
        <v>45704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40944-2019</t>
        </is>
      </c>
      <c r="B221" s="1" t="n">
        <v>43697</v>
      </c>
      <c r="C221" s="1" t="n">
        <v>45704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40997-2019</t>
        </is>
      </c>
      <c r="B222" s="1" t="n">
        <v>43697</v>
      </c>
      <c r="C222" s="1" t="n">
        <v>45704</v>
      </c>
      <c r="D222" t="inlineStr">
        <is>
          <t>JÖNKÖPINGS LÄN</t>
        </is>
      </c>
      <c r="E222" t="inlineStr">
        <is>
          <t>VETLANDA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41868-2019</t>
        </is>
      </c>
      <c r="B223" s="1" t="n">
        <v>43697</v>
      </c>
      <c r="C223" s="1" t="n">
        <v>45704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41224-2019</t>
        </is>
      </c>
      <c r="B224" s="1" t="n">
        <v>43698</v>
      </c>
      <c r="C224" s="1" t="n">
        <v>45704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41504-2019</t>
        </is>
      </c>
      <c r="B225" s="1" t="n">
        <v>43699</v>
      </c>
      <c r="C225" s="1" t="n">
        <v>45704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41528-2019</t>
        </is>
      </c>
      <c r="B226" s="1" t="n">
        <v>43699</v>
      </c>
      <c r="C226" s="1" t="n">
        <v>45704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42711-2019</t>
        </is>
      </c>
      <c r="B227" s="1" t="n">
        <v>43700</v>
      </c>
      <c r="C227" s="1" t="n">
        <v>45704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42564-2019</t>
        </is>
      </c>
      <c r="B228" s="1" t="n">
        <v>43704</v>
      </c>
      <c r="C228" s="1" t="n">
        <v>45704</v>
      </c>
      <c r="D228" t="inlineStr">
        <is>
          <t>JÖNKÖPINGS LÄN</t>
        </is>
      </c>
      <c r="E228" t="inlineStr">
        <is>
          <t>VETLANDA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42740-2019</t>
        </is>
      </c>
      <c r="B229" s="1" t="n">
        <v>43704</v>
      </c>
      <c r="C229" s="1" t="n">
        <v>45704</v>
      </c>
      <c r="D229" t="inlineStr">
        <is>
          <t>JÖNKÖPINGS LÄN</t>
        </is>
      </c>
      <c r="E229" t="inlineStr">
        <is>
          <t>VETLANDA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42735-2019</t>
        </is>
      </c>
      <c r="B230" s="1" t="n">
        <v>43704</v>
      </c>
      <c r="C230" s="1" t="n">
        <v>45704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43006-2019</t>
        </is>
      </c>
      <c r="B231" s="1" t="n">
        <v>43705</v>
      </c>
      <c r="C231" s="1" t="n">
        <v>45704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43017-2019</t>
        </is>
      </c>
      <c r="B232" s="1" t="n">
        <v>43705</v>
      </c>
      <c r="C232" s="1" t="n">
        <v>45704</v>
      </c>
      <c r="D232" t="inlineStr">
        <is>
          <t>JÖNKÖPINGS LÄN</t>
        </is>
      </c>
      <c r="E232" t="inlineStr">
        <is>
          <t>VETLANDA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42917-2019</t>
        </is>
      </c>
      <c r="B233" s="1" t="n">
        <v>43705</v>
      </c>
      <c r="C233" s="1" t="n">
        <v>45704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42994-2019</t>
        </is>
      </c>
      <c r="B234" s="1" t="n">
        <v>43705</v>
      </c>
      <c r="C234" s="1" t="n">
        <v>45704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43013-2019</t>
        </is>
      </c>
      <c r="B235" s="1" t="n">
        <v>43705</v>
      </c>
      <c r="C235" s="1" t="n">
        <v>45704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43755-2019</t>
        </is>
      </c>
      <c r="B236" s="1" t="n">
        <v>43707</v>
      </c>
      <c r="C236" s="1" t="n">
        <v>45704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44285-2019</t>
        </is>
      </c>
      <c r="B237" s="1" t="n">
        <v>43710</v>
      </c>
      <c r="C237" s="1" t="n">
        <v>45704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44279-2019</t>
        </is>
      </c>
      <c r="B238" s="1" t="n">
        <v>43710</v>
      </c>
      <c r="C238" s="1" t="n">
        <v>45704</v>
      </c>
      <c r="D238" t="inlineStr">
        <is>
          <t>JÖNKÖPINGS LÄN</t>
        </is>
      </c>
      <c r="E238" t="inlineStr">
        <is>
          <t>VETLANDA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44563-2019</t>
        </is>
      </c>
      <c r="B239" s="1" t="n">
        <v>43711</v>
      </c>
      <c r="C239" s="1" t="n">
        <v>45704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45195-2019</t>
        </is>
      </c>
      <c r="B240" s="1" t="n">
        <v>43713</v>
      </c>
      <c r="C240" s="1" t="n">
        <v>45704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45121-2019</t>
        </is>
      </c>
      <c r="B241" s="1" t="n">
        <v>43713</v>
      </c>
      <c r="C241" s="1" t="n">
        <v>45704</v>
      </c>
      <c r="D241" t="inlineStr">
        <is>
          <t>JÖNKÖPINGS LÄN</t>
        </is>
      </c>
      <c r="E241" t="inlineStr">
        <is>
          <t>VETLANDA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45347-2019</t>
        </is>
      </c>
      <c r="B242" s="1" t="n">
        <v>43714</v>
      </c>
      <c r="C242" s="1" t="n">
        <v>45704</v>
      </c>
      <c r="D242" t="inlineStr">
        <is>
          <t>JÖNKÖPINGS LÄN</t>
        </is>
      </c>
      <c r="E242" t="inlineStr">
        <is>
          <t>VETLANDA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45473-2019</t>
        </is>
      </c>
      <c r="B243" s="1" t="n">
        <v>43714</v>
      </c>
      <c r="C243" s="1" t="n">
        <v>45704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45487-2019</t>
        </is>
      </c>
      <c r="B244" s="1" t="n">
        <v>43714</v>
      </c>
      <c r="C244" s="1" t="n">
        <v>45704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45453-2019</t>
        </is>
      </c>
      <c r="B245" s="1" t="n">
        <v>43714</v>
      </c>
      <c r="C245" s="1" t="n">
        <v>45704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45415-2019</t>
        </is>
      </c>
      <c r="B246" s="1" t="n">
        <v>43714</v>
      </c>
      <c r="C246" s="1" t="n">
        <v>45704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46059-2019</t>
        </is>
      </c>
      <c r="B247" s="1" t="n">
        <v>43718</v>
      </c>
      <c r="C247" s="1" t="n">
        <v>45704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46433-2019</t>
        </is>
      </c>
      <c r="B248" s="1" t="n">
        <v>43718</v>
      </c>
      <c r="C248" s="1" t="n">
        <v>45704</v>
      </c>
      <c r="D248" t="inlineStr">
        <is>
          <t>JÖNKÖPINGS LÄN</t>
        </is>
      </c>
      <c r="E248" t="inlineStr">
        <is>
          <t>VETLANDA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46148-2019</t>
        </is>
      </c>
      <c r="B249" s="1" t="n">
        <v>43718</v>
      </c>
      <c r="C249" s="1" t="n">
        <v>45704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46176-2019</t>
        </is>
      </c>
      <c r="B250" s="1" t="n">
        <v>43718</v>
      </c>
      <c r="C250" s="1" t="n">
        <v>45704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46417-2019</t>
        </is>
      </c>
      <c r="B251" s="1" t="n">
        <v>43719</v>
      </c>
      <c r="C251" s="1" t="n">
        <v>45704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46642-2019</t>
        </is>
      </c>
      <c r="B252" s="1" t="n">
        <v>43719</v>
      </c>
      <c r="C252" s="1" t="n">
        <v>45704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46973-2019</t>
        </is>
      </c>
      <c r="B253" s="1" t="n">
        <v>43720</v>
      </c>
      <c r="C253" s="1" t="n">
        <v>45704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47019-2019</t>
        </is>
      </c>
      <c r="B254" s="1" t="n">
        <v>43720</v>
      </c>
      <c r="C254" s="1" t="n">
        <v>45704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47199-2019</t>
        </is>
      </c>
      <c r="B255" s="1" t="n">
        <v>43721</v>
      </c>
      <c r="C255" s="1" t="n">
        <v>45704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47333-2019</t>
        </is>
      </c>
      <c r="B256" s="1" t="n">
        <v>43721</v>
      </c>
      <c r="C256" s="1" t="n">
        <v>45704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47614-2019</t>
        </is>
      </c>
      <c r="B257" s="1" t="n">
        <v>43724</v>
      </c>
      <c r="C257" s="1" t="n">
        <v>45704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47762-2019</t>
        </is>
      </c>
      <c r="B258" s="1" t="n">
        <v>43724</v>
      </c>
      <c r="C258" s="1" t="n">
        <v>45704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47794-2019</t>
        </is>
      </c>
      <c r="B259" s="1" t="n">
        <v>43724</v>
      </c>
      <c r="C259" s="1" t="n">
        <v>45704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47736-2019</t>
        </is>
      </c>
      <c r="B260" s="1" t="n">
        <v>43724</v>
      </c>
      <c r="C260" s="1" t="n">
        <v>45704</v>
      </c>
      <c r="D260" t="inlineStr">
        <is>
          <t>JÖNKÖPINGS LÄN</t>
        </is>
      </c>
      <c r="E260" t="inlineStr">
        <is>
          <t>VETLANDA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48168-2019</t>
        </is>
      </c>
      <c r="B261" s="1" t="n">
        <v>43726</v>
      </c>
      <c r="C261" s="1" t="n">
        <v>45704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48209-2019</t>
        </is>
      </c>
      <c r="B262" s="1" t="n">
        <v>43726</v>
      </c>
      <c r="C262" s="1" t="n">
        <v>45704</v>
      </c>
      <c r="D262" t="inlineStr">
        <is>
          <t>JÖNKÖPINGS LÄN</t>
        </is>
      </c>
      <c r="E262" t="inlineStr">
        <is>
          <t>VETLANDA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49478-2019</t>
        </is>
      </c>
      <c r="B263" s="1" t="n">
        <v>43728</v>
      </c>
      <c r="C263" s="1" t="n">
        <v>45704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48987-2019</t>
        </is>
      </c>
      <c r="B264" s="1" t="n">
        <v>43729</v>
      </c>
      <c r="C264" s="1" t="n">
        <v>45704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49061-2019</t>
        </is>
      </c>
      <c r="B265" s="1" t="n">
        <v>43731</v>
      </c>
      <c r="C265" s="1" t="n">
        <v>45704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49257-2019</t>
        </is>
      </c>
      <c r="B266" s="1" t="n">
        <v>43731</v>
      </c>
      <c r="C266" s="1" t="n">
        <v>45704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49466-2019</t>
        </is>
      </c>
      <c r="B267" s="1" t="n">
        <v>43732</v>
      </c>
      <c r="C267" s="1" t="n">
        <v>45704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49599-2019</t>
        </is>
      </c>
      <c r="B268" s="1" t="n">
        <v>43732</v>
      </c>
      <c r="C268" s="1" t="n">
        <v>45704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50242-2019</t>
        </is>
      </c>
      <c r="B269" s="1" t="n">
        <v>43734</v>
      </c>
      <c r="C269" s="1" t="n">
        <v>45704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50383-2019</t>
        </is>
      </c>
      <c r="B270" s="1" t="n">
        <v>43735</v>
      </c>
      <c r="C270" s="1" t="n">
        <v>45704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50935-2019</t>
        </is>
      </c>
      <c r="B271" s="1" t="n">
        <v>43738</v>
      </c>
      <c r="C271" s="1" t="n">
        <v>45704</v>
      </c>
      <c r="D271" t="inlineStr">
        <is>
          <t>JÖNKÖPINGS LÄN</t>
        </is>
      </c>
      <c r="E271" t="inlineStr">
        <is>
          <t>VETLANDA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52203-2019</t>
        </is>
      </c>
      <c r="B272" s="1" t="n">
        <v>43742</v>
      </c>
      <c r="C272" s="1" t="n">
        <v>45704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52202-2019</t>
        </is>
      </c>
      <c r="B273" s="1" t="n">
        <v>43742</v>
      </c>
      <c r="C273" s="1" t="n">
        <v>45704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54908-2019</t>
        </is>
      </c>
      <c r="B274" s="1" t="n">
        <v>43749</v>
      </c>
      <c r="C274" s="1" t="n">
        <v>45704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54897-2019</t>
        </is>
      </c>
      <c r="B275" s="1" t="n">
        <v>43749</v>
      </c>
      <c r="C275" s="1" t="n">
        <v>45704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56017-2019</t>
        </is>
      </c>
      <c r="B276" s="1" t="n">
        <v>43761</v>
      </c>
      <c r="C276" s="1" t="n">
        <v>45704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56026-2019</t>
        </is>
      </c>
      <c r="B277" s="1" t="n">
        <v>43761</v>
      </c>
      <c r="C277" s="1" t="n">
        <v>45704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56568-2019</t>
        </is>
      </c>
      <c r="B278" s="1" t="n">
        <v>43763</v>
      </c>
      <c r="C278" s="1" t="n">
        <v>45704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57111-2019</t>
        </is>
      </c>
      <c r="B279" s="1" t="n">
        <v>43766</v>
      </c>
      <c r="C279" s="1" t="n">
        <v>45704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57822-2019</t>
        </is>
      </c>
      <c r="B280" s="1" t="n">
        <v>43768</v>
      </c>
      <c r="C280" s="1" t="n">
        <v>45704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58845-2019</t>
        </is>
      </c>
      <c r="B281" s="1" t="n">
        <v>43774</v>
      </c>
      <c r="C281" s="1" t="n">
        <v>45704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59944-2019</t>
        </is>
      </c>
      <c r="B282" s="1" t="n">
        <v>43777</v>
      </c>
      <c r="C282" s="1" t="n">
        <v>45704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59960-2019</t>
        </is>
      </c>
      <c r="B283" s="1" t="n">
        <v>43777</v>
      </c>
      <c r="C283" s="1" t="n">
        <v>45704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59949-2019</t>
        </is>
      </c>
      <c r="B284" s="1" t="n">
        <v>43777</v>
      </c>
      <c r="C284" s="1" t="n">
        <v>45704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61973-2019</t>
        </is>
      </c>
      <c r="B285" s="1" t="n">
        <v>43781</v>
      </c>
      <c r="C285" s="1" t="n">
        <v>45704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61409-2019</t>
        </is>
      </c>
      <c r="B286" s="1" t="n">
        <v>43783</v>
      </c>
      <c r="C286" s="1" t="n">
        <v>45704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61634-2019</t>
        </is>
      </c>
      <c r="B287" s="1" t="n">
        <v>43784</v>
      </c>
      <c r="C287" s="1" t="n">
        <v>45704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61633-2019</t>
        </is>
      </c>
      <c r="B288" s="1" t="n">
        <v>43784</v>
      </c>
      <c r="C288" s="1" t="n">
        <v>45704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62274-2019</t>
        </is>
      </c>
      <c r="B289" s="1" t="n">
        <v>43788</v>
      </c>
      <c r="C289" s="1" t="n">
        <v>45704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62628-2019</t>
        </is>
      </c>
      <c r="B290" s="1" t="n">
        <v>43789</v>
      </c>
      <c r="C290" s="1" t="n">
        <v>45704</v>
      </c>
      <c r="D290" t="inlineStr">
        <is>
          <t>JÖNKÖPINGS LÄN</t>
        </is>
      </c>
      <c r="E290" t="inlineStr">
        <is>
          <t>VETLANDA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63958-2019</t>
        </is>
      </c>
      <c r="B291" s="1" t="n">
        <v>43790</v>
      </c>
      <c r="C291" s="1" t="n">
        <v>45704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63417-2019</t>
        </is>
      </c>
      <c r="B292" s="1" t="n">
        <v>43794</v>
      </c>
      <c r="C292" s="1" t="n">
        <v>45704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63749-2019</t>
        </is>
      </c>
      <c r="B293" s="1" t="n">
        <v>43795</v>
      </c>
      <c r="C293" s="1" t="n">
        <v>45704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63574-2019</t>
        </is>
      </c>
      <c r="B294" s="1" t="n">
        <v>43795</v>
      </c>
      <c r="C294" s="1" t="n">
        <v>45704</v>
      </c>
      <c r="D294" t="inlineStr">
        <is>
          <t>JÖNKÖPINGS LÄN</t>
        </is>
      </c>
      <c r="E294" t="inlineStr">
        <is>
          <t>VETLANDA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63644-2019</t>
        </is>
      </c>
      <c r="B295" s="1" t="n">
        <v>43795</v>
      </c>
      <c r="C295" s="1" t="n">
        <v>45704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63651-2019</t>
        </is>
      </c>
      <c r="B296" s="1" t="n">
        <v>43795</v>
      </c>
      <c r="C296" s="1" t="n">
        <v>45704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64043-2019</t>
        </is>
      </c>
      <c r="B297" s="1" t="n">
        <v>43796</v>
      </c>
      <c r="C297" s="1" t="n">
        <v>45704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64818-2019</t>
        </is>
      </c>
      <c r="B298" s="1" t="n">
        <v>43801</v>
      </c>
      <c r="C298" s="1" t="n">
        <v>45704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64806-2019</t>
        </is>
      </c>
      <c r="B299" s="1" t="n">
        <v>43801</v>
      </c>
      <c r="C299" s="1" t="n">
        <v>45704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64950-2019</t>
        </is>
      </c>
      <c r="B300" s="1" t="n">
        <v>43801</v>
      </c>
      <c r="C300" s="1" t="n">
        <v>45704</v>
      </c>
      <c r="D300" t="inlineStr">
        <is>
          <t>JÖNKÖPINGS LÄN</t>
        </is>
      </c>
      <c r="E300" t="inlineStr">
        <is>
          <t>VETLANDA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65382-2019</t>
        </is>
      </c>
      <c r="B301" s="1" t="n">
        <v>43803</v>
      </c>
      <c r="C301" s="1" t="n">
        <v>45704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66600-2019</t>
        </is>
      </c>
      <c r="B302" s="1" t="n">
        <v>43803</v>
      </c>
      <c r="C302" s="1" t="n">
        <v>45704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66601-2019</t>
        </is>
      </c>
      <c r="B303" s="1" t="n">
        <v>43804</v>
      </c>
      <c r="C303" s="1" t="n">
        <v>45704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67657-2019</t>
        </is>
      </c>
      <c r="B304" s="1" t="n">
        <v>43809</v>
      </c>
      <c r="C304" s="1" t="n">
        <v>45704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67265-2019</t>
        </is>
      </c>
      <c r="B305" s="1" t="n">
        <v>43812</v>
      </c>
      <c r="C305" s="1" t="n">
        <v>45704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67476-2019</t>
        </is>
      </c>
      <c r="B306" s="1" t="n">
        <v>43814</v>
      </c>
      <c r="C306" s="1" t="n">
        <v>45704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67472-2019</t>
        </is>
      </c>
      <c r="B307" s="1" t="n">
        <v>43814</v>
      </c>
      <c r="C307" s="1" t="n">
        <v>45704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68654-2019</t>
        </is>
      </c>
      <c r="B308" s="1" t="n">
        <v>43814</v>
      </c>
      <c r="C308" s="1" t="n">
        <v>45704</v>
      </c>
      <c r="D308" t="inlineStr">
        <is>
          <t>JÖNKÖPINGS LÄN</t>
        </is>
      </c>
      <c r="E308" t="inlineStr">
        <is>
          <t>VETLANDA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67751-2019</t>
        </is>
      </c>
      <c r="B309" s="1" t="n">
        <v>43815</v>
      </c>
      <c r="C309" s="1" t="n">
        <v>45704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294-2020</t>
        </is>
      </c>
      <c r="B310" s="1" t="n">
        <v>43817</v>
      </c>
      <c r="C310" s="1" t="n">
        <v>45704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886-2020</t>
        </is>
      </c>
      <c r="B311" s="1" t="n">
        <v>43817</v>
      </c>
      <c r="C311" s="1" t="n">
        <v>45704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891-2020</t>
        </is>
      </c>
      <c r="B312" s="1" t="n">
        <v>43817</v>
      </c>
      <c r="C312" s="1" t="n">
        <v>45704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68090-2019</t>
        </is>
      </c>
      <c r="B313" s="1" t="n">
        <v>43817</v>
      </c>
      <c r="C313" s="1" t="n">
        <v>45704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68324-2019</t>
        </is>
      </c>
      <c r="B314" s="1" t="n">
        <v>43818</v>
      </c>
      <c r="C314" s="1" t="n">
        <v>45704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68507-2019</t>
        </is>
      </c>
      <c r="B315" s="1" t="n">
        <v>43818</v>
      </c>
      <c r="C315" s="1" t="n">
        <v>45704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68516-2019</t>
        </is>
      </c>
      <c r="B316" s="1" t="n">
        <v>43818</v>
      </c>
      <c r="C316" s="1" t="n">
        <v>45704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68503-2019</t>
        </is>
      </c>
      <c r="B317" s="1" t="n">
        <v>43818</v>
      </c>
      <c r="C317" s="1" t="n">
        <v>45704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68681-2019</t>
        </is>
      </c>
      <c r="B318" s="1" t="n">
        <v>43819</v>
      </c>
      <c r="C318" s="1" t="n">
        <v>45704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68748-2019</t>
        </is>
      </c>
      <c r="B319" s="1" t="n">
        <v>43819</v>
      </c>
      <c r="C319" s="1" t="n">
        <v>45704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68765-2019</t>
        </is>
      </c>
      <c r="B320" s="1" t="n">
        <v>43819</v>
      </c>
      <c r="C320" s="1" t="n">
        <v>45704</v>
      </c>
      <c r="D320" t="inlineStr">
        <is>
          <t>JÖNKÖPINGS LÄN</t>
        </is>
      </c>
      <c r="E320" t="inlineStr">
        <is>
          <t>VETLANDA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68725-2019</t>
        </is>
      </c>
      <c r="B321" s="1" t="n">
        <v>43819</v>
      </c>
      <c r="C321" s="1" t="n">
        <v>45704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68733-2019</t>
        </is>
      </c>
      <c r="B322" s="1" t="n">
        <v>43819</v>
      </c>
      <c r="C322" s="1" t="n">
        <v>45704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299-2020</t>
        </is>
      </c>
      <c r="B323" s="1" t="n">
        <v>43837</v>
      </c>
      <c r="C323" s="1" t="n">
        <v>45704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640-2020</t>
        </is>
      </c>
      <c r="B324" s="1" t="n">
        <v>43838</v>
      </c>
      <c r="C324" s="1" t="n">
        <v>45704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1279-2020</t>
        </is>
      </c>
      <c r="B325" s="1" t="n">
        <v>43841</v>
      </c>
      <c r="C325" s="1" t="n">
        <v>45704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1278-2020</t>
        </is>
      </c>
      <c r="B326" s="1" t="n">
        <v>43841</v>
      </c>
      <c r="C326" s="1" t="n">
        <v>45704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1325-2020</t>
        </is>
      </c>
      <c r="B327" s="1" t="n">
        <v>43843</v>
      </c>
      <c r="C327" s="1" t="n">
        <v>45704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1889-2020</t>
        </is>
      </c>
      <c r="B328" s="1" t="n">
        <v>43845</v>
      </c>
      <c r="C328" s="1" t="n">
        <v>45704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2839-2020</t>
        </is>
      </c>
      <c r="B329" s="1" t="n">
        <v>43850</v>
      </c>
      <c r="C329" s="1" t="n">
        <v>45704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2900-2020</t>
        </is>
      </c>
      <c r="B330" s="1" t="n">
        <v>43850</v>
      </c>
      <c r="C330" s="1" t="n">
        <v>45704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2702-2020</t>
        </is>
      </c>
      <c r="B331" s="1" t="n">
        <v>43850</v>
      </c>
      <c r="C331" s="1" t="n">
        <v>45704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3024-2020</t>
        </is>
      </c>
      <c r="B332" s="1" t="n">
        <v>43850</v>
      </c>
      <c r="C332" s="1" t="n">
        <v>45704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3018-2020</t>
        </is>
      </c>
      <c r="B333" s="1" t="n">
        <v>43851</v>
      </c>
      <c r="C333" s="1" t="n">
        <v>45704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4559-2020</t>
        </is>
      </c>
      <c r="B334" s="1" t="n">
        <v>43851</v>
      </c>
      <c r="C334" s="1" t="n">
        <v>45704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4264-2020</t>
        </is>
      </c>
      <c r="B335" s="1" t="n">
        <v>43857</v>
      </c>
      <c r="C335" s="1" t="n">
        <v>45704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4823-2020</t>
        </is>
      </c>
      <c r="B336" s="1" t="n">
        <v>43859</v>
      </c>
      <c r="C336" s="1" t="n">
        <v>45704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6255-2020</t>
        </is>
      </c>
      <c r="B337" s="1" t="n">
        <v>43866</v>
      </c>
      <c r="C337" s="1" t="n">
        <v>45704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7428-2020</t>
        </is>
      </c>
      <c r="B338" s="1" t="n">
        <v>43871</v>
      </c>
      <c r="C338" s="1" t="n">
        <v>45704</v>
      </c>
      <c r="D338" t="inlineStr">
        <is>
          <t>JÖNKÖPINGS LÄN</t>
        </is>
      </c>
      <c r="E338" t="inlineStr">
        <is>
          <t>VETLANDA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7766-2020</t>
        </is>
      </c>
      <c r="B339" s="1" t="n">
        <v>43872</v>
      </c>
      <c r="C339" s="1" t="n">
        <v>45704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7829-2020</t>
        </is>
      </c>
      <c r="B340" s="1" t="n">
        <v>43873</v>
      </c>
      <c r="C340" s="1" t="n">
        <v>45704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8413-2020</t>
        </is>
      </c>
      <c r="B341" s="1" t="n">
        <v>43875</v>
      </c>
      <c r="C341" s="1" t="n">
        <v>45704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8556-2020</t>
        </is>
      </c>
      <c r="B342" s="1" t="n">
        <v>43877</v>
      </c>
      <c r="C342" s="1" t="n">
        <v>45704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10076-2020</t>
        </is>
      </c>
      <c r="B343" s="1" t="n">
        <v>43884</v>
      </c>
      <c r="C343" s="1" t="n">
        <v>45704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10940-2020</t>
        </is>
      </c>
      <c r="B344" s="1" t="n">
        <v>43885</v>
      </c>
      <c r="C344" s="1" t="n">
        <v>45704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10928-2020</t>
        </is>
      </c>
      <c r="B345" s="1" t="n">
        <v>43885</v>
      </c>
      <c r="C345" s="1" t="n">
        <v>45704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10857-2020</t>
        </is>
      </c>
      <c r="B346" s="1" t="n">
        <v>43885</v>
      </c>
      <c r="C346" s="1" t="n">
        <v>45704</v>
      </c>
      <c r="D346" t="inlineStr">
        <is>
          <t>JÖNKÖPINGS LÄN</t>
        </is>
      </c>
      <c r="E346" t="inlineStr">
        <is>
          <t>VETLANDA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10935-2020</t>
        </is>
      </c>
      <c r="B347" s="1" t="n">
        <v>43885</v>
      </c>
      <c r="C347" s="1" t="n">
        <v>45704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11069-2020</t>
        </is>
      </c>
      <c r="B348" s="1" t="n">
        <v>43885</v>
      </c>
      <c r="C348" s="1" t="n">
        <v>45704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10517-2020</t>
        </is>
      </c>
      <c r="B349" s="1" t="n">
        <v>43886</v>
      </c>
      <c r="C349" s="1" t="n">
        <v>45704</v>
      </c>
      <c r="D349" t="inlineStr">
        <is>
          <t>JÖNKÖPINGS LÄN</t>
        </is>
      </c>
      <c r="E349" t="inlineStr">
        <is>
          <t>VETLANDA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10613-2020</t>
        </is>
      </c>
      <c r="B350" s="1" t="n">
        <v>43887</v>
      </c>
      <c r="C350" s="1" t="n">
        <v>45704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11464-2020</t>
        </is>
      </c>
      <c r="B351" s="1" t="n">
        <v>43887</v>
      </c>
      <c r="C351" s="1" t="n">
        <v>45704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10726-2020</t>
        </is>
      </c>
      <c r="B352" s="1" t="n">
        <v>43888</v>
      </c>
      <c r="C352" s="1" t="n">
        <v>45704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11389-2020</t>
        </is>
      </c>
      <c r="B353" s="1" t="n">
        <v>43892</v>
      </c>
      <c r="C353" s="1" t="n">
        <v>45704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11830-2020</t>
        </is>
      </c>
      <c r="B354" s="1" t="n">
        <v>43894</v>
      </c>
      <c r="C354" s="1" t="n">
        <v>45704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11903-2020</t>
        </is>
      </c>
      <c r="B355" s="1" t="n">
        <v>43894</v>
      </c>
      <c r="C355" s="1" t="n">
        <v>45704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12201-2020</t>
        </is>
      </c>
      <c r="B356" s="1" t="n">
        <v>43895</v>
      </c>
      <c r="C356" s="1" t="n">
        <v>45704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12200-2020</t>
        </is>
      </c>
      <c r="B357" s="1" t="n">
        <v>43895</v>
      </c>
      <c r="C357" s="1" t="n">
        <v>45704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12839-2020</t>
        </is>
      </c>
      <c r="B358" s="1" t="n">
        <v>43899</v>
      </c>
      <c r="C358" s="1" t="n">
        <v>45704</v>
      </c>
      <c r="D358" t="inlineStr">
        <is>
          <t>JÖNKÖPINGS LÄN</t>
        </is>
      </c>
      <c r="E358" t="inlineStr">
        <is>
          <t>VETLANDA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12850-2020</t>
        </is>
      </c>
      <c r="B359" s="1" t="n">
        <v>43899</v>
      </c>
      <c r="C359" s="1" t="n">
        <v>45704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13953-2020</t>
        </is>
      </c>
      <c r="B360" s="1" t="n">
        <v>43899</v>
      </c>
      <c r="C360" s="1" t="n">
        <v>45704</v>
      </c>
      <c r="D360" t="inlineStr">
        <is>
          <t>JÖNKÖPINGS LÄN</t>
        </is>
      </c>
      <c r="E360" t="inlineStr">
        <is>
          <t>VETLANDA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12677-2020</t>
        </is>
      </c>
      <c r="B361" s="1" t="n">
        <v>43899</v>
      </c>
      <c r="C361" s="1" t="n">
        <v>45704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14111-2020</t>
        </is>
      </c>
      <c r="B362" s="1" t="n">
        <v>43900</v>
      </c>
      <c r="C362" s="1" t="n">
        <v>45704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12884-2020</t>
        </is>
      </c>
      <c r="B363" s="1" t="n">
        <v>43900</v>
      </c>
      <c r="C363" s="1" t="n">
        <v>45704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14249-2020</t>
        </is>
      </c>
      <c r="B364" s="1" t="n">
        <v>43907</v>
      </c>
      <c r="C364" s="1" t="n">
        <v>45704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14905-2020</t>
        </is>
      </c>
      <c r="B365" s="1" t="n">
        <v>43910</v>
      </c>
      <c r="C365" s="1" t="n">
        <v>45704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15156-2020</t>
        </is>
      </c>
      <c r="B366" s="1" t="n">
        <v>43912</v>
      </c>
      <c r="C366" s="1" t="n">
        <v>45704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16972-2020</t>
        </is>
      </c>
      <c r="B367" s="1" t="n">
        <v>43913</v>
      </c>
      <c r="C367" s="1" t="n">
        <v>45704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16919-2020</t>
        </is>
      </c>
      <c r="B368" s="1" t="n">
        <v>43913</v>
      </c>
      <c r="C368" s="1" t="n">
        <v>45704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16958-2020</t>
        </is>
      </c>
      <c r="B369" s="1" t="n">
        <v>43913</v>
      </c>
      <c r="C369" s="1" t="n">
        <v>45704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16973-2020</t>
        </is>
      </c>
      <c r="B370" s="1" t="n">
        <v>43913</v>
      </c>
      <c r="C370" s="1" t="n">
        <v>45704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16816-2020</t>
        </is>
      </c>
      <c r="B371" s="1" t="n">
        <v>43913</v>
      </c>
      <c r="C371" s="1" t="n">
        <v>45704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16965-2020</t>
        </is>
      </c>
      <c r="B372" s="1" t="n">
        <v>43913</v>
      </c>
      <c r="C372" s="1" t="n">
        <v>45704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16928-2020</t>
        </is>
      </c>
      <c r="B373" s="1" t="n">
        <v>43913</v>
      </c>
      <c r="C373" s="1" t="n">
        <v>45704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16434-2020</t>
        </is>
      </c>
      <c r="B374" s="1" t="n">
        <v>43919</v>
      </c>
      <c r="C374" s="1" t="n">
        <v>45704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16433-2020</t>
        </is>
      </c>
      <c r="B375" s="1" t="n">
        <v>43919</v>
      </c>
      <c r="C375" s="1" t="n">
        <v>45704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16449-2020</t>
        </is>
      </c>
      <c r="B376" s="1" t="n">
        <v>43920</v>
      </c>
      <c r="C376" s="1" t="n">
        <v>45704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17785-2020</t>
        </is>
      </c>
      <c r="B377" s="1" t="n">
        <v>43924</v>
      </c>
      <c r="C377" s="1" t="n">
        <v>45704</v>
      </c>
      <c r="D377" t="inlineStr">
        <is>
          <t>JÖNKÖPINGS LÄN</t>
        </is>
      </c>
      <c r="E377" t="inlineStr">
        <is>
          <t>VETLANDA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17790-2020</t>
        </is>
      </c>
      <c r="B378" s="1" t="n">
        <v>43924</v>
      </c>
      <c r="C378" s="1" t="n">
        <v>45704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18127-2020</t>
        </is>
      </c>
      <c r="B379" s="1" t="n">
        <v>43927</v>
      </c>
      <c r="C379" s="1" t="n">
        <v>45704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18702-2020</t>
        </is>
      </c>
      <c r="B380" s="1" t="n">
        <v>43930</v>
      </c>
      <c r="C380" s="1" t="n">
        <v>45704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19072-2020</t>
        </is>
      </c>
      <c r="B381" s="1" t="n">
        <v>43936</v>
      </c>
      <c r="C381" s="1" t="n">
        <v>45704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21157-2020</t>
        </is>
      </c>
      <c r="B382" s="1" t="n">
        <v>43951</v>
      </c>
      <c r="C382" s="1" t="n">
        <v>45704</v>
      </c>
      <c r="D382" t="inlineStr">
        <is>
          <t>JÖNKÖPINGS LÄN</t>
        </is>
      </c>
      <c r="E382" t="inlineStr">
        <is>
          <t>VETLANDA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22239-2020</t>
        </is>
      </c>
      <c r="B383" s="1" t="n">
        <v>43956</v>
      </c>
      <c r="C383" s="1" t="n">
        <v>45704</v>
      </c>
      <c r="D383" t="inlineStr">
        <is>
          <t>JÖNKÖPINGS LÄN</t>
        </is>
      </c>
      <c r="E383" t="inlineStr">
        <is>
          <t>VETLANDA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21907-2020</t>
        </is>
      </c>
      <c r="B384" s="1" t="n">
        <v>43958</v>
      </c>
      <c r="C384" s="1" t="n">
        <v>45704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21889-2020</t>
        </is>
      </c>
      <c r="B385" s="1" t="n">
        <v>43958</v>
      </c>
      <c r="C385" s="1" t="n">
        <v>45704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23328-2020</t>
        </is>
      </c>
      <c r="B386" s="1" t="n">
        <v>43966</v>
      </c>
      <c r="C386" s="1" t="n">
        <v>45704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24783-2020</t>
        </is>
      </c>
      <c r="B387" s="1" t="n">
        <v>43978</v>
      </c>
      <c r="C387" s="1" t="n">
        <v>45704</v>
      </c>
      <c r="D387" t="inlineStr">
        <is>
          <t>JÖNKÖPINGS LÄN</t>
        </is>
      </c>
      <c r="E387" t="inlineStr">
        <is>
          <t>VETLANDA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25366-2020</t>
        </is>
      </c>
      <c r="B388" s="1" t="n">
        <v>43980</v>
      </c>
      <c r="C388" s="1" t="n">
        <v>45704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25569-2020</t>
        </is>
      </c>
      <c r="B389" s="1" t="n">
        <v>43983</v>
      </c>
      <c r="C389" s="1" t="n">
        <v>45704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25774-2020</t>
        </is>
      </c>
      <c r="B390" s="1" t="n">
        <v>43984</v>
      </c>
      <c r="C390" s="1" t="n">
        <v>45704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26717-2020</t>
        </is>
      </c>
      <c r="B391" s="1" t="n">
        <v>43990</v>
      </c>
      <c r="C391" s="1" t="n">
        <v>45704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27881-2020</t>
        </is>
      </c>
      <c r="B392" s="1" t="n">
        <v>43994</v>
      </c>
      <c r="C392" s="1" t="n">
        <v>45704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27915-2020</t>
        </is>
      </c>
      <c r="B393" s="1" t="n">
        <v>43997</v>
      </c>
      <c r="C393" s="1" t="n">
        <v>45704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28436-2020</t>
        </is>
      </c>
      <c r="B394" s="1" t="n">
        <v>43997</v>
      </c>
      <c r="C394" s="1" t="n">
        <v>45704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28693-2020</t>
        </is>
      </c>
      <c r="B395" s="1" t="n">
        <v>43998</v>
      </c>
      <c r="C395" s="1" t="n">
        <v>45704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28612-2020</t>
        </is>
      </c>
      <c r="B396" s="1" t="n">
        <v>43998</v>
      </c>
      <c r="C396" s="1" t="n">
        <v>45704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28700-2020</t>
        </is>
      </c>
      <c r="B397" s="1" t="n">
        <v>43998</v>
      </c>
      <c r="C397" s="1" t="n">
        <v>45704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28706-2020</t>
        </is>
      </c>
      <c r="B398" s="1" t="n">
        <v>43998</v>
      </c>
      <c r="C398" s="1" t="n">
        <v>45704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28707-2020</t>
        </is>
      </c>
      <c r="B399" s="1" t="n">
        <v>43999</v>
      </c>
      <c r="C399" s="1" t="n">
        <v>45704</v>
      </c>
      <c r="D399" t="inlineStr">
        <is>
          <t>JÖNKÖPINGS LÄN</t>
        </is>
      </c>
      <c r="E399" t="inlineStr">
        <is>
          <t>VETLANDA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29853-2020</t>
        </is>
      </c>
      <c r="B400" s="1" t="n">
        <v>44006</v>
      </c>
      <c r="C400" s="1" t="n">
        <v>45704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29945-2020</t>
        </is>
      </c>
      <c r="B401" s="1" t="n">
        <v>44006</v>
      </c>
      <c r="C401" s="1" t="n">
        <v>45704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29936-2020</t>
        </is>
      </c>
      <c r="B402" s="1" t="n">
        <v>44006</v>
      </c>
      <c r="C402" s="1" t="n">
        <v>45704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31443-2020</t>
        </is>
      </c>
      <c r="B403" s="1" t="n">
        <v>44013</v>
      </c>
      <c r="C403" s="1" t="n">
        <v>45704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32216-2020</t>
        </is>
      </c>
      <c r="B404" s="1" t="n">
        <v>44015</v>
      </c>
      <c r="C404" s="1" t="n">
        <v>45704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32179-2020</t>
        </is>
      </c>
      <c r="B405" s="1" t="n">
        <v>44015</v>
      </c>
      <c r="C405" s="1" t="n">
        <v>45704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32275-2020</t>
        </is>
      </c>
      <c r="B406" s="1" t="n">
        <v>44015</v>
      </c>
      <c r="C406" s="1" t="n">
        <v>45704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32698-2020</t>
        </is>
      </c>
      <c r="B407" s="1" t="n">
        <v>44019</v>
      </c>
      <c r="C407" s="1" t="n">
        <v>45704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45704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45704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45704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45704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45704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45704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45704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45704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45704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45704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45704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45704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45704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45704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45704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45704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45704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45704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45704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45704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45704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45704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45704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45704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45704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45704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45704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45704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45704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45704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45704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45704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45704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45704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45704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45704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45704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45704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45704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45704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45704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45704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45704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45704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45704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45704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45704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45704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45704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45704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45704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45704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45704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45704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45704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45704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45704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45704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45704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45704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45704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45704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45704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45704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45704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45704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45704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45704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45704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45704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45704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45704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45704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45704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45704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45704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45704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45704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45704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45704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45704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45704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45704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45704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45704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45704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45704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45704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45704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45704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45704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45704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45704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45704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45704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45704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45704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45704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45704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45704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45704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45704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45704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45704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45704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45704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45704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45704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45704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45704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45704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45704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45704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45704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45704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45704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45704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45704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45704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45704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45704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45704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45704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45704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45704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45704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45704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45704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45704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45704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45704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45704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45704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45704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45704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45704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45704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45704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45704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45704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45704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45704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45704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45704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45704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45704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45704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45704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45704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45704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45704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45704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45704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45704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45704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45704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45704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45704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45704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45704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45704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45704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45704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45704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45704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45704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45704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45704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45704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45704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45704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45704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45704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45704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45704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45704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45704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45704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45704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45704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45704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45704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45704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45704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45704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45704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45704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45704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45704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45704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45704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45704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45704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45704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45704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45704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45704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45704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45704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45704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45704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45704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45704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45704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45704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45704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45704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45704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45704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45704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45704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45704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45704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45704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45704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45704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45704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45704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45704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45704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45704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45704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45704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45704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45704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45704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45704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45704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45704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45704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45704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45704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45704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45704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45704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45704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45704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45704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45704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45704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45704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45704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45704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45704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45704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45704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45704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45704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45704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45704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45704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45704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45704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45704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45704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45704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45704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45704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45704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45704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45704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45704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45704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45704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45704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45704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45704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45704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45704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45704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45704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45704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45704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45704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45704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45704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45704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45704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45704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45704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45704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45704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45704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45704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45704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45704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45704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45704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45704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45704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45704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45704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45704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45704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45704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45704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45704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45704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45704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45704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45704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45704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45704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45704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45704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45704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45704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45704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45704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45704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45704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45704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45704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45704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45704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45704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45704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45704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45704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45704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45704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45704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45704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45704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45704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45704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45704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45704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45704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45704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45704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45704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45704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45704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45704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45704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45704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45704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45704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45704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45704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45704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45704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45704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45704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45704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45704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45704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45704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45704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45704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45704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45704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45704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45704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45704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45704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45704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45704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45704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45704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45704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45704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45704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45704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45704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45704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45704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45704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45704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45704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45704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45704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45704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45704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45704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45704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45704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45704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45704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45704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45704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45704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45704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45704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45704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45704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45704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45704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45704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45704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45704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45704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45704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45704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45704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45704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45704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45704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45704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45704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45704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45704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45704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45704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45704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45704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45704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45704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45704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45704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45704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45704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45704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45704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45704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45704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45704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45704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45704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45704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45704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45704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45704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45704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45704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45704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45704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45704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45704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45704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45704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45704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45704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45704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45704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45704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45704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45704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45704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45704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45704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45704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45704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45704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45704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45704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45704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45704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45704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45704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45704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45704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45704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45704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45704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45704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45704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45704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45704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45704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45704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45704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45704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45704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45704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45704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45704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45704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45704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45704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45704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45704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45704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45704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45704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45704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45704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45704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45704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45704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45704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45704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45704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45704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45704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45704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45704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45704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45704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45704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45704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45704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45704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45704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45704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45704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45704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45704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45704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45704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45704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45704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45704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45704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45704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45704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45704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45704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45704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45704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45704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45704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45704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45704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45704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45704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45704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45704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45704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45704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45704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45704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45704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45704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45704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45704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45704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45704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45704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45704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45704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45704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45704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45704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45704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45704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45704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45704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45704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45704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45704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45704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45704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45704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45704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45704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45704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45704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45704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45704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45704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45704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45704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45704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45704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45704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45704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45704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45704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45704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45704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45704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45704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45704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45704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45704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45704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45704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45704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45704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45704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45704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45704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45704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45704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45704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45704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45704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45704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45704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45704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45704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45704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45704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45704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45704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45704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45704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45704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45704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45704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45704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45704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45704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45704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45704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45704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45704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45704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45704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45704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45704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45704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45704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45704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45704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45704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45704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45704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45704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45704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45704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45704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45704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45704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45704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45704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45704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45704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45704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45704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45704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45704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45704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45704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45704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45704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45704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45704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45704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45704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45704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45704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45704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45704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45704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45704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45704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45704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45704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45704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45704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45704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45704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45704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45704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45704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45704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45704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45704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45704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45704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45704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45704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45704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45704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45704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45704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45704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45704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45704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45704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45704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45704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45704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45704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45704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45704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45704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45704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45704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45704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45704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45704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45704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45704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45704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45704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45704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45704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45704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45704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45704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45704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45704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45704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45704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45704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45704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45704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45704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45704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45704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45704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45704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45704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45704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45704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45704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45704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45704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45704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45704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45704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45704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45704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45704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45704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45704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45704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45704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45704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45704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45704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45704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45704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45704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45704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45704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45704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45704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45704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45704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45704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45704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45704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45704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45704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45704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45704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45704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45704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45704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45704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45704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45704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45704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45704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45704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45704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45704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45704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45704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45704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45704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45704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45704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45704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45704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45704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45704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45704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45704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45704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45704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45704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45704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45704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45704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45704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45704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45704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45704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45704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45704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45704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45704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45704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45704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45704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45704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45704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45704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45704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45704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45704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45704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45704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45704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45704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45704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45704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45704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45704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45704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45704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45704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45704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45704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45704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45704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45704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45704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45704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45704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45704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45704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45704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45704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45704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45704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45704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45704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45704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45704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45704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45704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45704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45704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45704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45704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45704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45704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45704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45704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45704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45704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45704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45704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45704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45704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45704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45704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45704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45704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45704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45704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45704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45704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45704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45704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45704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45704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45704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45704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45704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45704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45704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45704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45704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45704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45704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45704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45704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45704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45704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45704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45704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45704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45704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45704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45704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45704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45704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45704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45704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45704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45704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45704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45704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45704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45704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45704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45704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45704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45704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45704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45704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45704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45704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45704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45704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45704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45704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45704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45704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45704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45704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45704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45704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45704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45704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45704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45704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45704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45704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45704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45704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45704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45704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45704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45704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45704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45704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45704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45704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45704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45704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45704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45704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45704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45704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45704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45704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45704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45704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45704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45704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45704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45704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45704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45704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45704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45704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45704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45704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45704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45704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45704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45704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45704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45704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45704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45704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45704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45704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45704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45704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45704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45704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45704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45704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45704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45704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45704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45704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45704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45704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45704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45704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45704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45704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45704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45704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45704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45704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45704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45704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45704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45704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45704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45704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45704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45704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45704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45704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45704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45704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45704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45704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45704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45704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45704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45704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45704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45704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45704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45704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45704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45704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45704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45704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45704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45704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45704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45704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45704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45704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45704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45704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45704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45704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45704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45704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45704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45704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45704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45704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45704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45704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45704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45704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45704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45704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45704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45704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45704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45704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45704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45704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45704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45704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45704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45704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45704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45704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45704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45704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45704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45704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45704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45704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45704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45704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45704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45704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45704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45704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45704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45704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45704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45704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45704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45704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45704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45704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45704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45704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45704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45704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45704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45704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45704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45704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45704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45704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45704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45704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45704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45704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45704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45704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45704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45704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45704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45704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45704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45704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45704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45704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45704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45704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45704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45704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45704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45704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45704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45704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45704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45704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45704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45704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45704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45704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45704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45704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45704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45704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45704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45704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45704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45704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45704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45704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45704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45704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45704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45704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45704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45704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45704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45704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45704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45704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45704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45704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45704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45704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45704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45704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45704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45704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45704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45704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45704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45704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45704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45704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45704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45704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45704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45704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45704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45704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45704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45704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45704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45704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45704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45704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45704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45704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45704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45704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45704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45704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45704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45704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45704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45704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45704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45704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45704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45704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45704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45704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45704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45704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45704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45704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45704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45704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45704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45704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45704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45704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45704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45704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45704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45704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45704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45704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45704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45704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45704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45704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45704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45704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45704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45704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45704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45704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45704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45704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45704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45704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45704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45704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45704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45704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45704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45704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45704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45704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45704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45704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45704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45704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45704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45704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45704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45704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45704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45704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45704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45704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45704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45704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45704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45704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45704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45704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45704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45704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45704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45704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45704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45704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45704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45704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45704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45704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45704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45704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45704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45704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45704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45704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45704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45704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45704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45704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45704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45704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45704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45704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45704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45704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45704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45704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45704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45704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45704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45704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45704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45704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45704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45704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45704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45704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45704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45704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45704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45704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45704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45704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45704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45704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45704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45704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45704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45704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45704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45704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45704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45704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45704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45704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45704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45704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45704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45704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45704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45704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45704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45704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45704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45704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45704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45704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45704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45704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45704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45704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45704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45704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45704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45704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45704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45704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45704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45704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45704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45704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45704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45704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45704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45704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45704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45704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45704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45704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45704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45704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45704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45704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45704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45704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45704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45704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45704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45704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45704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45704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45704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45704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45704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45704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45704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45704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45704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45704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45704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45704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45704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45704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45704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45704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45704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45704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45704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45704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45704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45704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45704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45704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45704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45704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45704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45704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45704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45704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45704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45704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45704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45704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45704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45704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45704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45704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45704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45704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45704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45704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45704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45704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45704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45704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45704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45704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45704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45704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45704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45704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45704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45704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45704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45704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45704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45704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45704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45704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45704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45704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45704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45704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45704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45704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45704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45704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45704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45704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45704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45704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45704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45704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45704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45704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45704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45704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45704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45704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45704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45704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45704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45704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45704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45704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45704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45704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45704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45704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45704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45704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45704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45704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45704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45704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45704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45704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45704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45704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45704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45704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45704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45704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45704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45704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45704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45704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45704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45704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45704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45704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45704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45704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45704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45704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45704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45704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45704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45704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45704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45704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45704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45704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45704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45704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45704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45704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45704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45704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45704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45704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45704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45704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45704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45704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45704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45704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45704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45704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45704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45704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45704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45704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45704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45704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45704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45704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45704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45704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45704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45704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45704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45704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45704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45704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45704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45704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45704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45704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45704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45704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45704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45704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45704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45704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45704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45704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45704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45704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45704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45704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45704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45704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45704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45704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45704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45704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45704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45704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45704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45704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45704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45704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45704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45704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45704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45704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45704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45704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45704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45704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45704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45704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45704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45704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45704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45704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45704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45704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45704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45704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45704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45704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45704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45704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45704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45704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45704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45704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45704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45704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45704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45704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45704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45704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45704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45704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45704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45704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45704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45704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45704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45704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45704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45704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45704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45704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45704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45704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45704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45704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45704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45704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45704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45704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45704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45704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45704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45704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45704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45704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45704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45704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45704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45704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45704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45704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45704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45704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45704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45704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45704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45704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45704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45704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45704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45704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45704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45704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45704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45704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45704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45704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45704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45704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45704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45704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45704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45704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45704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45704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45704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45704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45704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45704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45704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45704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45704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45704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45704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45704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45704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45704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45704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45704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45704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45704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45704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45704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45704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45704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45704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45704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45704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45704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45704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45704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45704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45704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45704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45704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45704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45704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45704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45704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45704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45704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45704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45704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45704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45704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45704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45704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45704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45704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45704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45704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45704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45704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45704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45704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45704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45704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45704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45704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45704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45704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45704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45704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45704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45704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45704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45704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45704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45704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45704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45704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45704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45704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45704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45704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45704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45704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45704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45704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45704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45704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45704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45704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45704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45704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45704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45704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45704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45704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45704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45704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45704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45704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45704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45704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45704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45704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45704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45704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45704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45704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45704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45704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45704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45704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45704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45704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45704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45704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45704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45704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45704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45704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45704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45704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45704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45704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45704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45704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45704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45704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45704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45704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45704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45704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45704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45704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45704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45704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45704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45704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45704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45704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45704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45704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45704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45704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45704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45704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45704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45704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45704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45704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45704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45704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45704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45704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45704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45704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45704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45704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45704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45704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45704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45704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45704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45704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45704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45704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45704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45704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45704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45704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45704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45704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45704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45704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45704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45704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45704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45704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45704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45704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45704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45704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45704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45704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45704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45704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45704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45704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45704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45704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45704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45704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45704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45704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45704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45704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45704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45704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45704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45704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45704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45704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45704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45704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45704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45704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45704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45704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45704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45704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45704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45704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45704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45704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45704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45704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45704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45704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45704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45704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45704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45704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45704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45704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45704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45704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45704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45704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45704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45704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45704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45704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45704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1583-2025</t>
        </is>
      </c>
      <c r="B2184" s="1" t="n">
        <v>45670</v>
      </c>
      <c r="C2184" s="1" t="n">
        <v>45704</v>
      </c>
      <c r="D2184" t="inlineStr">
        <is>
          <t>JÖNKÖPINGS LÄN</t>
        </is>
      </c>
      <c r="E2184" t="inlineStr">
        <is>
          <t>VETLANDA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45704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45704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1840-2025</t>
        </is>
      </c>
      <c r="B2187" s="1" t="n">
        <v>45671</v>
      </c>
      <c r="C2187" s="1" t="n">
        <v>45704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45704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1958-2025</t>
        </is>
      </c>
      <c r="B2189" s="1" t="n">
        <v>45672</v>
      </c>
      <c r="C2189" s="1" t="n">
        <v>45704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1960-2025</t>
        </is>
      </c>
      <c r="B2190" s="1" t="n">
        <v>45672</v>
      </c>
      <c r="C2190" s="1" t="n">
        <v>45704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45704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1947-2025</t>
        </is>
      </c>
      <c r="B2192" s="1" t="n">
        <v>45672</v>
      </c>
      <c r="C2192" s="1" t="n">
        <v>45704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1950-2025</t>
        </is>
      </c>
      <c r="B2193" s="1" t="n">
        <v>45672</v>
      </c>
      <c r="C2193" s="1" t="n">
        <v>45704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1953-2025</t>
        </is>
      </c>
      <c r="B2194" s="1" t="n">
        <v>45672</v>
      </c>
      <c r="C2194" s="1" t="n">
        <v>45704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  <c r="U2194">
        <f>HYPERLINK("https://klasma.github.io/Logging_0685/knärot/A 1953-2025 karta knärot.png", "A 1953-2025")</f>
        <v/>
      </c>
      <c r="V2194">
        <f>HYPERLINK("https://klasma.github.io/Logging_0685/klagomål/A 1953-2025 FSC-klagomål.docx", "A 1953-2025")</f>
        <v/>
      </c>
      <c r="W2194">
        <f>HYPERLINK("https://klasma.github.io/Logging_0685/klagomålsmail/A 1953-2025 FSC-klagomål mail.docx", "A 1953-2025")</f>
        <v/>
      </c>
      <c r="X2194">
        <f>HYPERLINK("https://klasma.github.io/Logging_0685/tillsyn/A 1953-2025 tillsynsbegäran.docx", "A 1953-2025")</f>
        <v/>
      </c>
      <c r="Y2194">
        <f>HYPERLINK("https://klasma.github.io/Logging_0685/tillsynsmail/A 1953-2025 tillsynsbegäran mail.docx", "A 1953-2025")</f>
        <v/>
      </c>
    </row>
    <row r="2195" ht="15" customHeight="1">
      <c r="A2195" t="inlineStr">
        <is>
          <t>A 2205-2025</t>
        </is>
      </c>
      <c r="B2195" s="1" t="n">
        <v>45673</v>
      </c>
      <c r="C2195" s="1" t="n">
        <v>45704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2221-2025</t>
        </is>
      </c>
      <c r="B2196" s="1" t="n">
        <v>45673</v>
      </c>
      <c r="C2196" s="1" t="n">
        <v>45704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2368-2025</t>
        </is>
      </c>
      <c r="B2197" s="1" t="n">
        <v>45673</v>
      </c>
      <c r="C2197" s="1" t="n">
        <v>45704</v>
      </c>
      <c r="D2197" t="inlineStr">
        <is>
          <t>JÖNKÖPINGS LÄN</t>
        </is>
      </c>
      <c r="E2197" t="inlineStr">
        <is>
          <t>VETLANDA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2370-2025</t>
        </is>
      </c>
      <c r="B2198" s="1" t="n">
        <v>45673</v>
      </c>
      <c r="C2198" s="1" t="n">
        <v>45704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2369-2025</t>
        </is>
      </c>
      <c r="B2199" s="1" t="n">
        <v>45673</v>
      </c>
      <c r="C2199" s="1" t="n">
        <v>45704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2459-2025</t>
        </is>
      </c>
      <c r="B2200" s="1" t="n">
        <v>45674</v>
      </c>
      <c r="C2200" s="1" t="n">
        <v>45704</v>
      </c>
      <c r="D2200" t="inlineStr">
        <is>
          <t>JÖNKÖPINGS LÄN</t>
        </is>
      </c>
      <c r="E2200" t="inlineStr">
        <is>
          <t>VETLANDA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2465-2025</t>
        </is>
      </c>
      <c r="B2201" s="1" t="n">
        <v>45674</v>
      </c>
      <c r="C2201" s="1" t="n">
        <v>45704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2496-2025</t>
        </is>
      </c>
      <c r="B2202" s="1" t="n">
        <v>45674</v>
      </c>
      <c r="C2202" s="1" t="n">
        <v>45704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2386-2025</t>
        </is>
      </c>
      <c r="B2203" s="1" t="n">
        <v>45674</v>
      </c>
      <c r="C2203" s="1" t="n">
        <v>45704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2497-2025</t>
        </is>
      </c>
      <c r="B2204" s="1" t="n">
        <v>45674</v>
      </c>
      <c r="C2204" s="1" t="n">
        <v>45704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45704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45704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45704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2976-2025</t>
        </is>
      </c>
      <c r="B2208" s="1" t="n">
        <v>45678</v>
      </c>
      <c r="C2208" s="1" t="n">
        <v>45704</v>
      </c>
      <c r="D2208" t="inlineStr">
        <is>
          <t>JÖNKÖPINGS LÄN</t>
        </is>
      </c>
      <c r="E2208" t="inlineStr">
        <is>
          <t>VETLANDA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2977-2025</t>
        </is>
      </c>
      <c r="B2209" s="1" t="n">
        <v>45678</v>
      </c>
      <c r="C2209" s="1" t="n">
        <v>45704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45704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3683-2025</t>
        </is>
      </c>
      <c r="B2211" s="1" t="n">
        <v>45681</v>
      </c>
      <c r="C2211" s="1" t="n">
        <v>45704</v>
      </c>
      <c r="D2211" t="inlineStr">
        <is>
          <t>JÖNKÖPINGS LÄN</t>
        </is>
      </c>
      <c r="E2211" t="inlineStr">
        <is>
          <t>VETLANDA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3621-2025</t>
        </is>
      </c>
      <c r="B2212" s="1" t="n">
        <v>45681</v>
      </c>
      <c r="C2212" s="1" t="n">
        <v>45704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3625-2025</t>
        </is>
      </c>
      <c r="B2213" s="1" t="n">
        <v>45681</v>
      </c>
      <c r="C2213" s="1" t="n">
        <v>45704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3633-2025</t>
        </is>
      </c>
      <c r="B2214" s="1" t="n">
        <v>45681</v>
      </c>
      <c r="C2214" s="1" t="n">
        <v>45704</v>
      </c>
      <c r="D2214" t="inlineStr">
        <is>
          <t>JÖNKÖPINGS LÄN</t>
        </is>
      </c>
      <c r="E2214" t="inlineStr">
        <is>
          <t>VETLANDA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4061-2025</t>
        </is>
      </c>
      <c r="B2215" s="1" t="n">
        <v>45684</v>
      </c>
      <c r="C2215" s="1" t="n">
        <v>45704</v>
      </c>
      <c r="D2215" t="inlineStr">
        <is>
          <t>JÖNKÖPINGS LÄN</t>
        </is>
      </c>
      <c r="E2215" t="inlineStr">
        <is>
          <t>VETLANDA</t>
        </is>
      </c>
      <c r="F2215" t="inlineStr">
        <is>
          <t>Sveaskog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4064-2025</t>
        </is>
      </c>
      <c r="B2216" s="1" t="n">
        <v>45684</v>
      </c>
      <c r="C2216" s="1" t="n">
        <v>45704</v>
      </c>
      <c r="D2216" t="inlineStr">
        <is>
          <t>JÖNKÖPINGS LÄN</t>
        </is>
      </c>
      <c r="E2216" t="inlineStr">
        <is>
          <t>VETLANDA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4068-2025</t>
        </is>
      </c>
      <c r="B2217" s="1" t="n">
        <v>45684</v>
      </c>
      <c r="C2217" s="1" t="n">
        <v>45704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45704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4066-2025</t>
        </is>
      </c>
      <c r="B2219" s="1" t="n">
        <v>45684</v>
      </c>
      <c r="C2219" s="1" t="n">
        <v>45704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4070-2025</t>
        </is>
      </c>
      <c r="B2220" s="1" t="n">
        <v>45684</v>
      </c>
      <c r="C2220" s="1" t="n">
        <v>45704</v>
      </c>
      <c r="D2220" t="inlineStr">
        <is>
          <t>JÖNKÖPINGS LÄN</t>
        </is>
      </c>
      <c r="E2220" t="inlineStr">
        <is>
          <t>VETLANDA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45704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45704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5199-2025</t>
        </is>
      </c>
      <c r="B2223" s="1" t="n">
        <v>45691</v>
      </c>
      <c r="C2223" s="1" t="n">
        <v>45704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5150-2025</t>
        </is>
      </c>
      <c r="B2224" s="1" t="n">
        <v>45691</v>
      </c>
      <c r="C2224" s="1" t="n">
        <v>45704</v>
      </c>
      <c r="D2224" t="inlineStr">
        <is>
          <t>JÖNKÖPINGS LÄN</t>
        </is>
      </c>
      <c r="E2224" t="inlineStr">
        <is>
          <t>VETLANDA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5136-2025</t>
        </is>
      </c>
      <c r="B2225" s="1" t="n">
        <v>45691</v>
      </c>
      <c r="C2225" s="1" t="n">
        <v>45704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5144-2025</t>
        </is>
      </c>
      <c r="B2226" s="1" t="n">
        <v>45691</v>
      </c>
      <c r="C2226" s="1" t="n">
        <v>45704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5148-2025</t>
        </is>
      </c>
      <c r="B2227" s="1" t="n">
        <v>45691</v>
      </c>
      <c r="C2227" s="1" t="n">
        <v>45704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5194-2025</t>
        </is>
      </c>
      <c r="B2228" s="1" t="n">
        <v>45691</v>
      </c>
      <c r="C2228" s="1" t="n">
        <v>45704</v>
      </c>
      <c r="D2228" t="inlineStr">
        <is>
          <t>JÖNKÖPINGS LÄN</t>
        </is>
      </c>
      <c r="E2228" t="inlineStr">
        <is>
          <t>VETLANDA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5163-2025</t>
        </is>
      </c>
      <c r="B2229" s="1" t="n">
        <v>45691</v>
      </c>
      <c r="C2229" s="1" t="n">
        <v>45704</v>
      </c>
      <c r="D2229" t="inlineStr">
        <is>
          <t>JÖNKÖPINGS LÄN</t>
        </is>
      </c>
      <c r="E2229" t="inlineStr">
        <is>
          <t>VETLANDA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5277-2025</t>
        </is>
      </c>
      <c r="B2230" s="1" t="n">
        <v>45692</v>
      </c>
      <c r="C2230" s="1" t="n">
        <v>45704</v>
      </c>
      <c r="D2230" t="inlineStr">
        <is>
          <t>JÖNKÖPINGS LÄN</t>
        </is>
      </c>
      <c r="E2230" t="inlineStr">
        <is>
          <t>VETLANDA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5379-2025</t>
        </is>
      </c>
      <c r="B2231" s="1" t="n">
        <v>45692</v>
      </c>
      <c r="C2231" s="1" t="n">
        <v>45704</v>
      </c>
      <c r="D2231" t="inlineStr">
        <is>
          <t>JÖNKÖPINGS LÄN</t>
        </is>
      </c>
      <c r="E2231" t="inlineStr">
        <is>
          <t>VETLANDA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5396-2025</t>
        </is>
      </c>
      <c r="B2232" s="1" t="n">
        <v>45692</v>
      </c>
      <c r="C2232" s="1" t="n">
        <v>45704</v>
      </c>
      <c r="D2232" t="inlineStr">
        <is>
          <t>JÖNKÖPINGS LÄN</t>
        </is>
      </c>
      <c r="E2232" t="inlineStr">
        <is>
          <t>VETLANDA</t>
        </is>
      </c>
      <c r="G2232" t="n">
        <v>6.5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5365-2025</t>
        </is>
      </c>
      <c r="B2233" s="1" t="n">
        <v>45692</v>
      </c>
      <c r="C2233" s="1" t="n">
        <v>45704</v>
      </c>
      <c r="D2233" t="inlineStr">
        <is>
          <t>JÖNKÖPINGS LÄN</t>
        </is>
      </c>
      <c r="E2233" t="inlineStr">
        <is>
          <t>VETLANDA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5492-2025</t>
        </is>
      </c>
      <c r="B2234" s="1" t="n">
        <v>45693</v>
      </c>
      <c r="C2234" s="1" t="n">
        <v>45704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5499-2025</t>
        </is>
      </c>
      <c r="B2235" s="1" t="n">
        <v>45693</v>
      </c>
      <c r="C2235" s="1" t="n">
        <v>45704</v>
      </c>
      <c r="D2235" t="inlineStr">
        <is>
          <t>JÖNKÖPINGS LÄN</t>
        </is>
      </c>
      <c r="E2235" t="inlineStr">
        <is>
          <t>VETLANDA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6332-2025</t>
        </is>
      </c>
      <c r="B2236" s="1" t="n">
        <v>45698</v>
      </c>
      <c r="C2236" s="1" t="n">
        <v>45704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6372-2025</t>
        </is>
      </c>
      <c r="B2237" s="1" t="n">
        <v>45699</v>
      </c>
      <c r="C2237" s="1" t="n">
        <v>45704</v>
      </c>
      <c r="D2237" t="inlineStr">
        <is>
          <t>JÖNKÖPINGS LÄN</t>
        </is>
      </c>
      <c r="E2237" t="inlineStr">
        <is>
          <t>VETLANDA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6433-2025</t>
        </is>
      </c>
      <c r="B2238" s="1" t="n">
        <v>45699</v>
      </c>
      <c r="C2238" s="1" t="n">
        <v>45704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6582-2025</t>
        </is>
      </c>
      <c r="B2239" s="1" t="n">
        <v>45700</v>
      </c>
      <c r="C2239" s="1" t="n">
        <v>45704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6584-2025</t>
        </is>
      </c>
      <c r="B2240" s="1" t="n">
        <v>45700</v>
      </c>
      <c r="C2240" s="1" t="n">
        <v>45704</v>
      </c>
      <c r="D2240" t="inlineStr">
        <is>
          <t>JÖNKÖPINGS LÄN</t>
        </is>
      </c>
      <c r="E2240" t="inlineStr">
        <is>
          <t>VETLANDA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6588-2025</t>
        </is>
      </c>
      <c r="B2241" s="1" t="n">
        <v>45700</v>
      </c>
      <c r="C2241" s="1" t="n">
        <v>45704</v>
      </c>
      <c r="D2241" t="inlineStr">
        <is>
          <t>JÖNKÖPINGS LÄN</t>
        </is>
      </c>
      <c r="E2241" t="inlineStr">
        <is>
          <t>VETLANDA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6864-2025</t>
        </is>
      </c>
      <c r="B2242" s="1" t="n">
        <v>45701</v>
      </c>
      <c r="C2242" s="1" t="n">
        <v>45704</v>
      </c>
      <c r="D2242" t="inlineStr">
        <is>
          <t>JÖNKÖPINGS LÄN</t>
        </is>
      </c>
      <c r="E2242" t="inlineStr">
        <is>
          <t>VETLANDA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6868-2025</t>
        </is>
      </c>
      <c r="B2243" s="1" t="n">
        <v>45701</v>
      </c>
      <c r="C2243" s="1" t="n">
        <v>45704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7000-2025</t>
        </is>
      </c>
      <c r="B2244" s="1" t="n">
        <v>45701</v>
      </c>
      <c r="C2244" s="1" t="n">
        <v>45704</v>
      </c>
      <c r="D2244" t="inlineStr">
        <is>
          <t>JÖNKÖPINGS LÄN</t>
        </is>
      </c>
      <c r="E2244" t="inlineStr">
        <is>
          <t>VETLANDA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7034-2025</t>
        </is>
      </c>
      <c r="B2245" s="1" t="n">
        <v>45701</v>
      </c>
      <c r="C2245" s="1" t="n">
        <v>45704</v>
      </c>
      <c r="D2245" t="inlineStr">
        <is>
          <t>JÖNKÖPINGS LÄN</t>
        </is>
      </c>
      <c r="E2245" t="inlineStr">
        <is>
          <t>VETLANDA</t>
        </is>
      </c>
      <c r="F2245" t="inlineStr">
        <is>
          <t>Sveaskog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7041-2025</t>
        </is>
      </c>
      <c r="B2246" s="1" t="n">
        <v>45701</v>
      </c>
      <c r="C2246" s="1" t="n">
        <v>45704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45704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7200-2025</t>
        </is>
      </c>
      <c r="B2248" s="1" t="n">
        <v>45702</v>
      </c>
      <c r="C2248" s="1" t="n">
        <v>45704</v>
      </c>
      <c r="D2248" t="inlineStr">
        <is>
          <t>JÖNKÖPINGS LÄN</t>
        </is>
      </c>
      <c r="E2248" t="inlineStr">
        <is>
          <t>VETLANDA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7113-2025</t>
        </is>
      </c>
      <c r="B2249" s="1" t="n">
        <v>45702</v>
      </c>
      <c r="C2249" s="1" t="n">
        <v>45704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>
      <c r="A2250" t="inlineStr">
        <is>
          <t>A 7186-2025</t>
        </is>
      </c>
      <c r="B2250" s="1" t="n">
        <v>45702</v>
      </c>
      <c r="C2250" s="1" t="n">
        <v>45704</v>
      </c>
      <c r="D2250" t="inlineStr">
        <is>
          <t>JÖNKÖPINGS LÄN</t>
        </is>
      </c>
      <c r="E2250" t="inlineStr">
        <is>
          <t>VETLANDA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2025-02-16T15:59:11Z</dcterms:created>
  <dcterms:modified xmlns:dcterms="http://purl.org/dc/terms/" xmlns:xsi="http://www.w3.org/2001/XMLSchema-instance" xsi:type="dcterms:W3CDTF">2025-02-16T15:59:13Z</dcterms:modified>
</cp:coreProperties>
</file>