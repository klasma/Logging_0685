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45347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45347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45347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45347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45347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45347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45347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45347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45347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45347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45347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45347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45347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45347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45347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45347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45347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45347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45347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45347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45347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45347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45347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45347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45347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45347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45347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45347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45347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45347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45347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45347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45347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45347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45347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45347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45347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45347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45347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45347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45347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45347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45347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45347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45347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45347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45347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34244-2018</t>
        </is>
      </c>
      <c r="B49" s="1" t="n">
        <v>43318</v>
      </c>
      <c r="C49" s="1" t="n">
        <v>45347</v>
      </c>
      <c r="D49" t="inlineStr">
        <is>
          <t>JÖNKÖPINGS LÄN</t>
        </is>
      </c>
      <c r="E49" t="inlineStr">
        <is>
          <t>VETLANDA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HYPERLINK("https://klasma.github.io/Logging_0685/artfynd/A 34244-2018 artfynd.xlsx", "A 34244-2018")</f>
        <v/>
      </c>
      <c r="T49">
        <f>HYPERLINK("https://klasma.github.io/Logging_0685/kartor/A 34244-2018 karta.png", "A 34244-2018")</f>
        <v/>
      </c>
      <c r="V49">
        <f>HYPERLINK("https://klasma.github.io/Logging_0685/klagomål/A 34244-2018 FSC-klagomål.docx", "A 34244-2018")</f>
        <v/>
      </c>
      <c r="W49">
        <f>HYPERLINK("https://klasma.github.io/Logging_0685/klagomålsmail/A 34244-2018 FSC-klagomål mail.docx", "A 34244-2018")</f>
        <v/>
      </c>
      <c r="X49">
        <f>HYPERLINK("https://klasma.github.io/Logging_0685/tillsyn/A 34244-2018 tillsynsbegäran.docx", "A 34244-2018")</f>
        <v/>
      </c>
      <c r="Y49">
        <f>HYPERLINK("https://klasma.github.io/Logging_0685/tillsynsmail/A 34244-2018 tillsynsbegäran mail.docx", "A 34244-2018")</f>
        <v/>
      </c>
    </row>
    <row r="50" ht="15" customHeight="1">
      <c r="A50" t="inlineStr">
        <is>
          <t>A 36024-2018</t>
        </is>
      </c>
      <c r="B50" s="1" t="n">
        <v>43327</v>
      </c>
      <c r="C50" s="1" t="n">
        <v>45347</v>
      </c>
      <c r="D50" t="inlineStr">
        <is>
          <t>JÖNKÖPINGS LÄN</t>
        </is>
      </c>
      <c r="E50" t="inlineStr">
        <is>
          <t>VETLANDA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Kvällsmaskros</t>
        </is>
      </c>
      <c r="S50">
        <f>HYPERLINK("https://klasma.github.io/Logging_0685/artfynd/A 36024-2018 artfynd.xlsx", "A 36024-2018")</f>
        <v/>
      </c>
      <c r="T50">
        <f>HYPERLINK("https://klasma.github.io/Logging_0685/kartor/A 36024-2018 karta.png", "A 36024-2018")</f>
        <v/>
      </c>
      <c r="V50">
        <f>HYPERLINK("https://klasma.github.io/Logging_0685/klagomål/A 36024-2018 FSC-klagomål.docx", "A 36024-2018")</f>
        <v/>
      </c>
      <c r="W50">
        <f>HYPERLINK("https://klasma.github.io/Logging_0685/klagomålsmail/A 36024-2018 FSC-klagomål mail.docx", "A 36024-2018")</f>
        <v/>
      </c>
      <c r="X50">
        <f>HYPERLINK("https://klasma.github.io/Logging_0685/tillsyn/A 36024-2018 tillsynsbegäran.docx", "A 36024-2018")</f>
        <v/>
      </c>
      <c r="Y50">
        <f>HYPERLINK("https://klasma.github.io/Logging_0685/tillsynsmail/A 36024-2018 tillsynsbegäran mail.docx", "A 36024-2018")</f>
        <v/>
      </c>
    </row>
    <row r="51" ht="15" customHeight="1">
      <c r="A51" t="inlineStr">
        <is>
          <t>A 36077-2018</t>
        </is>
      </c>
      <c r="B51" s="1" t="n">
        <v>43327</v>
      </c>
      <c r="C51" s="1" t="n">
        <v>45347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36077-2018 artfynd.xlsx", "A 36077-2018")</f>
        <v/>
      </c>
      <c r="T51">
        <f>HYPERLINK("https://klasma.github.io/Logging_0685/kartor/A 36077-2018 karta.png", "A 36077-2018")</f>
        <v/>
      </c>
      <c r="U51">
        <f>HYPERLINK("https://klasma.github.io/Logging_0685/knärot/A 36077-2018 karta knärot.png", "A 36077-2018")</f>
        <v/>
      </c>
      <c r="V51">
        <f>HYPERLINK("https://klasma.github.io/Logging_0685/klagomål/A 36077-2018 FSC-klagomål.docx", "A 36077-2018")</f>
        <v/>
      </c>
      <c r="W51">
        <f>HYPERLINK("https://klasma.github.io/Logging_0685/klagomålsmail/A 36077-2018 FSC-klagomål mail.docx", "A 36077-2018")</f>
        <v/>
      </c>
      <c r="X51">
        <f>HYPERLINK("https://klasma.github.io/Logging_0685/tillsyn/A 36077-2018 tillsynsbegäran.docx", "A 36077-2018")</f>
        <v/>
      </c>
      <c r="Y51">
        <f>HYPERLINK("https://klasma.github.io/Logging_0685/tillsynsmail/A 36077-2018 tillsynsbegäran mail.docx", "A 36077-2018")</f>
        <v/>
      </c>
    </row>
    <row r="52" ht="15" customHeight="1">
      <c r="A52" t="inlineStr">
        <is>
          <t>A 39566-2018</t>
        </is>
      </c>
      <c r="B52" s="1" t="n">
        <v>43342</v>
      </c>
      <c r="C52" s="1" t="n">
        <v>45347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HYPERLINK("https://klasma.github.io/Logging_0685/artfynd/A 39566-2018 artfynd.xlsx", "A 39566-2018")</f>
        <v/>
      </c>
      <c r="T52">
        <f>HYPERLINK("https://klasma.github.io/Logging_0685/kartor/A 39566-2018 karta.png", "A 39566-2018")</f>
        <v/>
      </c>
      <c r="U52">
        <f>HYPERLINK("https://klasma.github.io/Logging_0685/knärot/A 39566-2018 karta knärot.png", "A 39566-2018")</f>
        <v/>
      </c>
      <c r="V52">
        <f>HYPERLINK("https://klasma.github.io/Logging_0685/klagomål/A 39566-2018 FSC-klagomål.docx", "A 39566-2018")</f>
        <v/>
      </c>
      <c r="W52">
        <f>HYPERLINK("https://klasma.github.io/Logging_0685/klagomålsmail/A 39566-2018 FSC-klagomål mail.docx", "A 39566-2018")</f>
        <v/>
      </c>
      <c r="X52">
        <f>HYPERLINK("https://klasma.github.io/Logging_0685/tillsyn/A 39566-2018 tillsynsbegäran.docx", "A 39566-2018")</f>
        <v/>
      </c>
      <c r="Y52">
        <f>HYPERLINK("https://klasma.github.io/Logging_0685/tillsynsmail/A 39566-2018 tillsynsbegäran mail.docx", "A 39566-2018")</f>
        <v/>
      </c>
    </row>
    <row r="53" ht="15" customHeight="1">
      <c r="A53" t="inlineStr">
        <is>
          <t>A 54407-2018</t>
        </is>
      </c>
      <c r="B53" s="1" t="n">
        <v>43390</v>
      </c>
      <c r="C53" s="1" t="n">
        <v>45347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HYPERLINK("https://klasma.github.io/Logging_0685/artfynd/A 54407-2018 artfynd.xlsx", "A 54407-2018")</f>
        <v/>
      </c>
      <c r="T53">
        <f>HYPERLINK("https://klasma.github.io/Logging_0685/kartor/A 54407-2018 karta.png", "A 54407-2018")</f>
        <v/>
      </c>
      <c r="V53">
        <f>HYPERLINK("https://klasma.github.io/Logging_0685/klagomål/A 54407-2018 FSC-klagomål.docx", "A 54407-2018")</f>
        <v/>
      </c>
      <c r="W53">
        <f>HYPERLINK("https://klasma.github.io/Logging_0685/klagomålsmail/A 54407-2018 FSC-klagomål mail.docx", "A 54407-2018")</f>
        <v/>
      </c>
      <c r="X53">
        <f>HYPERLINK("https://klasma.github.io/Logging_0685/tillsyn/A 54407-2018 tillsynsbegäran.docx", "A 54407-2018")</f>
        <v/>
      </c>
      <c r="Y53">
        <f>HYPERLINK("https://klasma.github.io/Logging_0685/tillsynsmail/A 54407-2018 tillsynsbegäran mail.docx", "A 54407-2018")</f>
        <v/>
      </c>
    </row>
    <row r="54" ht="15" customHeight="1">
      <c r="A54" t="inlineStr">
        <is>
          <t>A 58545-2018</t>
        </is>
      </c>
      <c r="B54" s="1" t="n">
        <v>43409</v>
      </c>
      <c r="C54" s="1" t="n">
        <v>45347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HYPERLINK("https://klasma.github.io/Logging_0685/artfynd/A 58545-2018 artfynd.xlsx", "A 58545-2018")</f>
        <v/>
      </c>
      <c r="T54">
        <f>HYPERLINK("https://klasma.github.io/Logging_0685/kartor/A 58545-2018 karta.png", "A 58545-2018")</f>
        <v/>
      </c>
      <c r="V54">
        <f>HYPERLINK("https://klasma.github.io/Logging_0685/klagomål/A 58545-2018 FSC-klagomål.docx", "A 58545-2018")</f>
        <v/>
      </c>
      <c r="W54">
        <f>HYPERLINK("https://klasma.github.io/Logging_0685/klagomålsmail/A 58545-2018 FSC-klagomål mail.docx", "A 58545-2018")</f>
        <v/>
      </c>
      <c r="X54">
        <f>HYPERLINK("https://klasma.github.io/Logging_0685/tillsyn/A 58545-2018 tillsynsbegäran.docx", "A 58545-2018")</f>
        <v/>
      </c>
      <c r="Y54">
        <f>HYPERLINK("https://klasma.github.io/Logging_0685/tillsynsmail/A 58545-2018 tillsynsbegäran mail.docx", "A 58545-2018")</f>
        <v/>
      </c>
    </row>
    <row r="55" ht="15" customHeight="1">
      <c r="A55" t="inlineStr">
        <is>
          <t>A 60040-2018</t>
        </is>
      </c>
      <c r="B55" s="1" t="n">
        <v>43412</v>
      </c>
      <c r="C55" s="1" t="n">
        <v>45347</v>
      </c>
      <c r="D55" t="inlineStr">
        <is>
          <t>JÖNKÖPINGS LÄN</t>
        </is>
      </c>
      <c r="E55" t="inlineStr">
        <is>
          <t>VETLANDA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60040-2018 artfynd.xlsx", "A 60040-2018")</f>
        <v/>
      </c>
      <c r="T55">
        <f>HYPERLINK("https://klasma.github.io/Logging_0685/kartor/A 60040-2018 karta.png", "A 60040-2018")</f>
        <v/>
      </c>
      <c r="U55">
        <f>HYPERLINK("https://klasma.github.io/Logging_0685/knärot/A 60040-2018 karta knärot.png", "A 60040-2018")</f>
        <v/>
      </c>
      <c r="V55">
        <f>HYPERLINK("https://klasma.github.io/Logging_0685/klagomål/A 60040-2018 FSC-klagomål.docx", "A 60040-2018")</f>
        <v/>
      </c>
      <c r="W55">
        <f>HYPERLINK("https://klasma.github.io/Logging_0685/klagomålsmail/A 60040-2018 FSC-klagomål mail.docx", "A 60040-2018")</f>
        <v/>
      </c>
      <c r="X55">
        <f>HYPERLINK("https://klasma.github.io/Logging_0685/tillsyn/A 60040-2018 tillsynsbegäran.docx", "A 60040-2018")</f>
        <v/>
      </c>
      <c r="Y55">
        <f>HYPERLINK("https://klasma.github.io/Logging_0685/tillsynsmail/A 60040-2018 tillsynsbegäran mail.docx", "A 60040-2018")</f>
        <v/>
      </c>
    </row>
    <row r="56" ht="15" customHeight="1">
      <c r="A56" t="inlineStr">
        <is>
          <t>A 65631-2018</t>
        </is>
      </c>
      <c r="B56" s="1" t="n">
        <v>43433</v>
      </c>
      <c r="C56" s="1" t="n">
        <v>45347</v>
      </c>
      <c r="D56" t="inlineStr">
        <is>
          <t>JÖNKÖPINGS LÄN</t>
        </is>
      </c>
      <c r="E56" t="inlineStr">
        <is>
          <t>VETLANDA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65631-2018 artfynd.xlsx", "A 65631-2018")</f>
        <v/>
      </c>
      <c r="T56">
        <f>HYPERLINK("https://klasma.github.io/Logging_0685/kartor/A 65631-2018 karta.png", "A 65631-2018")</f>
        <v/>
      </c>
      <c r="V56">
        <f>HYPERLINK("https://klasma.github.io/Logging_0685/klagomål/A 65631-2018 FSC-klagomål.docx", "A 65631-2018")</f>
        <v/>
      </c>
      <c r="W56">
        <f>HYPERLINK("https://klasma.github.io/Logging_0685/klagomålsmail/A 65631-2018 FSC-klagomål mail.docx", "A 65631-2018")</f>
        <v/>
      </c>
      <c r="X56">
        <f>HYPERLINK("https://klasma.github.io/Logging_0685/tillsyn/A 65631-2018 tillsynsbegäran.docx", "A 65631-2018")</f>
        <v/>
      </c>
      <c r="Y56">
        <f>HYPERLINK("https://klasma.github.io/Logging_0685/tillsynsmail/A 65631-2018 tillsynsbegäran mail.docx", "A 65631-2018")</f>
        <v/>
      </c>
    </row>
    <row r="57" ht="15" customHeight="1">
      <c r="A57" t="inlineStr">
        <is>
          <t>A 71791-2018</t>
        </is>
      </c>
      <c r="B57" s="1" t="n">
        <v>43454</v>
      </c>
      <c r="C57" s="1" t="n">
        <v>45347</v>
      </c>
      <c r="D57" t="inlineStr">
        <is>
          <t>JÖNKÖPINGS LÄN</t>
        </is>
      </c>
      <c r="E57" t="inlineStr">
        <is>
          <t>VETLANDA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HYPERLINK("https://klasma.github.io/Logging_0685/artfynd/A 71791-2018 artfynd.xlsx", "A 71791-2018")</f>
        <v/>
      </c>
      <c r="T57">
        <f>HYPERLINK("https://klasma.github.io/Logging_0685/kartor/A 71791-2018 karta.png", "A 71791-2018")</f>
        <v/>
      </c>
      <c r="V57">
        <f>HYPERLINK("https://klasma.github.io/Logging_0685/klagomål/A 71791-2018 FSC-klagomål.docx", "A 71791-2018")</f>
        <v/>
      </c>
      <c r="W57">
        <f>HYPERLINK("https://klasma.github.io/Logging_0685/klagomålsmail/A 71791-2018 FSC-klagomål mail.docx", "A 71791-2018")</f>
        <v/>
      </c>
      <c r="X57">
        <f>HYPERLINK("https://klasma.github.io/Logging_0685/tillsyn/A 71791-2018 tillsynsbegäran.docx", "A 71791-2018")</f>
        <v/>
      </c>
      <c r="Y57">
        <f>HYPERLINK("https://klasma.github.io/Logging_0685/tillsynsmail/A 71791-2018 tillsynsbegäran mail.docx", "A 71791-2018")</f>
        <v/>
      </c>
    </row>
    <row r="58" ht="15" customHeight="1">
      <c r="A58" t="inlineStr">
        <is>
          <t>A 5571-2019</t>
        </is>
      </c>
      <c r="B58" s="1" t="n">
        <v>43489</v>
      </c>
      <c r="C58" s="1" t="n">
        <v>45347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5571-2019 artfynd.xlsx", "A 5571-2019")</f>
        <v/>
      </c>
      <c r="T58">
        <f>HYPERLINK("https://klasma.github.io/Logging_0685/kartor/A 5571-2019 karta.png", "A 5571-2019")</f>
        <v/>
      </c>
      <c r="V58">
        <f>HYPERLINK("https://klasma.github.io/Logging_0685/klagomål/A 5571-2019 FSC-klagomål.docx", "A 5571-2019")</f>
        <v/>
      </c>
      <c r="W58">
        <f>HYPERLINK("https://klasma.github.io/Logging_0685/klagomålsmail/A 5571-2019 FSC-klagomål mail.docx", "A 5571-2019")</f>
        <v/>
      </c>
      <c r="X58">
        <f>HYPERLINK("https://klasma.github.io/Logging_0685/tillsyn/A 5571-2019 tillsynsbegäran.docx", "A 5571-2019")</f>
        <v/>
      </c>
      <c r="Y58">
        <f>HYPERLINK("https://klasma.github.io/Logging_0685/tillsynsmail/A 5571-2019 tillsynsbegäran mail.docx", "A 5571-2019")</f>
        <v/>
      </c>
      <c r="Z58">
        <f>HYPERLINK("https://klasma.github.io/Logging_0685/fåglar/A 5571-2019 prioriterade fågelarter.docx", "A 5571-2019")</f>
        <v/>
      </c>
    </row>
    <row r="59" ht="15" customHeight="1">
      <c r="A59" t="inlineStr">
        <is>
          <t>A 11495-2019</t>
        </is>
      </c>
      <c r="B59" s="1" t="n">
        <v>43517</v>
      </c>
      <c r="C59" s="1" t="n">
        <v>45347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11495-2019 artfynd.xlsx", "A 11495-2019")</f>
        <v/>
      </c>
      <c r="T59">
        <f>HYPERLINK("https://klasma.github.io/Logging_0685/kartor/A 11495-2019 karta.png", "A 11495-2019")</f>
        <v/>
      </c>
      <c r="V59">
        <f>HYPERLINK("https://klasma.github.io/Logging_0685/klagomål/A 11495-2019 FSC-klagomål.docx", "A 11495-2019")</f>
        <v/>
      </c>
      <c r="W59">
        <f>HYPERLINK("https://klasma.github.io/Logging_0685/klagomålsmail/A 11495-2019 FSC-klagomål mail.docx", "A 11495-2019")</f>
        <v/>
      </c>
      <c r="X59">
        <f>HYPERLINK("https://klasma.github.io/Logging_0685/tillsyn/A 11495-2019 tillsynsbegäran.docx", "A 11495-2019")</f>
        <v/>
      </c>
      <c r="Y59">
        <f>HYPERLINK("https://klasma.github.io/Logging_0685/tillsynsmail/A 11495-2019 tillsynsbegäran mail.docx", "A 11495-2019")</f>
        <v/>
      </c>
    </row>
    <row r="60" ht="15" customHeight="1">
      <c r="A60" t="inlineStr">
        <is>
          <t>A 12981-2019</t>
        </is>
      </c>
      <c r="B60" s="1" t="n">
        <v>43527</v>
      </c>
      <c r="C60" s="1" t="n">
        <v>45347</v>
      </c>
      <c r="D60" t="inlineStr">
        <is>
          <t>JÖNKÖPINGS LÄN</t>
        </is>
      </c>
      <c r="E60" t="inlineStr">
        <is>
          <t>VETLANDA</t>
        </is>
      </c>
      <c r="G60" t="n">
        <v>13.9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HYPERLINK("https://klasma.github.io/Logging_0685/artfynd/A 12981-2019 artfynd.xlsx", "A 12981-2019")</f>
        <v/>
      </c>
      <c r="T60">
        <f>HYPERLINK("https://klasma.github.io/Logging_0685/kartor/A 12981-2019 karta.png", "A 12981-2019")</f>
        <v/>
      </c>
      <c r="V60">
        <f>HYPERLINK("https://klasma.github.io/Logging_0685/klagomål/A 12981-2019 FSC-klagomål.docx", "A 12981-2019")</f>
        <v/>
      </c>
      <c r="W60">
        <f>HYPERLINK("https://klasma.github.io/Logging_0685/klagomålsmail/A 12981-2019 FSC-klagomål mail.docx", "A 12981-2019")</f>
        <v/>
      </c>
      <c r="X60">
        <f>HYPERLINK("https://klasma.github.io/Logging_0685/tillsyn/A 12981-2019 tillsynsbegäran.docx", "A 12981-2019")</f>
        <v/>
      </c>
      <c r="Y60">
        <f>HYPERLINK("https://klasma.github.io/Logging_0685/tillsynsmail/A 12981-2019 tillsynsbegäran mail.docx", "A 12981-2019")</f>
        <v/>
      </c>
    </row>
    <row r="61" ht="15" customHeight="1">
      <c r="A61" t="inlineStr">
        <is>
          <t>A 20306-2019</t>
        </is>
      </c>
      <c r="B61" s="1" t="n">
        <v>43571</v>
      </c>
      <c r="C61" s="1" t="n">
        <v>45347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HYPERLINK("https://klasma.github.io/Logging_0685/artfynd/A 20306-2019 artfynd.xlsx", "A 20306-2019")</f>
        <v/>
      </c>
      <c r="T61">
        <f>HYPERLINK("https://klasma.github.io/Logging_0685/kartor/A 20306-2019 karta.png", "A 20306-2019")</f>
        <v/>
      </c>
      <c r="V61">
        <f>HYPERLINK("https://klasma.github.io/Logging_0685/klagomål/A 20306-2019 FSC-klagomål.docx", "A 20306-2019")</f>
        <v/>
      </c>
      <c r="W61">
        <f>HYPERLINK("https://klasma.github.io/Logging_0685/klagomålsmail/A 20306-2019 FSC-klagomål mail.docx", "A 20306-2019")</f>
        <v/>
      </c>
      <c r="X61">
        <f>HYPERLINK("https://klasma.github.io/Logging_0685/tillsyn/A 20306-2019 tillsynsbegäran.docx", "A 20306-2019")</f>
        <v/>
      </c>
      <c r="Y61">
        <f>HYPERLINK("https://klasma.github.io/Logging_0685/tillsynsmail/A 20306-2019 tillsynsbegäran mail.docx", "A 20306-2019")</f>
        <v/>
      </c>
    </row>
    <row r="62" ht="15" customHeight="1">
      <c r="A62" t="inlineStr">
        <is>
          <t>A 20308-2019</t>
        </is>
      </c>
      <c r="B62" s="1" t="n">
        <v>43571</v>
      </c>
      <c r="C62" s="1" t="n">
        <v>45347</v>
      </c>
      <c r="D62" t="inlineStr">
        <is>
          <t>JÖNKÖPINGS LÄN</t>
        </is>
      </c>
      <c r="E62" t="inlineStr">
        <is>
          <t>VETLANDA</t>
        </is>
      </c>
      <c r="G62" t="n">
        <v>7.1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20308-2019 artfynd.xlsx", "A 20308-2019")</f>
        <v/>
      </c>
      <c r="T62">
        <f>HYPERLINK("https://klasma.github.io/Logging_0685/kartor/A 20308-2019 karta.png", "A 20308-2019")</f>
        <v/>
      </c>
      <c r="U62">
        <f>HYPERLINK("https://klasma.github.io/Logging_0685/knärot/A 20308-2019 karta knärot.png", "A 20308-2019")</f>
        <v/>
      </c>
      <c r="V62">
        <f>HYPERLINK("https://klasma.github.io/Logging_0685/klagomål/A 20308-2019 FSC-klagomål.docx", "A 20308-2019")</f>
        <v/>
      </c>
      <c r="W62">
        <f>HYPERLINK("https://klasma.github.io/Logging_0685/klagomålsmail/A 20308-2019 FSC-klagomål mail.docx", "A 20308-2019")</f>
        <v/>
      </c>
      <c r="X62">
        <f>HYPERLINK("https://klasma.github.io/Logging_0685/tillsyn/A 20308-2019 tillsynsbegäran.docx", "A 20308-2019")</f>
        <v/>
      </c>
      <c r="Y62">
        <f>HYPERLINK("https://klasma.github.io/Logging_0685/tillsynsmail/A 20308-2019 tillsynsbegäran mail.docx", "A 20308-2019")</f>
        <v/>
      </c>
    </row>
    <row r="63" ht="15" customHeight="1">
      <c r="A63" t="inlineStr">
        <is>
          <t>A 23988-2019</t>
        </is>
      </c>
      <c r="B63" s="1" t="n">
        <v>43595</v>
      </c>
      <c r="C63" s="1" t="n">
        <v>45347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23988-2019 artfynd.xlsx", "A 23988-2019")</f>
        <v/>
      </c>
      <c r="T63">
        <f>HYPERLINK("https://klasma.github.io/Logging_0685/kartor/A 23988-2019 karta.png", "A 23988-2019")</f>
        <v/>
      </c>
      <c r="V63">
        <f>HYPERLINK("https://klasma.github.io/Logging_0685/klagomål/A 23988-2019 FSC-klagomål.docx", "A 23988-2019")</f>
        <v/>
      </c>
      <c r="W63">
        <f>HYPERLINK("https://klasma.github.io/Logging_0685/klagomålsmail/A 23988-2019 FSC-klagomål mail.docx", "A 23988-2019")</f>
        <v/>
      </c>
      <c r="X63">
        <f>HYPERLINK("https://klasma.github.io/Logging_0685/tillsyn/A 23988-2019 tillsynsbegäran.docx", "A 23988-2019")</f>
        <v/>
      </c>
      <c r="Y63">
        <f>HYPERLINK("https://klasma.github.io/Logging_0685/tillsynsmail/A 23988-2019 tillsynsbegäran mail.docx", "A 23988-2019")</f>
        <v/>
      </c>
    </row>
    <row r="64" ht="15" customHeight="1">
      <c r="A64" t="inlineStr">
        <is>
          <t>A 25880-2019</t>
        </is>
      </c>
      <c r="B64" s="1" t="n">
        <v>43605</v>
      </c>
      <c r="C64" s="1" t="n">
        <v>45347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4.8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25880-2019 artfynd.xlsx", "A 25880-2019")</f>
        <v/>
      </c>
      <c r="T64">
        <f>HYPERLINK("https://klasma.github.io/Logging_0685/kartor/A 25880-2019 karta.png", "A 25880-2019")</f>
        <v/>
      </c>
      <c r="U64">
        <f>HYPERLINK("https://klasma.github.io/Logging_0685/knärot/A 25880-2019 karta knärot.png", "A 25880-2019")</f>
        <v/>
      </c>
      <c r="V64">
        <f>HYPERLINK("https://klasma.github.io/Logging_0685/klagomål/A 25880-2019 FSC-klagomål.docx", "A 25880-2019")</f>
        <v/>
      </c>
      <c r="W64">
        <f>HYPERLINK("https://klasma.github.io/Logging_0685/klagomålsmail/A 25880-2019 FSC-klagomål mail.docx", "A 25880-2019")</f>
        <v/>
      </c>
      <c r="X64">
        <f>HYPERLINK("https://klasma.github.io/Logging_0685/tillsyn/A 25880-2019 tillsynsbegäran.docx", "A 25880-2019")</f>
        <v/>
      </c>
      <c r="Y64">
        <f>HYPERLINK("https://klasma.github.io/Logging_0685/tillsynsmail/A 25880-2019 tillsynsbegäran mail.docx", "A 25880-2019")</f>
        <v/>
      </c>
    </row>
    <row r="65" ht="15" customHeight="1">
      <c r="A65" t="inlineStr">
        <is>
          <t>A 30971-2019</t>
        </is>
      </c>
      <c r="B65" s="1" t="n">
        <v>43639</v>
      </c>
      <c r="C65" s="1" t="n">
        <v>45347</v>
      </c>
      <c r="D65" t="inlineStr">
        <is>
          <t>JÖNKÖPINGS LÄN</t>
        </is>
      </c>
      <c r="E65" t="inlineStr">
        <is>
          <t>VETLANDA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HYPERLINK("https://klasma.github.io/Logging_0685/artfynd/A 30971-2019 artfynd.xlsx", "A 30971-2019")</f>
        <v/>
      </c>
      <c r="T65">
        <f>HYPERLINK("https://klasma.github.io/Logging_0685/kartor/A 30971-2019 karta.png", "A 30971-2019")</f>
        <v/>
      </c>
      <c r="V65">
        <f>HYPERLINK("https://klasma.github.io/Logging_0685/klagomål/A 30971-2019 FSC-klagomål.docx", "A 30971-2019")</f>
        <v/>
      </c>
      <c r="W65">
        <f>HYPERLINK("https://klasma.github.io/Logging_0685/klagomålsmail/A 30971-2019 FSC-klagomål mail.docx", "A 30971-2019")</f>
        <v/>
      </c>
      <c r="X65">
        <f>HYPERLINK("https://klasma.github.io/Logging_0685/tillsyn/A 30971-2019 tillsynsbegäran.docx", "A 30971-2019")</f>
        <v/>
      </c>
      <c r="Y65">
        <f>HYPERLINK("https://klasma.github.io/Logging_0685/tillsynsmail/A 30971-2019 tillsynsbegäran mail.docx", "A 30971-2019")</f>
        <v/>
      </c>
    </row>
    <row r="66" ht="15" customHeight="1">
      <c r="A66" t="inlineStr">
        <is>
          <t>A 45093-2019</t>
        </is>
      </c>
      <c r="B66" s="1" t="n">
        <v>43713</v>
      </c>
      <c r="C66" s="1" t="n">
        <v>45347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45093-2019 artfynd.xlsx", "A 45093-2019")</f>
        <v/>
      </c>
      <c r="T66">
        <f>HYPERLINK("https://klasma.github.io/Logging_0685/kartor/A 45093-2019 karta.png", "A 45093-2019")</f>
        <v/>
      </c>
      <c r="V66">
        <f>HYPERLINK("https://klasma.github.io/Logging_0685/klagomål/A 45093-2019 FSC-klagomål.docx", "A 45093-2019")</f>
        <v/>
      </c>
      <c r="W66">
        <f>HYPERLINK("https://klasma.github.io/Logging_0685/klagomålsmail/A 45093-2019 FSC-klagomål mail.docx", "A 45093-2019")</f>
        <v/>
      </c>
      <c r="X66">
        <f>HYPERLINK("https://klasma.github.io/Logging_0685/tillsyn/A 45093-2019 tillsynsbegäran.docx", "A 45093-2019")</f>
        <v/>
      </c>
      <c r="Y66">
        <f>HYPERLINK("https://klasma.github.io/Logging_0685/tillsynsmail/A 45093-2019 tillsynsbegäran mail.docx", "A 45093-2019")</f>
        <v/>
      </c>
    </row>
    <row r="67" ht="15" customHeight="1">
      <c r="A67" t="inlineStr">
        <is>
          <t>A 46208-2019</t>
        </is>
      </c>
      <c r="B67" s="1" t="n">
        <v>43718</v>
      </c>
      <c r="C67" s="1" t="n">
        <v>45347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HYPERLINK("https://klasma.github.io/Logging_0685/artfynd/A 46208-2019 artfynd.xlsx", "A 46208-2019")</f>
        <v/>
      </c>
      <c r="T67">
        <f>HYPERLINK("https://klasma.github.io/Logging_0685/kartor/A 46208-2019 karta.png", "A 46208-2019")</f>
        <v/>
      </c>
      <c r="V67">
        <f>HYPERLINK("https://klasma.github.io/Logging_0685/klagomål/A 46208-2019 FSC-klagomål.docx", "A 46208-2019")</f>
        <v/>
      </c>
      <c r="W67">
        <f>HYPERLINK("https://klasma.github.io/Logging_0685/klagomålsmail/A 46208-2019 FSC-klagomål mail.docx", "A 46208-2019")</f>
        <v/>
      </c>
      <c r="X67">
        <f>HYPERLINK("https://klasma.github.io/Logging_0685/tillsyn/A 46208-2019 tillsynsbegäran.docx", "A 46208-2019")</f>
        <v/>
      </c>
      <c r="Y67">
        <f>HYPERLINK("https://klasma.github.io/Logging_0685/tillsynsmail/A 46208-2019 tillsynsbegäran mail.docx", "A 46208-2019")</f>
        <v/>
      </c>
    </row>
    <row r="68" ht="15" customHeight="1">
      <c r="A68" t="inlineStr">
        <is>
          <t>A 47251-2019</t>
        </is>
      </c>
      <c r="B68" s="1" t="n">
        <v>43721</v>
      </c>
      <c r="C68" s="1" t="n">
        <v>45347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47251-2019 artfynd.xlsx", "A 47251-2019")</f>
        <v/>
      </c>
      <c r="T68">
        <f>HYPERLINK("https://klasma.github.io/Logging_0685/kartor/A 47251-2019 karta.png", "A 47251-2019")</f>
        <v/>
      </c>
      <c r="U68">
        <f>HYPERLINK("https://klasma.github.io/Logging_0685/knärot/A 47251-2019 karta knärot.png", "A 47251-2019")</f>
        <v/>
      </c>
      <c r="V68">
        <f>HYPERLINK("https://klasma.github.io/Logging_0685/klagomål/A 47251-2019 FSC-klagomål.docx", "A 47251-2019")</f>
        <v/>
      </c>
      <c r="W68">
        <f>HYPERLINK("https://klasma.github.io/Logging_0685/klagomålsmail/A 47251-2019 FSC-klagomål mail.docx", "A 47251-2019")</f>
        <v/>
      </c>
      <c r="X68">
        <f>HYPERLINK("https://klasma.github.io/Logging_0685/tillsyn/A 47251-2019 tillsynsbegäran.docx", "A 47251-2019")</f>
        <v/>
      </c>
      <c r="Y68">
        <f>HYPERLINK("https://klasma.github.io/Logging_0685/tillsynsmail/A 47251-2019 tillsynsbegäran mail.docx", "A 47251-2019")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45347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45347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36801-2020</t>
        </is>
      </c>
      <c r="B71" s="1" t="n">
        <v>44053</v>
      </c>
      <c r="C71" s="1" t="n">
        <v>45347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36801-2020 artfynd.xlsx", "A 36801-2020")</f>
        <v/>
      </c>
      <c r="T71">
        <f>HYPERLINK("https://klasma.github.io/Logging_0685/kartor/A 36801-2020 karta.png", "A 36801-2020")</f>
        <v/>
      </c>
      <c r="V71">
        <f>HYPERLINK("https://klasma.github.io/Logging_0685/klagomål/A 36801-2020 FSC-klagomål.docx", "A 36801-2020")</f>
        <v/>
      </c>
      <c r="W71">
        <f>HYPERLINK("https://klasma.github.io/Logging_0685/klagomålsmail/A 36801-2020 FSC-klagomål mail.docx", "A 36801-2020")</f>
        <v/>
      </c>
      <c r="X71">
        <f>HYPERLINK("https://klasma.github.io/Logging_0685/tillsyn/A 36801-2020 tillsynsbegäran.docx", "A 36801-2020")</f>
        <v/>
      </c>
      <c r="Y71">
        <f>HYPERLINK("https://klasma.github.io/Logging_0685/tillsynsmail/A 36801-2020 tillsynsbegäran mail.docx", "A 36801-2020")</f>
        <v/>
      </c>
    </row>
    <row r="72" ht="15" customHeight="1">
      <c r="A72" t="inlineStr">
        <is>
          <t>A 39588-2020</t>
        </is>
      </c>
      <c r="B72" s="1" t="n">
        <v>44064</v>
      </c>
      <c r="C72" s="1" t="n">
        <v>45347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39588-2020 artfynd.xlsx", "A 39588-2020")</f>
        <v/>
      </c>
      <c r="T72">
        <f>HYPERLINK("https://klasma.github.io/Logging_0685/kartor/A 39588-2020 karta.png", "A 39588-2020")</f>
        <v/>
      </c>
      <c r="V72">
        <f>HYPERLINK("https://klasma.github.io/Logging_0685/klagomål/A 39588-2020 FSC-klagomål.docx", "A 39588-2020")</f>
        <v/>
      </c>
      <c r="W72">
        <f>HYPERLINK("https://klasma.github.io/Logging_0685/klagomålsmail/A 39588-2020 FSC-klagomål mail.docx", "A 39588-2020")</f>
        <v/>
      </c>
      <c r="X72">
        <f>HYPERLINK("https://klasma.github.io/Logging_0685/tillsyn/A 39588-2020 tillsynsbegäran.docx", "A 39588-2020")</f>
        <v/>
      </c>
      <c r="Y72">
        <f>HYPERLINK("https://klasma.github.io/Logging_0685/tillsynsmail/A 39588-2020 tillsynsbegäran mail.docx", "A 39588-2020")</f>
        <v/>
      </c>
    </row>
    <row r="73" ht="15" customHeight="1">
      <c r="A73" t="inlineStr">
        <is>
          <t>A 69070-2020</t>
        </is>
      </c>
      <c r="B73" s="1" t="n">
        <v>44187</v>
      </c>
      <c r="C73" s="1" t="n">
        <v>45347</v>
      </c>
      <c r="D73" t="inlineStr">
        <is>
          <t>JÖNKÖPINGS LÄN</t>
        </is>
      </c>
      <c r="E73" t="inlineStr">
        <is>
          <t>VETLANDA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HYPERLINK("https://klasma.github.io/Logging_0685/artfynd/A 69070-2020 artfynd.xlsx", "A 69070-2020")</f>
        <v/>
      </c>
      <c r="T73">
        <f>HYPERLINK("https://klasma.github.io/Logging_0685/kartor/A 69070-2020 karta.png", "A 69070-2020")</f>
        <v/>
      </c>
      <c r="V73">
        <f>HYPERLINK("https://klasma.github.io/Logging_0685/klagomål/A 69070-2020 FSC-klagomål.docx", "A 69070-2020")</f>
        <v/>
      </c>
      <c r="W73">
        <f>HYPERLINK("https://klasma.github.io/Logging_0685/klagomålsmail/A 69070-2020 FSC-klagomål mail.docx", "A 69070-2020")</f>
        <v/>
      </c>
      <c r="X73">
        <f>HYPERLINK("https://klasma.github.io/Logging_0685/tillsyn/A 69070-2020 tillsynsbegäran.docx", "A 69070-2020")</f>
        <v/>
      </c>
      <c r="Y73">
        <f>HYPERLINK("https://klasma.github.io/Logging_0685/tillsynsmail/A 69070-2020 tillsynsbegäran mail.docx", "A 69070-2020")</f>
        <v/>
      </c>
    </row>
    <row r="74" ht="15" customHeight="1">
      <c r="A74" t="inlineStr">
        <is>
          <t>A 14385-2021</t>
        </is>
      </c>
      <c r="B74" s="1" t="n">
        <v>44279</v>
      </c>
      <c r="C74" s="1" t="n">
        <v>45347</v>
      </c>
      <c r="D74" t="inlineStr">
        <is>
          <t>JÖNKÖPINGS LÄN</t>
        </is>
      </c>
      <c r="E74" t="inlineStr">
        <is>
          <t>VETLANDA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14385-2021 artfynd.xlsx", "A 14385-2021")</f>
        <v/>
      </c>
      <c r="T74">
        <f>HYPERLINK("https://klasma.github.io/Logging_0685/kartor/A 14385-2021 karta.png", "A 14385-2021")</f>
        <v/>
      </c>
      <c r="V74">
        <f>HYPERLINK("https://klasma.github.io/Logging_0685/klagomål/A 14385-2021 FSC-klagomål.docx", "A 14385-2021")</f>
        <v/>
      </c>
      <c r="W74">
        <f>HYPERLINK("https://klasma.github.io/Logging_0685/klagomålsmail/A 14385-2021 FSC-klagomål mail.docx", "A 14385-2021")</f>
        <v/>
      </c>
      <c r="X74">
        <f>HYPERLINK("https://klasma.github.io/Logging_0685/tillsyn/A 14385-2021 tillsynsbegäran.docx", "A 14385-2021")</f>
        <v/>
      </c>
      <c r="Y74">
        <f>HYPERLINK("https://klasma.github.io/Logging_0685/tillsynsmail/A 14385-2021 tillsynsbegäran mail.docx", "A 14385-2021")</f>
        <v/>
      </c>
    </row>
    <row r="75" ht="15" customHeight="1">
      <c r="A75" t="inlineStr">
        <is>
          <t>A 18270-2021</t>
        </is>
      </c>
      <c r="B75" s="1" t="n">
        <v>44305</v>
      </c>
      <c r="C75" s="1" t="n">
        <v>45347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HYPERLINK("https://klasma.github.io/Logging_0685/artfynd/A 18270-2021 artfynd.xlsx", "A 18270-2021")</f>
        <v/>
      </c>
      <c r="T75">
        <f>HYPERLINK("https://klasma.github.io/Logging_0685/kartor/A 18270-2021 karta.png", "A 18270-2021")</f>
        <v/>
      </c>
      <c r="V75">
        <f>HYPERLINK("https://klasma.github.io/Logging_0685/klagomål/A 18270-2021 FSC-klagomål.docx", "A 18270-2021")</f>
        <v/>
      </c>
      <c r="W75">
        <f>HYPERLINK("https://klasma.github.io/Logging_0685/klagomålsmail/A 18270-2021 FSC-klagomål mail.docx", "A 18270-2021")</f>
        <v/>
      </c>
      <c r="X75">
        <f>HYPERLINK("https://klasma.github.io/Logging_0685/tillsyn/A 18270-2021 tillsynsbegäran.docx", "A 18270-2021")</f>
        <v/>
      </c>
      <c r="Y75">
        <f>HYPERLINK("https://klasma.github.io/Logging_0685/tillsynsmail/A 18270-2021 tillsynsbegäran mail.docx", "A 18270-2021")</f>
        <v/>
      </c>
    </row>
    <row r="76" ht="15" customHeight="1">
      <c r="A76" t="inlineStr">
        <is>
          <t>A 44177-2021</t>
        </is>
      </c>
      <c r="B76" s="1" t="n">
        <v>44434</v>
      </c>
      <c r="C76" s="1" t="n">
        <v>45347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HYPERLINK("https://klasma.github.io/Logging_0685/artfynd/A 44177-2021 artfynd.xlsx", "A 44177-2021")</f>
        <v/>
      </c>
      <c r="T76">
        <f>HYPERLINK("https://klasma.github.io/Logging_0685/kartor/A 44177-2021 karta.png", "A 44177-2021")</f>
        <v/>
      </c>
      <c r="V76">
        <f>HYPERLINK("https://klasma.github.io/Logging_0685/klagomål/A 44177-2021 FSC-klagomål.docx", "A 44177-2021")</f>
        <v/>
      </c>
      <c r="W76">
        <f>HYPERLINK("https://klasma.github.io/Logging_0685/klagomålsmail/A 44177-2021 FSC-klagomål mail.docx", "A 44177-2021")</f>
        <v/>
      </c>
      <c r="X76">
        <f>HYPERLINK("https://klasma.github.io/Logging_0685/tillsyn/A 44177-2021 tillsynsbegäran.docx", "A 44177-2021")</f>
        <v/>
      </c>
      <c r="Y76">
        <f>HYPERLINK("https://klasma.github.io/Logging_0685/tillsynsmail/A 44177-2021 tillsynsbegäran mail.docx", "A 44177-2021")</f>
        <v/>
      </c>
    </row>
    <row r="77" ht="15" customHeight="1">
      <c r="A77" t="inlineStr">
        <is>
          <t>A 46862-2021</t>
        </is>
      </c>
      <c r="B77" s="1" t="n">
        <v>44446</v>
      </c>
      <c r="C77" s="1" t="n">
        <v>45347</v>
      </c>
      <c r="D77" t="inlineStr">
        <is>
          <t>JÖNKÖPINGS LÄN</t>
        </is>
      </c>
      <c r="E77" t="inlineStr">
        <is>
          <t>VETLANDA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HYPERLINK("https://klasma.github.io/Logging_0685/artfynd/A 46862-2021 artfynd.xlsx", "A 46862-2021")</f>
        <v/>
      </c>
      <c r="T77">
        <f>HYPERLINK("https://klasma.github.io/Logging_0685/kartor/A 46862-2021 karta.png", "A 46862-2021")</f>
        <v/>
      </c>
      <c r="V77">
        <f>HYPERLINK("https://klasma.github.io/Logging_0685/klagomål/A 46862-2021 FSC-klagomål.docx", "A 46862-2021")</f>
        <v/>
      </c>
      <c r="W77">
        <f>HYPERLINK("https://klasma.github.io/Logging_0685/klagomålsmail/A 46862-2021 FSC-klagomål mail.docx", "A 46862-2021")</f>
        <v/>
      </c>
      <c r="X77">
        <f>HYPERLINK("https://klasma.github.io/Logging_0685/tillsyn/A 46862-2021 tillsynsbegäran.docx", "A 46862-2021")</f>
        <v/>
      </c>
      <c r="Y77">
        <f>HYPERLINK("https://klasma.github.io/Logging_0685/tillsynsmail/A 46862-2021 tillsynsbegäran mail.docx", "A 46862-2021")</f>
        <v/>
      </c>
    </row>
    <row r="78" ht="15" customHeight="1">
      <c r="A78" t="inlineStr">
        <is>
          <t>A 49388-2021</t>
        </is>
      </c>
      <c r="B78" s="1" t="n">
        <v>44454</v>
      </c>
      <c r="C78" s="1" t="n">
        <v>45347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49388-2021 artfynd.xlsx", "A 49388-2021")</f>
        <v/>
      </c>
      <c r="T78">
        <f>HYPERLINK("https://klasma.github.io/Logging_0685/kartor/A 49388-2021 karta.png", "A 49388-2021")</f>
        <v/>
      </c>
      <c r="V78">
        <f>HYPERLINK("https://klasma.github.io/Logging_0685/klagomål/A 49388-2021 FSC-klagomål.docx", "A 49388-2021")</f>
        <v/>
      </c>
      <c r="W78">
        <f>HYPERLINK("https://klasma.github.io/Logging_0685/klagomålsmail/A 49388-2021 FSC-klagomål mail.docx", "A 49388-2021")</f>
        <v/>
      </c>
      <c r="X78">
        <f>HYPERLINK("https://klasma.github.io/Logging_0685/tillsyn/A 49388-2021 tillsynsbegäran.docx", "A 49388-2021")</f>
        <v/>
      </c>
      <c r="Y78">
        <f>HYPERLINK("https://klasma.github.io/Logging_0685/tillsynsmail/A 49388-2021 tillsynsbegäran mail.docx", "A 49388-2021")</f>
        <v/>
      </c>
    </row>
    <row r="79" ht="15" customHeight="1">
      <c r="A79" t="inlineStr">
        <is>
          <t>A 51852-2021</t>
        </is>
      </c>
      <c r="B79" s="1" t="n">
        <v>44462</v>
      </c>
      <c r="C79" s="1" t="n">
        <v>45347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51852-2021 artfynd.xlsx", "A 51852-2021")</f>
        <v/>
      </c>
      <c r="T79">
        <f>HYPERLINK("https://klasma.github.io/Logging_0685/kartor/A 51852-2021 karta.png", "A 51852-2021")</f>
        <v/>
      </c>
      <c r="V79">
        <f>HYPERLINK("https://klasma.github.io/Logging_0685/klagomål/A 51852-2021 FSC-klagomål.docx", "A 51852-2021")</f>
        <v/>
      </c>
      <c r="W79">
        <f>HYPERLINK("https://klasma.github.io/Logging_0685/klagomålsmail/A 51852-2021 FSC-klagomål mail.docx", "A 51852-2021")</f>
        <v/>
      </c>
      <c r="X79">
        <f>HYPERLINK("https://klasma.github.io/Logging_0685/tillsyn/A 51852-2021 tillsynsbegäran.docx", "A 51852-2021")</f>
        <v/>
      </c>
      <c r="Y79">
        <f>HYPERLINK("https://klasma.github.io/Logging_0685/tillsynsmail/A 51852-2021 tillsynsbegäran mail.docx", "A 51852-2021")</f>
        <v/>
      </c>
    </row>
    <row r="80" ht="15" customHeight="1">
      <c r="A80" t="inlineStr">
        <is>
          <t>A 64995-2021</t>
        </is>
      </c>
      <c r="B80" s="1" t="n">
        <v>44514</v>
      </c>
      <c r="C80" s="1" t="n">
        <v>45347</v>
      </c>
      <c r="D80" t="inlineStr">
        <is>
          <t>JÖNKÖPINGS LÄN</t>
        </is>
      </c>
      <c r="E80" t="inlineStr">
        <is>
          <t>VETLANDA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Trollsmultron</t>
        </is>
      </c>
      <c r="S80">
        <f>HYPERLINK("https://klasma.github.io/Logging_0685/artfynd/A 64995-2021 artfynd.xlsx", "A 64995-2021")</f>
        <v/>
      </c>
      <c r="T80">
        <f>HYPERLINK("https://klasma.github.io/Logging_0685/kartor/A 64995-2021 karta.png", "A 64995-2021")</f>
        <v/>
      </c>
      <c r="V80">
        <f>HYPERLINK("https://klasma.github.io/Logging_0685/klagomål/A 64995-2021 FSC-klagomål.docx", "A 64995-2021")</f>
        <v/>
      </c>
      <c r="W80">
        <f>HYPERLINK("https://klasma.github.io/Logging_0685/klagomålsmail/A 64995-2021 FSC-klagomål mail.docx", "A 64995-2021")</f>
        <v/>
      </c>
      <c r="X80">
        <f>HYPERLINK("https://klasma.github.io/Logging_0685/tillsyn/A 64995-2021 tillsynsbegäran.docx", "A 64995-2021")</f>
        <v/>
      </c>
      <c r="Y80">
        <f>HYPERLINK("https://klasma.github.io/Logging_0685/tillsynsmail/A 64995-2021 tillsynsbegäran mail.docx", "A 64995-2021")</f>
        <v/>
      </c>
    </row>
    <row r="81" ht="15" customHeight="1">
      <c r="A81" t="inlineStr">
        <is>
          <t>A 5498-2022</t>
        </is>
      </c>
      <c r="B81" s="1" t="n">
        <v>44595</v>
      </c>
      <c r="C81" s="1" t="n">
        <v>45347</v>
      </c>
      <c r="D81" t="inlineStr">
        <is>
          <t>JÖNKÖPINGS LÄN</t>
        </is>
      </c>
      <c r="E81" t="inlineStr">
        <is>
          <t>VETLANDA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5498-2022 artfynd.xlsx", "A 5498-2022")</f>
        <v/>
      </c>
      <c r="T81">
        <f>HYPERLINK("https://klasma.github.io/Logging_0685/kartor/A 5498-2022 karta.png", "A 5498-2022")</f>
        <v/>
      </c>
      <c r="V81">
        <f>HYPERLINK("https://klasma.github.io/Logging_0685/klagomål/A 5498-2022 FSC-klagomål.docx", "A 5498-2022")</f>
        <v/>
      </c>
      <c r="W81">
        <f>HYPERLINK("https://klasma.github.io/Logging_0685/klagomålsmail/A 5498-2022 FSC-klagomål mail.docx", "A 5498-2022")</f>
        <v/>
      </c>
      <c r="X81">
        <f>HYPERLINK("https://klasma.github.io/Logging_0685/tillsyn/A 5498-2022 tillsynsbegäran.docx", "A 5498-2022")</f>
        <v/>
      </c>
      <c r="Y81">
        <f>HYPERLINK("https://klasma.github.io/Logging_0685/tillsynsmail/A 5498-2022 tillsynsbegäran mail.docx", "A 5498-2022")</f>
        <v/>
      </c>
    </row>
    <row r="82" ht="15" customHeight="1">
      <c r="A82" t="inlineStr">
        <is>
          <t>A 26920-2022</t>
        </is>
      </c>
      <c r="B82" s="1" t="n">
        <v>44740</v>
      </c>
      <c r="C82" s="1" t="n">
        <v>45347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9.1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Adam och eva</t>
        </is>
      </c>
      <c r="S82">
        <f>HYPERLINK("https://klasma.github.io/Logging_0685/artfynd/A 26920-2022 artfynd.xlsx", "A 26920-2022")</f>
        <v/>
      </c>
      <c r="T82">
        <f>HYPERLINK("https://klasma.github.io/Logging_0685/kartor/A 26920-2022 karta.png", "A 26920-2022")</f>
        <v/>
      </c>
      <c r="V82">
        <f>HYPERLINK("https://klasma.github.io/Logging_0685/klagomål/A 26920-2022 FSC-klagomål.docx", "A 26920-2022")</f>
        <v/>
      </c>
      <c r="W82">
        <f>HYPERLINK("https://klasma.github.io/Logging_0685/klagomålsmail/A 26920-2022 FSC-klagomål mail.docx", "A 26920-2022")</f>
        <v/>
      </c>
      <c r="X82">
        <f>HYPERLINK("https://klasma.github.io/Logging_0685/tillsyn/A 26920-2022 tillsynsbegäran.docx", "A 26920-2022")</f>
        <v/>
      </c>
      <c r="Y82">
        <f>HYPERLINK("https://klasma.github.io/Logging_0685/tillsynsmail/A 26920-2022 tillsynsbegäran mail.docx", "A 26920-2022")</f>
        <v/>
      </c>
    </row>
    <row r="83" ht="15" customHeight="1">
      <c r="A83" t="inlineStr">
        <is>
          <t>A 28349-2022</t>
        </is>
      </c>
      <c r="B83" s="1" t="n">
        <v>44747</v>
      </c>
      <c r="C83" s="1" t="n">
        <v>45347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HYPERLINK("https://klasma.github.io/Logging_0685/artfynd/A 28349-2022 artfynd.xlsx", "A 28349-2022")</f>
        <v/>
      </c>
      <c r="T83">
        <f>HYPERLINK("https://klasma.github.io/Logging_0685/kartor/A 28349-2022 karta.png", "A 28349-2022")</f>
        <v/>
      </c>
      <c r="V83">
        <f>HYPERLINK("https://klasma.github.io/Logging_0685/klagomål/A 28349-2022 FSC-klagomål.docx", "A 28349-2022")</f>
        <v/>
      </c>
      <c r="W83">
        <f>HYPERLINK("https://klasma.github.io/Logging_0685/klagomålsmail/A 28349-2022 FSC-klagomål mail.docx", "A 28349-2022")</f>
        <v/>
      </c>
      <c r="X83">
        <f>HYPERLINK("https://klasma.github.io/Logging_0685/tillsyn/A 28349-2022 tillsynsbegäran.docx", "A 28349-2022")</f>
        <v/>
      </c>
      <c r="Y83">
        <f>HYPERLINK("https://klasma.github.io/Logging_0685/tillsynsmail/A 28349-2022 tillsynsbegäran mail.docx", "A 28349-2022")</f>
        <v/>
      </c>
    </row>
    <row r="84" ht="15" customHeight="1">
      <c r="A84" t="inlineStr">
        <is>
          <t>A 39612-2022</t>
        </is>
      </c>
      <c r="B84" s="1" t="n">
        <v>44818</v>
      </c>
      <c r="C84" s="1" t="n">
        <v>45347</v>
      </c>
      <c r="D84" t="inlineStr">
        <is>
          <t>JÖNKÖPINGS LÄN</t>
        </is>
      </c>
      <c r="E84" t="inlineStr">
        <is>
          <t>VETLANDA</t>
        </is>
      </c>
      <c r="G84" t="n">
        <v>7.6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39612-2022 artfynd.xlsx", "A 39612-2022")</f>
        <v/>
      </c>
      <c r="T84">
        <f>HYPERLINK("https://klasma.github.io/Logging_0685/kartor/A 39612-2022 karta.png", "A 39612-2022")</f>
        <v/>
      </c>
      <c r="V84">
        <f>HYPERLINK("https://klasma.github.io/Logging_0685/klagomål/A 39612-2022 FSC-klagomål.docx", "A 39612-2022")</f>
        <v/>
      </c>
      <c r="W84">
        <f>HYPERLINK("https://klasma.github.io/Logging_0685/klagomålsmail/A 39612-2022 FSC-klagomål mail.docx", "A 39612-2022")</f>
        <v/>
      </c>
      <c r="X84">
        <f>HYPERLINK("https://klasma.github.io/Logging_0685/tillsyn/A 39612-2022 tillsynsbegäran.docx", "A 39612-2022")</f>
        <v/>
      </c>
      <c r="Y84">
        <f>HYPERLINK("https://klasma.github.io/Logging_0685/tillsynsmail/A 39612-2022 tillsynsbegäran mail.docx", "A 39612-2022")</f>
        <v/>
      </c>
    </row>
    <row r="85" ht="15" customHeight="1">
      <c r="A85" t="inlineStr">
        <is>
          <t>A 39857-2022</t>
        </is>
      </c>
      <c r="B85" s="1" t="n">
        <v>44819</v>
      </c>
      <c r="C85" s="1" t="n">
        <v>45347</v>
      </c>
      <c r="D85" t="inlineStr">
        <is>
          <t>JÖNKÖPINGS LÄN</t>
        </is>
      </c>
      <c r="E85" t="inlineStr">
        <is>
          <t>VETLANDA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HYPERLINK("https://klasma.github.io/Logging_0685/artfynd/A 39857-2022 artfynd.xlsx", "A 39857-2022")</f>
        <v/>
      </c>
      <c r="T85">
        <f>HYPERLINK("https://klasma.github.io/Logging_0685/kartor/A 39857-2022 karta.png", "A 39857-2022")</f>
        <v/>
      </c>
      <c r="V85">
        <f>HYPERLINK("https://klasma.github.io/Logging_0685/klagomål/A 39857-2022 FSC-klagomål.docx", "A 39857-2022")</f>
        <v/>
      </c>
      <c r="W85">
        <f>HYPERLINK("https://klasma.github.io/Logging_0685/klagomålsmail/A 39857-2022 FSC-klagomål mail.docx", "A 39857-2022")</f>
        <v/>
      </c>
      <c r="X85">
        <f>HYPERLINK("https://klasma.github.io/Logging_0685/tillsyn/A 39857-2022 tillsynsbegäran.docx", "A 39857-2022")</f>
        <v/>
      </c>
      <c r="Y85">
        <f>HYPERLINK("https://klasma.github.io/Logging_0685/tillsynsmail/A 39857-2022 tillsynsbegäran mail.docx", "A 39857-2022")</f>
        <v/>
      </c>
    </row>
    <row r="86" ht="15" customHeight="1">
      <c r="A86" t="inlineStr">
        <is>
          <t>A 42142-2022</t>
        </is>
      </c>
      <c r="B86" s="1" t="n">
        <v>44830</v>
      </c>
      <c r="C86" s="1" t="n">
        <v>45347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42142-2022 artfynd.xlsx", "A 42142-2022")</f>
        <v/>
      </c>
      <c r="T86">
        <f>HYPERLINK("https://klasma.github.io/Logging_0685/kartor/A 42142-2022 karta.png", "A 42142-2022")</f>
        <v/>
      </c>
      <c r="V86">
        <f>HYPERLINK("https://klasma.github.io/Logging_0685/klagomål/A 42142-2022 FSC-klagomål.docx", "A 42142-2022")</f>
        <v/>
      </c>
      <c r="W86">
        <f>HYPERLINK("https://klasma.github.io/Logging_0685/klagomålsmail/A 42142-2022 FSC-klagomål mail.docx", "A 42142-2022")</f>
        <v/>
      </c>
      <c r="X86">
        <f>HYPERLINK("https://klasma.github.io/Logging_0685/tillsyn/A 42142-2022 tillsynsbegäran.docx", "A 42142-2022")</f>
        <v/>
      </c>
      <c r="Y86">
        <f>HYPERLINK("https://klasma.github.io/Logging_0685/tillsynsmail/A 42142-2022 tillsynsbegäran mail.docx", "A 42142-2022")</f>
        <v/>
      </c>
    </row>
    <row r="87" ht="15" customHeight="1">
      <c r="A87" t="inlineStr">
        <is>
          <t>A 43385-2022</t>
        </is>
      </c>
      <c r="B87" s="1" t="n">
        <v>44834</v>
      </c>
      <c r="C87" s="1" t="n">
        <v>45347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43385-2022 artfynd.xlsx", "A 43385-2022")</f>
        <v/>
      </c>
      <c r="T87">
        <f>HYPERLINK("https://klasma.github.io/Logging_0685/kartor/A 43385-2022 karta.png", "A 43385-2022")</f>
        <v/>
      </c>
      <c r="V87">
        <f>HYPERLINK("https://klasma.github.io/Logging_0685/klagomål/A 43385-2022 FSC-klagomål.docx", "A 43385-2022")</f>
        <v/>
      </c>
      <c r="W87">
        <f>HYPERLINK("https://klasma.github.io/Logging_0685/klagomålsmail/A 43385-2022 FSC-klagomål mail.docx", "A 43385-2022")</f>
        <v/>
      </c>
      <c r="X87">
        <f>HYPERLINK("https://klasma.github.io/Logging_0685/tillsyn/A 43385-2022 tillsynsbegäran.docx", "A 43385-2022")</f>
        <v/>
      </c>
      <c r="Y87">
        <f>HYPERLINK("https://klasma.github.io/Logging_0685/tillsynsmail/A 43385-2022 tillsynsbegäran mail.docx", "A 43385-2022")</f>
        <v/>
      </c>
    </row>
    <row r="88" ht="15" customHeight="1">
      <c r="A88" t="inlineStr">
        <is>
          <t>A 53741-2022</t>
        </is>
      </c>
      <c r="B88" s="1" t="n">
        <v>44880</v>
      </c>
      <c r="C88" s="1" t="n">
        <v>45347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Sommarfibbla</t>
        </is>
      </c>
      <c r="S88">
        <f>HYPERLINK("https://klasma.github.io/Logging_0685/artfynd/A 53741-2022 artfynd.xlsx", "A 53741-2022")</f>
        <v/>
      </c>
      <c r="T88">
        <f>HYPERLINK("https://klasma.github.io/Logging_0685/kartor/A 53741-2022 karta.png", "A 53741-2022")</f>
        <v/>
      </c>
      <c r="V88">
        <f>HYPERLINK("https://klasma.github.io/Logging_0685/klagomål/A 53741-2022 FSC-klagomål.docx", "A 53741-2022")</f>
        <v/>
      </c>
      <c r="W88">
        <f>HYPERLINK("https://klasma.github.io/Logging_0685/klagomålsmail/A 53741-2022 FSC-klagomål mail.docx", "A 53741-2022")</f>
        <v/>
      </c>
      <c r="X88">
        <f>HYPERLINK("https://klasma.github.io/Logging_0685/tillsyn/A 53741-2022 tillsynsbegäran.docx", "A 53741-2022")</f>
        <v/>
      </c>
      <c r="Y88">
        <f>HYPERLINK("https://klasma.github.io/Logging_0685/tillsynsmail/A 53741-2022 tillsynsbegäran mail.docx", "A 53741-2022")</f>
        <v/>
      </c>
    </row>
    <row r="89" ht="15" customHeight="1">
      <c r="A89" t="inlineStr">
        <is>
          <t>A 56262-2022</t>
        </is>
      </c>
      <c r="B89" s="1" t="n">
        <v>44890</v>
      </c>
      <c r="C89" s="1" t="n">
        <v>45347</v>
      </c>
      <c r="D89" t="inlineStr">
        <is>
          <t>JÖNKÖPINGS LÄN</t>
        </is>
      </c>
      <c r="E89" t="inlineStr">
        <is>
          <t>VETLANDA</t>
        </is>
      </c>
      <c r="G89" t="n">
        <v>15.9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HYPERLINK("https://klasma.github.io/Logging_0685/artfynd/A 56262-2022 artfynd.xlsx", "A 56262-2022")</f>
        <v/>
      </c>
      <c r="T89">
        <f>HYPERLINK("https://klasma.github.io/Logging_0685/kartor/A 56262-2022 karta.png", "A 56262-2022")</f>
        <v/>
      </c>
      <c r="V89">
        <f>HYPERLINK("https://klasma.github.io/Logging_0685/klagomål/A 56262-2022 FSC-klagomål.docx", "A 56262-2022")</f>
        <v/>
      </c>
      <c r="W89">
        <f>HYPERLINK("https://klasma.github.io/Logging_0685/klagomålsmail/A 56262-2022 FSC-klagomål mail.docx", "A 56262-2022")</f>
        <v/>
      </c>
      <c r="X89">
        <f>HYPERLINK("https://klasma.github.io/Logging_0685/tillsyn/A 56262-2022 tillsynsbegäran.docx", "A 56262-2022")</f>
        <v/>
      </c>
      <c r="Y89">
        <f>HYPERLINK("https://klasma.github.io/Logging_0685/tillsynsmail/A 56262-2022 tillsynsbegäran mail.docx", "A 56262-2022")</f>
        <v/>
      </c>
    </row>
    <row r="90" ht="15" customHeight="1">
      <c r="A90" t="inlineStr">
        <is>
          <t>A 59894-2022</t>
        </is>
      </c>
      <c r="B90" s="1" t="n">
        <v>44908</v>
      </c>
      <c r="C90" s="1" t="n">
        <v>45347</v>
      </c>
      <c r="D90" t="inlineStr">
        <is>
          <t>JÖNKÖPINGS LÄN</t>
        </is>
      </c>
      <c r="E90" t="inlineStr">
        <is>
          <t>VETLANDA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Backklöver</t>
        </is>
      </c>
      <c r="S90">
        <f>HYPERLINK("https://klasma.github.io/Logging_0685/artfynd/A 59894-2022 artfynd.xlsx", "A 59894-2022")</f>
        <v/>
      </c>
      <c r="T90">
        <f>HYPERLINK("https://klasma.github.io/Logging_0685/kartor/A 59894-2022 karta.png", "A 59894-2022")</f>
        <v/>
      </c>
      <c r="V90">
        <f>HYPERLINK("https://klasma.github.io/Logging_0685/klagomål/A 59894-2022 FSC-klagomål.docx", "A 59894-2022")</f>
        <v/>
      </c>
      <c r="W90">
        <f>HYPERLINK("https://klasma.github.io/Logging_0685/klagomålsmail/A 59894-2022 FSC-klagomål mail.docx", "A 59894-2022")</f>
        <v/>
      </c>
      <c r="X90">
        <f>HYPERLINK("https://klasma.github.io/Logging_0685/tillsyn/A 59894-2022 tillsynsbegäran.docx", "A 59894-2022")</f>
        <v/>
      </c>
      <c r="Y90">
        <f>HYPERLINK("https://klasma.github.io/Logging_0685/tillsynsmail/A 59894-2022 tillsynsbegäran mail.docx", "A 59894-2022")</f>
        <v/>
      </c>
    </row>
    <row r="91" ht="15" customHeight="1">
      <c r="A91" t="inlineStr">
        <is>
          <t>A 61446-2022</t>
        </is>
      </c>
      <c r="B91" s="1" t="n">
        <v>44916</v>
      </c>
      <c r="C91" s="1" t="n">
        <v>45347</v>
      </c>
      <c r="D91" t="inlineStr">
        <is>
          <t>JÖNKÖPINGS LÄN</t>
        </is>
      </c>
      <c r="E91" t="inlineStr">
        <is>
          <t>VETLANDA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Krokfibbla</t>
        </is>
      </c>
      <c r="S91">
        <f>HYPERLINK("https://klasma.github.io/Logging_0685/artfynd/A 61446-2022 artfynd.xlsx", "A 61446-2022")</f>
        <v/>
      </c>
      <c r="T91">
        <f>HYPERLINK("https://klasma.github.io/Logging_0685/kartor/A 61446-2022 karta.png", "A 61446-2022")</f>
        <v/>
      </c>
      <c r="V91">
        <f>HYPERLINK("https://klasma.github.io/Logging_0685/klagomål/A 61446-2022 FSC-klagomål.docx", "A 61446-2022")</f>
        <v/>
      </c>
      <c r="W91">
        <f>HYPERLINK("https://klasma.github.io/Logging_0685/klagomålsmail/A 61446-2022 FSC-klagomål mail.docx", "A 61446-2022")</f>
        <v/>
      </c>
      <c r="X91">
        <f>HYPERLINK("https://klasma.github.io/Logging_0685/tillsyn/A 61446-2022 tillsynsbegäran.docx", "A 61446-2022")</f>
        <v/>
      </c>
      <c r="Y91">
        <f>HYPERLINK("https://klasma.github.io/Logging_0685/tillsynsmail/A 61446-2022 tillsynsbegäran mail.docx", "A 61446-2022")</f>
        <v/>
      </c>
    </row>
    <row r="92" ht="15" customHeight="1">
      <c r="A92" t="inlineStr">
        <is>
          <t>A 5369-2023</t>
        </is>
      </c>
      <c r="B92" s="1" t="n">
        <v>44959</v>
      </c>
      <c r="C92" s="1" t="n">
        <v>45347</v>
      </c>
      <c r="D92" t="inlineStr">
        <is>
          <t>JÖNKÖPINGS LÄN</t>
        </is>
      </c>
      <c r="E92" t="inlineStr">
        <is>
          <t>VETLANDA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5369-2023 artfynd.xlsx", "A 5369-2023")</f>
        <v/>
      </c>
      <c r="T92">
        <f>HYPERLINK("https://klasma.github.io/Logging_0685/kartor/A 5369-2023 karta.png", "A 5369-2023")</f>
        <v/>
      </c>
      <c r="V92">
        <f>HYPERLINK("https://klasma.github.io/Logging_0685/klagomål/A 5369-2023 FSC-klagomål.docx", "A 5369-2023")</f>
        <v/>
      </c>
      <c r="W92">
        <f>HYPERLINK("https://klasma.github.io/Logging_0685/klagomålsmail/A 5369-2023 FSC-klagomål mail.docx", "A 5369-2023")</f>
        <v/>
      </c>
      <c r="X92">
        <f>HYPERLINK("https://klasma.github.io/Logging_0685/tillsyn/A 5369-2023 tillsynsbegäran.docx", "A 5369-2023")</f>
        <v/>
      </c>
      <c r="Y92">
        <f>HYPERLINK("https://klasma.github.io/Logging_0685/tillsynsmail/A 5369-2023 tillsynsbegäran mail.docx", "A 5369-2023")</f>
        <v/>
      </c>
    </row>
    <row r="93" ht="15" customHeight="1">
      <c r="A93" t="inlineStr">
        <is>
          <t>A 10919-2023</t>
        </is>
      </c>
      <c r="B93" s="1" t="n">
        <v>44991</v>
      </c>
      <c r="C93" s="1" t="n">
        <v>45347</v>
      </c>
      <c r="D93" t="inlineStr">
        <is>
          <t>JÖNKÖPINGS LÄN</t>
        </is>
      </c>
      <c r="E93" t="inlineStr">
        <is>
          <t>VETLANDA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HYPERLINK("https://klasma.github.io/Logging_0685/artfynd/A 10919-2023 artfynd.xlsx", "A 10919-2023")</f>
        <v/>
      </c>
      <c r="T93">
        <f>HYPERLINK("https://klasma.github.io/Logging_0685/kartor/A 10919-2023 karta.png", "A 10919-2023")</f>
        <v/>
      </c>
      <c r="V93">
        <f>HYPERLINK("https://klasma.github.io/Logging_0685/klagomål/A 10919-2023 FSC-klagomål.docx", "A 10919-2023")</f>
        <v/>
      </c>
      <c r="W93">
        <f>HYPERLINK("https://klasma.github.io/Logging_0685/klagomålsmail/A 10919-2023 FSC-klagomål mail.docx", "A 10919-2023")</f>
        <v/>
      </c>
      <c r="X93">
        <f>HYPERLINK("https://klasma.github.io/Logging_0685/tillsyn/A 10919-2023 tillsynsbegäran.docx", "A 10919-2023")</f>
        <v/>
      </c>
      <c r="Y93">
        <f>HYPERLINK("https://klasma.github.io/Logging_0685/tillsynsmail/A 10919-2023 tillsynsbegäran mail.docx", "A 10919-2023")</f>
        <v/>
      </c>
    </row>
    <row r="94" ht="15" customHeight="1">
      <c r="A94" t="inlineStr">
        <is>
          <t>A 12223-2023</t>
        </is>
      </c>
      <c r="B94" s="1" t="n">
        <v>44998</v>
      </c>
      <c r="C94" s="1" t="n">
        <v>45347</v>
      </c>
      <c r="D94" t="inlineStr">
        <is>
          <t>JÖNKÖPINGS LÄN</t>
        </is>
      </c>
      <c r="E94" t="inlineStr">
        <is>
          <t>VETLANDA</t>
        </is>
      </c>
      <c r="G94" t="n">
        <v>8.800000000000001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HYPERLINK("https://klasma.github.io/Logging_0685/artfynd/A 12223-2023 artfynd.xlsx", "A 12223-2023")</f>
        <v/>
      </c>
      <c r="T94">
        <f>HYPERLINK("https://klasma.github.io/Logging_0685/kartor/A 12223-2023 karta.png", "A 12223-2023")</f>
        <v/>
      </c>
      <c r="V94">
        <f>HYPERLINK("https://klasma.github.io/Logging_0685/klagomål/A 12223-2023 FSC-klagomål.docx", "A 12223-2023")</f>
        <v/>
      </c>
      <c r="W94">
        <f>HYPERLINK("https://klasma.github.io/Logging_0685/klagomålsmail/A 12223-2023 FSC-klagomål mail.docx", "A 12223-2023")</f>
        <v/>
      </c>
      <c r="X94">
        <f>HYPERLINK("https://klasma.github.io/Logging_0685/tillsyn/A 12223-2023 tillsynsbegäran.docx", "A 12223-2023")</f>
        <v/>
      </c>
      <c r="Y94">
        <f>HYPERLINK("https://klasma.github.io/Logging_0685/tillsynsmail/A 12223-2023 tillsynsbegäran mail.docx", "A 12223-2023")</f>
        <v/>
      </c>
    </row>
    <row r="95" ht="15" customHeight="1">
      <c r="A95" t="inlineStr">
        <is>
          <t>A 14083-2023</t>
        </is>
      </c>
      <c r="B95" s="1" t="n">
        <v>45009</v>
      </c>
      <c r="C95" s="1" t="n">
        <v>45347</v>
      </c>
      <c r="D95" t="inlineStr">
        <is>
          <t>JÖNKÖPINGS LÄN</t>
        </is>
      </c>
      <c r="E95" t="inlineStr">
        <is>
          <t>VETLANDA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HYPERLINK("https://klasma.github.io/Logging_0685/artfynd/A 14083-2023 artfynd.xlsx", "A 14083-2023")</f>
        <v/>
      </c>
      <c r="T95">
        <f>HYPERLINK("https://klasma.github.io/Logging_0685/kartor/A 14083-2023 karta.png", "A 14083-2023")</f>
        <v/>
      </c>
      <c r="V95">
        <f>HYPERLINK("https://klasma.github.io/Logging_0685/klagomål/A 14083-2023 FSC-klagomål.docx", "A 14083-2023")</f>
        <v/>
      </c>
      <c r="W95">
        <f>HYPERLINK("https://klasma.github.io/Logging_0685/klagomålsmail/A 14083-2023 FSC-klagomål mail.docx", "A 14083-2023")</f>
        <v/>
      </c>
      <c r="X95">
        <f>HYPERLINK("https://klasma.github.io/Logging_0685/tillsyn/A 14083-2023 tillsynsbegäran.docx", "A 14083-2023")</f>
        <v/>
      </c>
      <c r="Y95">
        <f>HYPERLINK("https://klasma.github.io/Logging_0685/tillsynsmail/A 14083-2023 tillsynsbegäran mail.docx", "A 14083-2023")</f>
        <v/>
      </c>
    </row>
    <row r="96" ht="15" customHeight="1">
      <c r="A96" t="inlineStr">
        <is>
          <t>A 15659-2023</t>
        </is>
      </c>
      <c r="B96" s="1" t="n">
        <v>45021</v>
      </c>
      <c r="C96" s="1" t="n">
        <v>45347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15659-2023 artfynd.xlsx", "A 15659-2023")</f>
        <v/>
      </c>
      <c r="T96">
        <f>HYPERLINK("https://klasma.github.io/Logging_0685/kartor/A 15659-2023 karta.png", "A 15659-2023")</f>
        <v/>
      </c>
      <c r="V96">
        <f>HYPERLINK("https://klasma.github.io/Logging_0685/klagomål/A 15659-2023 FSC-klagomål.docx", "A 15659-2023")</f>
        <v/>
      </c>
      <c r="W96">
        <f>HYPERLINK("https://klasma.github.io/Logging_0685/klagomålsmail/A 15659-2023 FSC-klagomål mail.docx", "A 15659-2023")</f>
        <v/>
      </c>
      <c r="X96">
        <f>HYPERLINK("https://klasma.github.io/Logging_0685/tillsyn/A 15659-2023 tillsynsbegäran.docx", "A 15659-2023")</f>
        <v/>
      </c>
      <c r="Y96">
        <f>HYPERLINK("https://klasma.github.io/Logging_0685/tillsynsmail/A 15659-2023 tillsynsbegäran mail.docx", "A 15659-2023")</f>
        <v/>
      </c>
    </row>
    <row r="97" ht="15" customHeight="1">
      <c r="A97" t="inlineStr">
        <is>
          <t>A 24945-2023</t>
        </is>
      </c>
      <c r="B97" s="1" t="n">
        <v>45085</v>
      </c>
      <c r="C97" s="1" t="n">
        <v>45347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HYPERLINK("https://klasma.github.io/Logging_0685/artfynd/A 24945-2023 artfynd.xlsx", "A 24945-2023")</f>
        <v/>
      </c>
      <c r="T97">
        <f>HYPERLINK("https://klasma.github.io/Logging_0685/kartor/A 24945-2023 karta.png", "A 24945-2023")</f>
        <v/>
      </c>
      <c r="V97">
        <f>HYPERLINK("https://klasma.github.io/Logging_0685/klagomål/A 24945-2023 FSC-klagomål.docx", "A 24945-2023")</f>
        <v/>
      </c>
      <c r="W97">
        <f>HYPERLINK("https://klasma.github.io/Logging_0685/klagomålsmail/A 24945-2023 FSC-klagomål mail.docx", "A 24945-2023")</f>
        <v/>
      </c>
      <c r="X97">
        <f>HYPERLINK("https://klasma.github.io/Logging_0685/tillsyn/A 24945-2023 tillsynsbegäran.docx", "A 24945-2023")</f>
        <v/>
      </c>
      <c r="Y97">
        <f>HYPERLINK("https://klasma.github.io/Logging_0685/tillsynsmail/A 24945-2023 tillsynsbegäran mail.docx", "A 24945-2023")</f>
        <v/>
      </c>
    </row>
    <row r="98" ht="15" customHeight="1">
      <c r="A98" t="inlineStr">
        <is>
          <t>A 27548-2023</t>
        </is>
      </c>
      <c r="B98" s="1" t="n">
        <v>45092</v>
      </c>
      <c r="C98" s="1" t="n">
        <v>45347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27548-2023 artfynd.xlsx", "A 27548-2023")</f>
        <v/>
      </c>
      <c r="T98">
        <f>HYPERLINK("https://klasma.github.io/Logging_0685/kartor/A 27548-2023 karta.png", "A 27548-2023")</f>
        <v/>
      </c>
      <c r="V98">
        <f>HYPERLINK("https://klasma.github.io/Logging_0685/klagomål/A 27548-2023 FSC-klagomål.docx", "A 27548-2023")</f>
        <v/>
      </c>
      <c r="W98">
        <f>HYPERLINK("https://klasma.github.io/Logging_0685/klagomålsmail/A 27548-2023 FSC-klagomål mail.docx", "A 27548-2023")</f>
        <v/>
      </c>
      <c r="X98">
        <f>HYPERLINK("https://klasma.github.io/Logging_0685/tillsyn/A 27548-2023 tillsynsbegäran.docx", "A 27548-2023")</f>
        <v/>
      </c>
      <c r="Y98">
        <f>HYPERLINK("https://klasma.github.io/Logging_0685/tillsynsmail/A 27548-2023 tillsynsbegäran mail.docx", "A 27548-2023")</f>
        <v/>
      </c>
    </row>
    <row r="99" ht="15" customHeight="1">
      <c r="A99" t="inlineStr">
        <is>
          <t>A 28407-2023</t>
        </is>
      </c>
      <c r="B99" s="1" t="n">
        <v>45101</v>
      </c>
      <c r="C99" s="1" t="n">
        <v>45347</v>
      </c>
      <c r="D99" t="inlineStr">
        <is>
          <t>JÖNKÖPINGS LÄN</t>
        </is>
      </c>
      <c r="E99" t="inlineStr">
        <is>
          <t>VETLANDA</t>
        </is>
      </c>
      <c r="G99" t="n">
        <v>3.2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28407-2023 artfynd.xlsx", "A 28407-2023")</f>
        <v/>
      </c>
      <c r="T99">
        <f>HYPERLINK("https://klasma.github.io/Logging_0685/kartor/A 28407-2023 karta.png", "A 28407-2023")</f>
        <v/>
      </c>
      <c r="U99">
        <f>HYPERLINK("https://klasma.github.io/Logging_0685/knärot/A 28407-2023 karta knärot.png", "A 28407-2023")</f>
        <v/>
      </c>
      <c r="V99">
        <f>HYPERLINK("https://klasma.github.io/Logging_0685/klagomål/A 28407-2023 FSC-klagomål.docx", "A 28407-2023")</f>
        <v/>
      </c>
      <c r="W99">
        <f>HYPERLINK("https://klasma.github.io/Logging_0685/klagomålsmail/A 28407-2023 FSC-klagomål mail.docx", "A 28407-2023")</f>
        <v/>
      </c>
      <c r="X99">
        <f>HYPERLINK("https://klasma.github.io/Logging_0685/tillsyn/A 28407-2023 tillsynsbegäran.docx", "A 28407-2023")</f>
        <v/>
      </c>
      <c r="Y99">
        <f>HYPERLINK("https://klasma.github.io/Logging_0685/tillsynsmail/A 28407-2023 tillsynsbegäran mail.docx", "A 28407-2023")</f>
        <v/>
      </c>
    </row>
    <row r="100" ht="15" customHeight="1">
      <c r="A100" t="inlineStr">
        <is>
          <t>A 28829-2023</t>
        </is>
      </c>
      <c r="B100" s="1" t="n">
        <v>45104</v>
      </c>
      <c r="C100" s="1" t="n">
        <v>45347</v>
      </c>
      <c r="D100" t="inlineStr">
        <is>
          <t>JÖNKÖPINGS LÄN</t>
        </is>
      </c>
      <c r="E100" t="inlineStr">
        <is>
          <t>VETLANDA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HYPERLINK("https://klasma.github.io/Logging_0685/artfynd/A 28829-2023 artfynd.xlsx", "A 28829-2023")</f>
        <v/>
      </c>
      <c r="T100">
        <f>HYPERLINK("https://klasma.github.io/Logging_0685/kartor/A 28829-2023 karta.png", "A 28829-2023")</f>
        <v/>
      </c>
      <c r="V100">
        <f>HYPERLINK("https://klasma.github.io/Logging_0685/klagomål/A 28829-2023 FSC-klagomål.docx", "A 28829-2023")</f>
        <v/>
      </c>
      <c r="W100">
        <f>HYPERLINK("https://klasma.github.io/Logging_0685/klagomålsmail/A 28829-2023 FSC-klagomål mail.docx", "A 28829-2023")</f>
        <v/>
      </c>
      <c r="X100">
        <f>HYPERLINK("https://klasma.github.io/Logging_0685/tillsyn/A 28829-2023 tillsynsbegäran.docx", "A 28829-2023")</f>
        <v/>
      </c>
      <c r="Y100">
        <f>HYPERLINK("https://klasma.github.io/Logging_0685/tillsynsmail/A 28829-2023 tillsynsbegäran mail.docx", "A 28829-2023")</f>
        <v/>
      </c>
      <c r="Z100">
        <f>HYPERLINK("https://klasma.github.io/Logging_0685/fåglar/A 28829-2023 prioriterade fågelarter.docx", "A 28829-2023")</f>
        <v/>
      </c>
    </row>
    <row r="101" ht="15" customHeight="1">
      <c r="A101" t="inlineStr">
        <is>
          <t>A 29027-2023</t>
        </is>
      </c>
      <c r="B101" s="1" t="n">
        <v>45104</v>
      </c>
      <c r="C101" s="1" t="n">
        <v>45347</v>
      </c>
      <c r="D101" t="inlineStr">
        <is>
          <t>JÖNKÖPINGS LÄN</t>
        </is>
      </c>
      <c r="E101" t="inlineStr">
        <is>
          <t>VETLANDA</t>
        </is>
      </c>
      <c r="G101" t="n">
        <v>10.1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HYPERLINK("https://klasma.github.io/Logging_0685/artfynd/A 29027-2023 artfynd.xlsx", "A 29027-2023")</f>
        <v/>
      </c>
      <c r="T101">
        <f>HYPERLINK("https://klasma.github.io/Logging_0685/kartor/A 29027-2023 karta.png", "A 29027-2023")</f>
        <v/>
      </c>
      <c r="U101">
        <f>HYPERLINK("https://klasma.github.io/Logging_0685/knärot/A 29027-2023 karta knärot.png", "A 29027-2023")</f>
        <v/>
      </c>
      <c r="V101">
        <f>HYPERLINK("https://klasma.github.io/Logging_0685/klagomål/A 29027-2023 FSC-klagomål.docx", "A 29027-2023")</f>
        <v/>
      </c>
      <c r="W101">
        <f>HYPERLINK("https://klasma.github.io/Logging_0685/klagomålsmail/A 29027-2023 FSC-klagomål mail.docx", "A 29027-2023")</f>
        <v/>
      </c>
      <c r="X101">
        <f>HYPERLINK("https://klasma.github.io/Logging_0685/tillsyn/A 29027-2023 tillsynsbegäran.docx", "A 29027-2023")</f>
        <v/>
      </c>
      <c r="Y101">
        <f>HYPERLINK("https://klasma.github.io/Logging_0685/tillsynsmail/A 29027-2023 tillsynsbegäran mail.docx", "A 29027-2023")</f>
        <v/>
      </c>
    </row>
    <row r="102" ht="15" customHeight="1">
      <c r="A102" t="inlineStr">
        <is>
          <t>A 35845-2023</t>
        </is>
      </c>
      <c r="B102" s="1" t="n">
        <v>45148</v>
      </c>
      <c r="C102" s="1" t="n">
        <v>45347</v>
      </c>
      <c r="D102" t="inlineStr">
        <is>
          <t>JÖNKÖPINGS LÄN</t>
        </is>
      </c>
      <c r="E102" t="inlineStr">
        <is>
          <t>VETLANDA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Lopplummer</t>
        </is>
      </c>
      <c r="S102">
        <f>HYPERLINK("https://klasma.github.io/Logging_0685/artfynd/A 35845-2023 artfynd.xlsx", "A 35845-2023")</f>
        <v/>
      </c>
      <c r="T102">
        <f>HYPERLINK("https://klasma.github.io/Logging_0685/kartor/A 35845-2023 karta.png", "A 35845-2023")</f>
        <v/>
      </c>
      <c r="V102">
        <f>HYPERLINK("https://klasma.github.io/Logging_0685/klagomål/A 35845-2023 FSC-klagomål.docx", "A 35845-2023")</f>
        <v/>
      </c>
      <c r="W102">
        <f>HYPERLINK("https://klasma.github.io/Logging_0685/klagomålsmail/A 35845-2023 FSC-klagomål mail.docx", "A 35845-2023")</f>
        <v/>
      </c>
      <c r="X102">
        <f>HYPERLINK("https://klasma.github.io/Logging_0685/tillsyn/A 35845-2023 tillsynsbegäran.docx", "A 35845-2023")</f>
        <v/>
      </c>
      <c r="Y102">
        <f>HYPERLINK("https://klasma.github.io/Logging_0685/tillsynsmail/A 35845-2023 tillsynsbegäran mail.docx", "A 35845-2023")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45347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45347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45347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45347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45347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45347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45347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34780-2018</t>
        </is>
      </c>
      <c r="B110" s="1" t="n">
        <v>43321</v>
      </c>
      <c r="C110" s="1" t="n">
        <v>45347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36061-2018</t>
        </is>
      </c>
      <c r="B111" s="1" t="n">
        <v>43327</v>
      </c>
      <c r="C111" s="1" t="n">
        <v>45347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36078-2018</t>
        </is>
      </c>
      <c r="B112" s="1" t="n">
        <v>43327</v>
      </c>
      <c r="C112" s="1" t="n">
        <v>45347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36062-2018</t>
        </is>
      </c>
      <c r="B113" s="1" t="n">
        <v>43327</v>
      </c>
      <c r="C113" s="1" t="n">
        <v>45347</v>
      </c>
      <c r="D113" t="inlineStr">
        <is>
          <t>JÖNKÖPINGS LÄN</t>
        </is>
      </c>
      <c r="E113" t="inlineStr">
        <is>
          <t>VETLANDA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36064-2018</t>
        </is>
      </c>
      <c r="B114" s="1" t="n">
        <v>43327</v>
      </c>
      <c r="C114" s="1" t="n">
        <v>45347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36234-2018</t>
        </is>
      </c>
      <c r="B115" s="1" t="n">
        <v>43328</v>
      </c>
      <c r="C115" s="1" t="n">
        <v>45347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37105-2018</t>
        </is>
      </c>
      <c r="B116" s="1" t="n">
        <v>43332</v>
      </c>
      <c r="C116" s="1" t="n">
        <v>45347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37174-2018</t>
        </is>
      </c>
      <c r="B117" s="1" t="n">
        <v>43332</v>
      </c>
      <c r="C117" s="1" t="n">
        <v>45347</v>
      </c>
      <c r="D117" t="inlineStr">
        <is>
          <t>JÖNKÖPINGS LÄN</t>
        </is>
      </c>
      <c r="E117" t="inlineStr">
        <is>
          <t>VETLANDA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37123-2018</t>
        </is>
      </c>
      <c r="B118" s="1" t="n">
        <v>43332</v>
      </c>
      <c r="C118" s="1" t="n">
        <v>45347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37134-2018</t>
        </is>
      </c>
      <c r="B119" s="1" t="n">
        <v>43332</v>
      </c>
      <c r="C119" s="1" t="n">
        <v>45347</v>
      </c>
      <c r="D119" t="inlineStr">
        <is>
          <t>JÖNKÖPINGS LÄN</t>
        </is>
      </c>
      <c r="E119" t="inlineStr">
        <is>
          <t>VETLANDA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37155-2018</t>
        </is>
      </c>
      <c r="B120" s="1" t="n">
        <v>43332</v>
      </c>
      <c r="C120" s="1" t="n">
        <v>45347</v>
      </c>
      <c r="D120" t="inlineStr">
        <is>
          <t>JÖNKÖPINGS LÄN</t>
        </is>
      </c>
      <c r="E120" t="inlineStr">
        <is>
          <t>VETLANDA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37130-2018</t>
        </is>
      </c>
      <c r="B121" s="1" t="n">
        <v>43332</v>
      </c>
      <c r="C121" s="1" t="n">
        <v>45347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38274-2018</t>
        </is>
      </c>
      <c r="B122" s="1" t="n">
        <v>43335</v>
      </c>
      <c r="C122" s="1" t="n">
        <v>45347</v>
      </c>
      <c r="D122" t="inlineStr">
        <is>
          <t>JÖNKÖPINGS LÄN</t>
        </is>
      </c>
      <c r="E122" t="inlineStr">
        <is>
          <t>VETLANDA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38280-2018</t>
        </is>
      </c>
      <c r="B123" s="1" t="n">
        <v>43335</v>
      </c>
      <c r="C123" s="1" t="n">
        <v>45347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38019-2018</t>
        </is>
      </c>
      <c r="B124" s="1" t="n">
        <v>43336</v>
      </c>
      <c r="C124" s="1" t="n">
        <v>45347</v>
      </c>
      <c r="D124" t="inlineStr">
        <is>
          <t>JÖNKÖPINGS LÄN</t>
        </is>
      </c>
      <c r="E124" t="inlineStr">
        <is>
          <t>VETLANDA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37994-2018</t>
        </is>
      </c>
      <c r="B125" s="1" t="n">
        <v>43336</v>
      </c>
      <c r="C125" s="1" t="n">
        <v>45347</v>
      </c>
      <c r="D125" t="inlineStr">
        <is>
          <t>JÖNKÖPINGS LÄN</t>
        </is>
      </c>
      <c r="E125" t="inlineStr">
        <is>
          <t>VETLANDA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38461-2018</t>
        </is>
      </c>
      <c r="B126" s="1" t="n">
        <v>43339</v>
      </c>
      <c r="C126" s="1" t="n">
        <v>45347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39687-2018</t>
        </is>
      </c>
      <c r="B127" s="1" t="n">
        <v>43341</v>
      </c>
      <c r="C127" s="1" t="n">
        <v>45347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39458-2018</t>
        </is>
      </c>
      <c r="B128" s="1" t="n">
        <v>43342</v>
      </c>
      <c r="C128" s="1" t="n">
        <v>45347</v>
      </c>
      <c r="D128" t="inlineStr">
        <is>
          <t>JÖNKÖPINGS LÄN</t>
        </is>
      </c>
      <c r="E128" t="inlineStr">
        <is>
          <t>VETLANDA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39691-2018</t>
        </is>
      </c>
      <c r="B129" s="1" t="n">
        <v>43342</v>
      </c>
      <c r="C129" s="1" t="n">
        <v>45347</v>
      </c>
      <c r="D129" t="inlineStr">
        <is>
          <t>JÖNKÖPINGS LÄN</t>
        </is>
      </c>
      <c r="E129" t="inlineStr">
        <is>
          <t>VETLANDA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39682-2018</t>
        </is>
      </c>
      <c r="B130" s="1" t="n">
        <v>43342</v>
      </c>
      <c r="C130" s="1" t="n">
        <v>45347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39695-2018</t>
        </is>
      </c>
      <c r="B131" s="1" t="n">
        <v>43342</v>
      </c>
      <c r="C131" s="1" t="n">
        <v>45347</v>
      </c>
      <c r="D131" t="inlineStr">
        <is>
          <t>JÖNKÖPINGS LÄN</t>
        </is>
      </c>
      <c r="E131" t="inlineStr">
        <is>
          <t>VETLANDA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39686-2018</t>
        </is>
      </c>
      <c r="B132" s="1" t="n">
        <v>43342</v>
      </c>
      <c r="C132" s="1" t="n">
        <v>45347</v>
      </c>
      <c r="D132" t="inlineStr">
        <is>
          <t>JÖNKÖPINGS LÄN</t>
        </is>
      </c>
      <c r="E132" t="inlineStr">
        <is>
          <t>VETLANDA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40826-2018</t>
        </is>
      </c>
      <c r="B133" s="1" t="n">
        <v>43346</v>
      </c>
      <c r="C133" s="1" t="n">
        <v>45347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41100-2018</t>
        </is>
      </c>
      <c r="B134" s="1" t="n">
        <v>43348</v>
      </c>
      <c r="C134" s="1" t="n">
        <v>45347</v>
      </c>
      <c r="D134" t="inlineStr">
        <is>
          <t>JÖNKÖPINGS LÄN</t>
        </is>
      </c>
      <c r="E134" t="inlineStr">
        <is>
          <t>VETLANDA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42605-2018</t>
        </is>
      </c>
      <c r="B135" s="1" t="n">
        <v>43354</v>
      </c>
      <c r="C135" s="1" t="n">
        <v>45347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42662-2018</t>
        </is>
      </c>
      <c r="B136" s="1" t="n">
        <v>43354</v>
      </c>
      <c r="C136" s="1" t="n">
        <v>45347</v>
      </c>
      <c r="D136" t="inlineStr">
        <is>
          <t>JÖNKÖPINGS LÄN</t>
        </is>
      </c>
      <c r="E136" t="inlineStr">
        <is>
          <t>VETLANDA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43735-2018</t>
        </is>
      </c>
      <c r="B137" s="1" t="n">
        <v>43355</v>
      </c>
      <c r="C137" s="1" t="n">
        <v>45347</v>
      </c>
      <c r="D137" t="inlineStr">
        <is>
          <t>JÖNKÖPINGS LÄN</t>
        </is>
      </c>
      <c r="E137" t="inlineStr">
        <is>
          <t>VETLANDA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44184-2018</t>
        </is>
      </c>
      <c r="B138" s="1" t="n">
        <v>43360</v>
      </c>
      <c r="C138" s="1" t="n">
        <v>45347</v>
      </c>
      <c r="D138" t="inlineStr">
        <is>
          <t>JÖNKÖPINGS LÄN</t>
        </is>
      </c>
      <c r="E138" t="inlineStr">
        <is>
          <t>VETLANDA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45013-2018</t>
        </is>
      </c>
      <c r="B139" s="1" t="n">
        <v>43361</v>
      </c>
      <c r="C139" s="1" t="n">
        <v>45347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46850-2018</t>
        </is>
      </c>
      <c r="B140" s="1" t="n">
        <v>43367</v>
      </c>
      <c r="C140" s="1" t="n">
        <v>45347</v>
      </c>
      <c r="D140" t="inlineStr">
        <is>
          <t>JÖNKÖPINGS LÄN</t>
        </is>
      </c>
      <c r="E140" t="inlineStr">
        <is>
          <t>VETLANDA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46809-2018</t>
        </is>
      </c>
      <c r="B141" s="1" t="n">
        <v>43367</v>
      </c>
      <c r="C141" s="1" t="n">
        <v>45347</v>
      </c>
      <c r="D141" t="inlineStr">
        <is>
          <t>JÖNKÖPINGS LÄN</t>
        </is>
      </c>
      <c r="E141" t="inlineStr">
        <is>
          <t>VETLANDA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47510-2018</t>
        </is>
      </c>
      <c r="B142" s="1" t="n">
        <v>43368</v>
      </c>
      <c r="C142" s="1" t="n">
        <v>45347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48011-2018</t>
        </is>
      </c>
      <c r="B143" s="1" t="n">
        <v>43370</v>
      </c>
      <c r="C143" s="1" t="n">
        <v>45347</v>
      </c>
      <c r="D143" t="inlineStr">
        <is>
          <t>JÖNKÖPINGS LÄN</t>
        </is>
      </c>
      <c r="E143" t="inlineStr">
        <is>
          <t>VETLANDA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48159-2018</t>
        </is>
      </c>
      <c r="B144" s="1" t="n">
        <v>43370</v>
      </c>
      <c r="C144" s="1" t="n">
        <v>45347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48200-2018</t>
        </is>
      </c>
      <c r="B145" s="1" t="n">
        <v>43370</v>
      </c>
      <c r="C145" s="1" t="n">
        <v>45347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49865-2018</t>
        </is>
      </c>
      <c r="B146" s="1" t="n">
        <v>43375</v>
      </c>
      <c r="C146" s="1" t="n">
        <v>45347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49837-2018</t>
        </is>
      </c>
      <c r="B147" s="1" t="n">
        <v>43376</v>
      </c>
      <c r="C147" s="1" t="n">
        <v>45347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51002-2018</t>
        </is>
      </c>
      <c r="B148" s="1" t="n">
        <v>43378</v>
      </c>
      <c r="C148" s="1" t="n">
        <v>45347</v>
      </c>
      <c r="D148" t="inlineStr">
        <is>
          <t>JÖNKÖPINGS LÄN</t>
        </is>
      </c>
      <c r="E148" t="inlineStr">
        <is>
          <t>VETLANDA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51229-2018</t>
        </is>
      </c>
      <c r="B149" s="1" t="n">
        <v>43382</v>
      </c>
      <c r="C149" s="1" t="n">
        <v>45347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51222-2018</t>
        </is>
      </c>
      <c r="B150" s="1" t="n">
        <v>43382</v>
      </c>
      <c r="C150" s="1" t="n">
        <v>45347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52038-2018</t>
        </is>
      </c>
      <c r="B151" s="1" t="n">
        <v>43384</v>
      </c>
      <c r="C151" s="1" t="n">
        <v>45347</v>
      </c>
      <c r="D151" t="inlineStr">
        <is>
          <t>JÖNKÖPINGS LÄN</t>
        </is>
      </c>
      <c r="E151" t="inlineStr">
        <is>
          <t>VETLANDA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52031-2018</t>
        </is>
      </c>
      <c r="B152" s="1" t="n">
        <v>43384</v>
      </c>
      <c r="C152" s="1" t="n">
        <v>45347</v>
      </c>
      <c r="D152" t="inlineStr">
        <is>
          <t>JÖNKÖPINGS LÄN</t>
        </is>
      </c>
      <c r="E152" t="inlineStr">
        <is>
          <t>VETLANDA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53574-2018</t>
        </is>
      </c>
      <c r="B153" s="1" t="n">
        <v>43387</v>
      </c>
      <c r="C153" s="1" t="n">
        <v>45347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54065-2018</t>
        </is>
      </c>
      <c r="B154" s="1" t="n">
        <v>43388</v>
      </c>
      <c r="C154" s="1" t="n">
        <v>45347</v>
      </c>
      <c r="D154" t="inlineStr">
        <is>
          <t>JÖNKÖPINGS LÄN</t>
        </is>
      </c>
      <c r="E154" t="inlineStr">
        <is>
          <t>VETLANDA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54062-2018</t>
        </is>
      </c>
      <c r="B155" s="1" t="n">
        <v>43388</v>
      </c>
      <c r="C155" s="1" t="n">
        <v>45347</v>
      </c>
      <c r="D155" t="inlineStr">
        <is>
          <t>JÖNKÖPINGS LÄN</t>
        </is>
      </c>
      <c r="E155" t="inlineStr">
        <is>
          <t>VETLANDA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53300-2018</t>
        </is>
      </c>
      <c r="B156" s="1" t="n">
        <v>43389</v>
      </c>
      <c r="C156" s="1" t="n">
        <v>45347</v>
      </c>
      <c r="D156" t="inlineStr">
        <is>
          <t>JÖNKÖPINGS LÄN</t>
        </is>
      </c>
      <c r="E156" t="inlineStr">
        <is>
          <t>VETLANDA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53728-2018</t>
        </is>
      </c>
      <c r="B157" s="1" t="n">
        <v>43391</v>
      </c>
      <c r="C157" s="1" t="n">
        <v>45347</v>
      </c>
      <c r="D157" t="inlineStr">
        <is>
          <t>JÖNKÖPINGS LÄN</t>
        </is>
      </c>
      <c r="E157" t="inlineStr">
        <is>
          <t>VETLANDA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54427-2018</t>
        </is>
      </c>
      <c r="B158" s="1" t="n">
        <v>43395</v>
      </c>
      <c r="C158" s="1" t="n">
        <v>45347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64995-2018</t>
        </is>
      </c>
      <c r="B159" s="1" t="n">
        <v>43395</v>
      </c>
      <c r="C159" s="1" t="n">
        <v>45347</v>
      </c>
      <c r="D159" t="inlineStr">
        <is>
          <t>JÖNKÖPINGS LÄN</t>
        </is>
      </c>
      <c r="E159" t="inlineStr">
        <is>
          <t>VETLANDA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57531-2018</t>
        </is>
      </c>
      <c r="B160" s="1" t="n">
        <v>43397</v>
      </c>
      <c r="C160" s="1" t="n">
        <v>45347</v>
      </c>
      <c r="D160" t="inlineStr">
        <is>
          <t>JÖNKÖPINGS LÄN</t>
        </is>
      </c>
      <c r="E160" t="inlineStr">
        <is>
          <t>VETLANDA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57741-2018</t>
        </is>
      </c>
      <c r="B161" s="1" t="n">
        <v>43397</v>
      </c>
      <c r="C161" s="1" t="n">
        <v>45347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57712-2018</t>
        </is>
      </c>
      <c r="B162" s="1" t="n">
        <v>43397</v>
      </c>
      <c r="C162" s="1" t="n">
        <v>45347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58991-2018</t>
        </is>
      </c>
      <c r="B163" s="1" t="n">
        <v>43402</v>
      </c>
      <c r="C163" s="1" t="n">
        <v>45347</v>
      </c>
      <c r="D163" t="inlineStr">
        <is>
          <t>JÖNKÖPINGS LÄN</t>
        </is>
      </c>
      <c r="E163" t="inlineStr">
        <is>
          <t>VETLANDA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59247-2018</t>
        </is>
      </c>
      <c r="B164" s="1" t="n">
        <v>43403</v>
      </c>
      <c r="C164" s="1" t="n">
        <v>45347</v>
      </c>
      <c r="D164" t="inlineStr">
        <is>
          <t>JÖNKÖPINGS LÄN</t>
        </is>
      </c>
      <c r="E164" t="inlineStr">
        <is>
          <t>VETLANDA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59244-2018</t>
        </is>
      </c>
      <c r="B165" s="1" t="n">
        <v>43403</v>
      </c>
      <c r="C165" s="1" t="n">
        <v>45347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59249-2018</t>
        </is>
      </c>
      <c r="B166" s="1" t="n">
        <v>43403</v>
      </c>
      <c r="C166" s="1" t="n">
        <v>45347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57953-2018</t>
        </is>
      </c>
      <c r="B167" s="1" t="n">
        <v>43405</v>
      </c>
      <c r="C167" s="1" t="n">
        <v>45347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57982-2018</t>
        </is>
      </c>
      <c r="B168" s="1" t="n">
        <v>43405</v>
      </c>
      <c r="C168" s="1" t="n">
        <v>45347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58472-2018</t>
        </is>
      </c>
      <c r="B169" s="1" t="n">
        <v>43409</v>
      </c>
      <c r="C169" s="1" t="n">
        <v>45347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58725-2018</t>
        </is>
      </c>
      <c r="B170" s="1" t="n">
        <v>43410</v>
      </c>
      <c r="C170" s="1" t="n">
        <v>45347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58720-2018</t>
        </is>
      </c>
      <c r="B171" s="1" t="n">
        <v>43410</v>
      </c>
      <c r="C171" s="1" t="n">
        <v>45347</v>
      </c>
      <c r="D171" t="inlineStr">
        <is>
          <t>JÖNKÖPINGS LÄN</t>
        </is>
      </c>
      <c r="E171" t="inlineStr">
        <is>
          <t>VETLANDA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60067-2018</t>
        </is>
      </c>
      <c r="B172" s="1" t="n">
        <v>43412</v>
      </c>
      <c r="C172" s="1" t="n">
        <v>45347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62445-2018</t>
        </is>
      </c>
      <c r="B173" s="1" t="n">
        <v>43415</v>
      </c>
      <c r="C173" s="1" t="n">
        <v>45347</v>
      </c>
      <c r="D173" t="inlineStr">
        <is>
          <t>JÖNKÖPINGS LÄN</t>
        </is>
      </c>
      <c r="E173" t="inlineStr">
        <is>
          <t>VETLANDA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62077-2018</t>
        </is>
      </c>
      <c r="B174" s="1" t="n">
        <v>43416</v>
      </c>
      <c r="C174" s="1" t="n">
        <v>45347</v>
      </c>
      <c r="D174" t="inlineStr">
        <is>
          <t>JÖNKÖPINGS LÄN</t>
        </is>
      </c>
      <c r="E174" t="inlineStr">
        <is>
          <t>VETLANDA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63149-2018</t>
        </is>
      </c>
      <c r="B175" s="1" t="n">
        <v>43418</v>
      </c>
      <c r="C175" s="1" t="n">
        <v>45347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63152-2018</t>
        </is>
      </c>
      <c r="B176" s="1" t="n">
        <v>43418</v>
      </c>
      <c r="C176" s="1" t="n">
        <v>45347</v>
      </c>
      <c r="D176" t="inlineStr">
        <is>
          <t>JÖNKÖPINGS LÄN</t>
        </is>
      </c>
      <c r="E176" t="inlineStr">
        <is>
          <t>VETLANDA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59337-2018</t>
        </is>
      </c>
      <c r="B177" s="1" t="n">
        <v>43418</v>
      </c>
      <c r="C177" s="1" t="n">
        <v>45347</v>
      </c>
      <c r="D177" t="inlineStr">
        <is>
          <t>JÖNKÖPINGS LÄN</t>
        </is>
      </c>
      <c r="E177" t="inlineStr">
        <is>
          <t>VETLANDA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64328-2018</t>
        </is>
      </c>
      <c r="B178" s="1" t="n">
        <v>43419</v>
      </c>
      <c r="C178" s="1" t="n">
        <v>45347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60933-2018</t>
        </is>
      </c>
      <c r="B179" s="1" t="n">
        <v>43423</v>
      </c>
      <c r="C179" s="1" t="n">
        <v>45347</v>
      </c>
      <c r="D179" t="inlineStr">
        <is>
          <t>JÖNKÖPINGS LÄN</t>
        </is>
      </c>
      <c r="E179" t="inlineStr">
        <is>
          <t>VETLANDA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65415-2018</t>
        </is>
      </c>
      <c r="B180" s="1" t="n">
        <v>43424</v>
      </c>
      <c r="C180" s="1" t="n">
        <v>45347</v>
      </c>
      <c r="D180" t="inlineStr">
        <is>
          <t>JÖNKÖPINGS LÄN</t>
        </is>
      </c>
      <c r="E180" t="inlineStr">
        <is>
          <t>VETLANDA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65201-2018</t>
        </is>
      </c>
      <c r="B181" s="1" t="n">
        <v>43424</v>
      </c>
      <c r="C181" s="1" t="n">
        <v>45347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65346-2018</t>
        </is>
      </c>
      <c r="B182" s="1" t="n">
        <v>43424</v>
      </c>
      <c r="C182" s="1" t="n">
        <v>45347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63246-2018</t>
        </is>
      </c>
      <c r="B183" s="1" t="n">
        <v>43426</v>
      </c>
      <c r="C183" s="1" t="n">
        <v>45347</v>
      </c>
      <c r="D183" t="inlineStr">
        <is>
          <t>JÖNKÖPINGS LÄN</t>
        </is>
      </c>
      <c r="E183" t="inlineStr">
        <is>
          <t>VETLANDA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63418-2018</t>
        </is>
      </c>
      <c r="B184" s="1" t="n">
        <v>43427</v>
      </c>
      <c r="C184" s="1" t="n">
        <v>45347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64438-2018</t>
        </is>
      </c>
      <c r="B185" s="1" t="n">
        <v>43431</v>
      </c>
      <c r="C185" s="1" t="n">
        <v>45347</v>
      </c>
      <c r="D185" t="inlineStr">
        <is>
          <t>JÖNKÖPINGS LÄN</t>
        </is>
      </c>
      <c r="E185" t="inlineStr">
        <is>
          <t>VETLANDA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64959-2018</t>
        </is>
      </c>
      <c r="B186" s="1" t="n">
        <v>43432</v>
      </c>
      <c r="C186" s="1" t="n">
        <v>45347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65620-2018</t>
        </is>
      </c>
      <c r="B187" s="1" t="n">
        <v>43433</v>
      </c>
      <c r="C187" s="1" t="n">
        <v>45347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65635-2018</t>
        </is>
      </c>
      <c r="B188" s="1" t="n">
        <v>43433</v>
      </c>
      <c r="C188" s="1" t="n">
        <v>45347</v>
      </c>
      <c r="D188" t="inlineStr">
        <is>
          <t>JÖNKÖPINGS LÄN</t>
        </is>
      </c>
      <c r="E188" t="inlineStr">
        <is>
          <t>VETLANDA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65893-2018</t>
        </is>
      </c>
      <c r="B189" s="1" t="n">
        <v>43434</v>
      </c>
      <c r="C189" s="1" t="n">
        <v>45347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HYPERLINK("https://klasma.github.io/Logging_0685/knärot/A 65893-2018 karta knärot.png", "A 65893-2018")</f>
        <v/>
      </c>
      <c r="V189">
        <f>HYPERLINK("https://klasma.github.io/Logging_0685/klagomål/A 65893-2018 FSC-klagomål.docx", "A 65893-2018")</f>
        <v/>
      </c>
      <c r="W189">
        <f>HYPERLINK("https://klasma.github.io/Logging_0685/klagomålsmail/A 65893-2018 FSC-klagomål mail.docx", "A 65893-2018")</f>
        <v/>
      </c>
      <c r="X189">
        <f>HYPERLINK("https://klasma.github.io/Logging_0685/tillsyn/A 65893-2018 tillsynsbegäran.docx", "A 65893-2018")</f>
        <v/>
      </c>
      <c r="Y189">
        <f>HYPERLINK("https://klasma.github.io/Logging_0685/tillsynsmail/A 65893-2018 tillsynsbegäran mail.docx", "A 65893-2018")</f>
        <v/>
      </c>
    </row>
    <row r="190" ht="15" customHeight="1">
      <c r="A190" t="inlineStr">
        <is>
          <t>A 67977-2018</t>
        </is>
      </c>
      <c r="B190" s="1" t="n">
        <v>43437</v>
      </c>
      <c r="C190" s="1" t="n">
        <v>45347</v>
      </c>
      <c r="D190" t="inlineStr">
        <is>
          <t>JÖNKÖPINGS LÄN</t>
        </is>
      </c>
      <c r="E190" t="inlineStr">
        <is>
          <t>VETLANDA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67962-2018</t>
        </is>
      </c>
      <c r="B191" s="1" t="n">
        <v>43437</v>
      </c>
      <c r="C191" s="1" t="n">
        <v>45347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68141-2018</t>
        </is>
      </c>
      <c r="B192" s="1" t="n">
        <v>43437</v>
      </c>
      <c r="C192" s="1" t="n">
        <v>45347</v>
      </c>
      <c r="D192" t="inlineStr">
        <is>
          <t>JÖNKÖPINGS LÄN</t>
        </is>
      </c>
      <c r="E192" t="inlineStr">
        <is>
          <t>VETLANDA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67313-2018</t>
        </is>
      </c>
      <c r="B193" s="1" t="n">
        <v>43439</v>
      </c>
      <c r="C193" s="1" t="n">
        <v>45347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67296-2018</t>
        </is>
      </c>
      <c r="B194" s="1" t="n">
        <v>43439</v>
      </c>
      <c r="C194" s="1" t="n">
        <v>45347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67763-2018</t>
        </is>
      </c>
      <c r="B195" s="1" t="n">
        <v>43440</v>
      </c>
      <c r="C195" s="1" t="n">
        <v>45347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67969-2018</t>
        </is>
      </c>
      <c r="B196" s="1" t="n">
        <v>43440</v>
      </c>
      <c r="C196" s="1" t="n">
        <v>45347</v>
      </c>
      <c r="D196" t="inlineStr">
        <is>
          <t>JÖNKÖPINGS LÄN</t>
        </is>
      </c>
      <c r="E196" t="inlineStr">
        <is>
          <t>VETLANDA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68535-2018</t>
        </is>
      </c>
      <c r="B197" s="1" t="n">
        <v>43444</v>
      </c>
      <c r="C197" s="1" t="n">
        <v>45347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69734-2018</t>
        </is>
      </c>
      <c r="B198" s="1" t="n">
        <v>43447</v>
      </c>
      <c r="C198" s="1" t="n">
        <v>45347</v>
      </c>
      <c r="D198" t="inlineStr">
        <is>
          <t>JÖNKÖPINGS LÄN</t>
        </is>
      </c>
      <c r="E198" t="inlineStr">
        <is>
          <t>VETLANDA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70277-2018</t>
        </is>
      </c>
      <c r="B199" s="1" t="n">
        <v>43449</v>
      </c>
      <c r="C199" s="1" t="n">
        <v>45347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70821-2018</t>
        </is>
      </c>
      <c r="B200" s="1" t="n">
        <v>43452</v>
      </c>
      <c r="C200" s="1" t="n">
        <v>45347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70872-2018</t>
        </is>
      </c>
      <c r="B201" s="1" t="n">
        <v>43452</v>
      </c>
      <c r="C201" s="1" t="n">
        <v>45347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70876-2018</t>
        </is>
      </c>
      <c r="B202" s="1" t="n">
        <v>43452</v>
      </c>
      <c r="C202" s="1" t="n">
        <v>45347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71178-2018</t>
        </is>
      </c>
      <c r="B203" s="1" t="n">
        <v>43453</v>
      </c>
      <c r="C203" s="1" t="n">
        <v>45347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71364-2018</t>
        </is>
      </c>
      <c r="B204" s="1" t="n">
        <v>43453</v>
      </c>
      <c r="C204" s="1" t="n">
        <v>45347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71196-2018</t>
        </is>
      </c>
      <c r="B205" s="1" t="n">
        <v>43453</v>
      </c>
      <c r="C205" s="1" t="n">
        <v>45347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71174-2018</t>
        </is>
      </c>
      <c r="B206" s="1" t="n">
        <v>43453</v>
      </c>
      <c r="C206" s="1" t="n">
        <v>45347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71191-2018</t>
        </is>
      </c>
      <c r="B207" s="1" t="n">
        <v>43453</v>
      </c>
      <c r="C207" s="1" t="n">
        <v>45347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71183-2018</t>
        </is>
      </c>
      <c r="B208" s="1" t="n">
        <v>43453</v>
      </c>
      <c r="C208" s="1" t="n">
        <v>45347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72005-2018</t>
        </is>
      </c>
      <c r="B209" s="1" t="n">
        <v>43455</v>
      </c>
      <c r="C209" s="1" t="n">
        <v>45347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1616-2019</t>
        </is>
      </c>
      <c r="B210" s="1" t="n">
        <v>43461</v>
      </c>
      <c r="C210" s="1" t="n">
        <v>45347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1603-2019</t>
        </is>
      </c>
      <c r="B211" s="1" t="n">
        <v>43461</v>
      </c>
      <c r="C211" s="1" t="n">
        <v>45347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72660-2018</t>
        </is>
      </c>
      <c r="B212" s="1" t="n">
        <v>43465</v>
      </c>
      <c r="C212" s="1" t="n">
        <v>45347</v>
      </c>
      <c r="D212" t="inlineStr">
        <is>
          <t>JÖNKÖPINGS LÄN</t>
        </is>
      </c>
      <c r="E212" t="inlineStr">
        <is>
          <t>VETLANDA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72662-2018</t>
        </is>
      </c>
      <c r="B213" s="1" t="n">
        <v>43465</v>
      </c>
      <c r="C213" s="1" t="n">
        <v>45347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72659-2018</t>
        </is>
      </c>
      <c r="B214" s="1" t="n">
        <v>43465</v>
      </c>
      <c r="C214" s="1" t="n">
        <v>45347</v>
      </c>
      <c r="D214" t="inlineStr">
        <is>
          <t>JÖNKÖPINGS LÄN</t>
        </is>
      </c>
      <c r="E214" t="inlineStr">
        <is>
          <t>VETLANDA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2173-2019</t>
        </is>
      </c>
      <c r="B215" s="1" t="n">
        <v>43467</v>
      </c>
      <c r="C215" s="1" t="n">
        <v>45347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514-2019</t>
        </is>
      </c>
      <c r="B216" s="1" t="n">
        <v>43469</v>
      </c>
      <c r="C216" s="1" t="n">
        <v>45347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536-2019</t>
        </is>
      </c>
      <c r="B217" s="1" t="n">
        <v>43469</v>
      </c>
      <c r="C217" s="1" t="n">
        <v>45347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512-2019</t>
        </is>
      </c>
      <c r="B218" s="1" t="n">
        <v>43469</v>
      </c>
      <c r="C218" s="1" t="n">
        <v>45347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3012-2019</t>
        </is>
      </c>
      <c r="B219" s="1" t="n">
        <v>43473</v>
      </c>
      <c r="C219" s="1" t="n">
        <v>45347</v>
      </c>
      <c r="D219" t="inlineStr">
        <is>
          <t>JÖNKÖPINGS LÄN</t>
        </is>
      </c>
      <c r="E219" t="inlineStr">
        <is>
          <t>VETLANDA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1388-2019</t>
        </is>
      </c>
      <c r="B220" s="1" t="n">
        <v>43473</v>
      </c>
      <c r="C220" s="1" t="n">
        <v>45347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1406-2019</t>
        </is>
      </c>
      <c r="B221" s="1" t="n">
        <v>43473</v>
      </c>
      <c r="C221" s="1" t="n">
        <v>45347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3280-2019</t>
        </is>
      </c>
      <c r="B222" s="1" t="n">
        <v>43473</v>
      </c>
      <c r="C222" s="1" t="n">
        <v>45347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1304-2019</t>
        </is>
      </c>
      <c r="B223" s="1" t="n">
        <v>43473</v>
      </c>
      <c r="C223" s="1" t="n">
        <v>45347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1881-2019</t>
        </is>
      </c>
      <c r="B224" s="1" t="n">
        <v>43474</v>
      </c>
      <c r="C224" s="1" t="n">
        <v>45347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4232-2019</t>
        </is>
      </c>
      <c r="B225" s="1" t="n">
        <v>43476</v>
      </c>
      <c r="C225" s="1" t="n">
        <v>45347</v>
      </c>
      <c r="D225" t="inlineStr">
        <is>
          <t>JÖNKÖPINGS LÄN</t>
        </is>
      </c>
      <c r="E225" t="inlineStr">
        <is>
          <t>VETLANDA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3184-2019</t>
        </is>
      </c>
      <c r="B226" s="1" t="n">
        <v>43480</v>
      </c>
      <c r="C226" s="1" t="n">
        <v>45347</v>
      </c>
      <c r="D226" t="inlineStr">
        <is>
          <t>JÖNKÖPINGS LÄN</t>
        </is>
      </c>
      <c r="E226" t="inlineStr">
        <is>
          <t>VETLANDA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3183-2019</t>
        </is>
      </c>
      <c r="B227" s="1" t="n">
        <v>43480</v>
      </c>
      <c r="C227" s="1" t="n">
        <v>45347</v>
      </c>
      <c r="D227" t="inlineStr">
        <is>
          <t>JÖNKÖPINGS LÄN</t>
        </is>
      </c>
      <c r="E227" t="inlineStr">
        <is>
          <t>VETLANDA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5300-2019</t>
        </is>
      </c>
      <c r="B228" s="1" t="n">
        <v>43481</v>
      </c>
      <c r="C228" s="1" t="n">
        <v>45347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3592-2019</t>
        </is>
      </c>
      <c r="B229" s="1" t="n">
        <v>43481</v>
      </c>
      <c r="C229" s="1" t="n">
        <v>45347</v>
      </c>
      <c r="D229" t="inlineStr">
        <is>
          <t>JÖNKÖPINGS LÄN</t>
        </is>
      </c>
      <c r="E229" t="inlineStr">
        <is>
          <t>VETLANDA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5459-2019</t>
        </is>
      </c>
      <c r="B230" s="1" t="n">
        <v>43482</v>
      </c>
      <c r="C230" s="1" t="n">
        <v>45347</v>
      </c>
      <c r="D230" t="inlineStr">
        <is>
          <t>JÖNKÖPINGS LÄN</t>
        </is>
      </c>
      <c r="E230" t="inlineStr">
        <is>
          <t>VETLANDA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5677-2019</t>
        </is>
      </c>
      <c r="B231" s="1" t="n">
        <v>43482</v>
      </c>
      <c r="C231" s="1" t="n">
        <v>45347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5469-2019</t>
        </is>
      </c>
      <c r="B232" s="1" t="n">
        <v>43482</v>
      </c>
      <c r="C232" s="1" t="n">
        <v>45347</v>
      </c>
      <c r="D232" t="inlineStr">
        <is>
          <t>JÖNKÖPINGS LÄN</t>
        </is>
      </c>
      <c r="E232" t="inlineStr">
        <is>
          <t>VETLANDA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4440-2019</t>
        </is>
      </c>
      <c r="B233" s="1" t="n">
        <v>43485</v>
      </c>
      <c r="C233" s="1" t="n">
        <v>45347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6181-2019</t>
        </is>
      </c>
      <c r="B234" s="1" t="n">
        <v>43486</v>
      </c>
      <c r="C234" s="1" t="n">
        <v>45347</v>
      </c>
      <c r="D234" t="inlineStr">
        <is>
          <t>JÖNKÖPINGS LÄN</t>
        </is>
      </c>
      <c r="E234" t="inlineStr">
        <is>
          <t>VETLANDA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6179-2019</t>
        </is>
      </c>
      <c r="B235" s="1" t="n">
        <v>43486</v>
      </c>
      <c r="C235" s="1" t="n">
        <v>45347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6357-2019</t>
        </is>
      </c>
      <c r="B236" s="1" t="n">
        <v>43493</v>
      </c>
      <c r="C236" s="1" t="n">
        <v>45347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7430-2019</t>
        </is>
      </c>
      <c r="B237" s="1" t="n">
        <v>43497</v>
      </c>
      <c r="C237" s="1" t="n">
        <v>45347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7562-2019</t>
        </is>
      </c>
      <c r="B238" s="1" t="n">
        <v>43497</v>
      </c>
      <c r="C238" s="1" t="n">
        <v>45347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8356-2019</t>
        </is>
      </c>
      <c r="B239" s="1" t="n">
        <v>43498</v>
      </c>
      <c r="C239" s="1" t="n">
        <v>45347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8167-2019</t>
        </is>
      </c>
      <c r="B240" s="1" t="n">
        <v>43501</v>
      </c>
      <c r="C240" s="1" t="n">
        <v>45347</v>
      </c>
      <c r="D240" t="inlineStr">
        <is>
          <t>JÖNKÖPINGS LÄN</t>
        </is>
      </c>
      <c r="E240" t="inlineStr">
        <is>
          <t>VETLANDA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8776-2019</t>
        </is>
      </c>
      <c r="B241" s="1" t="n">
        <v>43502</v>
      </c>
      <c r="C241" s="1" t="n">
        <v>45347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8788-2019</t>
        </is>
      </c>
      <c r="B242" s="1" t="n">
        <v>43502</v>
      </c>
      <c r="C242" s="1" t="n">
        <v>45347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8879-2019</t>
        </is>
      </c>
      <c r="B243" s="1" t="n">
        <v>43503</v>
      </c>
      <c r="C243" s="1" t="n">
        <v>45347</v>
      </c>
      <c r="D243" t="inlineStr">
        <is>
          <t>JÖNKÖPINGS LÄN</t>
        </is>
      </c>
      <c r="E243" t="inlineStr">
        <is>
          <t>VETLANDA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9069-2019</t>
        </is>
      </c>
      <c r="B244" s="1" t="n">
        <v>43504</v>
      </c>
      <c r="C244" s="1" t="n">
        <v>45347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10021-2019</t>
        </is>
      </c>
      <c r="B245" s="1" t="n">
        <v>43510</v>
      </c>
      <c r="C245" s="1" t="n">
        <v>45347</v>
      </c>
      <c r="D245" t="inlineStr">
        <is>
          <t>JÖNKÖPINGS LÄN</t>
        </is>
      </c>
      <c r="E245" t="inlineStr">
        <is>
          <t>VETLANDA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10209-2019</t>
        </is>
      </c>
      <c r="B246" s="1" t="n">
        <v>43510</v>
      </c>
      <c r="C246" s="1" t="n">
        <v>45347</v>
      </c>
      <c r="D246" t="inlineStr">
        <is>
          <t>JÖNKÖPINGS LÄN</t>
        </is>
      </c>
      <c r="E246" t="inlineStr">
        <is>
          <t>VETLANDA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10222-2019</t>
        </is>
      </c>
      <c r="B247" s="1" t="n">
        <v>43510</v>
      </c>
      <c r="C247" s="1" t="n">
        <v>45347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10174-2019</t>
        </is>
      </c>
      <c r="B248" s="1" t="n">
        <v>43510</v>
      </c>
      <c r="C248" s="1" t="n">
        <v>45347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10596-2019</t>
        </is>
      </c>
      <c r="B249" s="1" t="n">
        <v>43514</v>
      </c>
      <c r="C249" s="1" t="n">
        <v>45347</v>
      </c>
      <c r="D249" t="inlineStr">
        <is>
          <t>JÖNKÖPINGS LÄN</t>
        </is>
      </c>
      <c r="E249" t="inlineStr">
        <is>
          <t>VETLANDA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10926-2019</t>
        </is>
      </c>
      <c r="B250" s="1" t="n">
        <v>43515</v>
      </c>
      <c r="C250" s="1" t="n">
        <v>45347</v>
      </c>
      <c r="D250" t="inlineStr">
        <is>
          <t>JÖNKÖPINGS LÄN</t>
        </is>
      </c>
      <c r="E250" t="inlineStr">
        <is>
          <t>VETLANDA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10935-2019</t>
        </is>
      </c>
      <c r="B251" s="1" t="n">
        <v>43515</v>
      </c>
      <c r="C251" s="1" t="n">
        <v>45347</v>
      </c>
      <c r="D251" t="inlineStr">
        <is>
          <t>JÖNKÖPINGS LÄN</t>
        </is>
      </c>
      <c r="E251" t="inlineStr">
        <is>
          <t>VETLANDA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11168-2019</t>
        </is>
      </c>
      <c r="B252" s="1" t="n">
        <v>43515</v>
      </c>
      <c r="C252" s="1" t="n">
        <v>45347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11142-2019</t>
        </is>
      </c>
      <c r="B253" s="1" t="n">
        <v>43515</v>
      </c>
      <c r="C253" s="1" t="n">
        <v>45347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10944-2019</t>
        </is>
      </c>
      <c r="B254" s="1" t="n">
        <v>43515</v>
      </c>
      <c r="C254" s="1" t="n">
        <v>45347</v>
      </c>
      <c r="D254" t="inlineStr">
        <is>
          <t>JÖNKÖPINGS LÄN</t>
        </is>
      </c>
      <c r="E254" t="inlineStr">
        <is>
          <t>VETLANDA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11469-2019</t>
        </is>
      </c>
      <c r="B255" s="1" t="n">
        <v>43517</v>
      </c>
      <c r="C255" s="1" t="n">
        <v>45347</v>
      </c>
      <c r="D255" t="inlineStr">
        <is>
          <t>JÖNKÖPINGS LÄN</t>
        </is>
      </c>
      <c r="E255" t="inlineStr">
        <is>
          <t>VETLANDA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11490-2019</t>
        </is>
      </c>
      <c r="B256" s="1" t="n">
        <v>43517</v>
      </c>
      <c r="C256" s="1" t="n">
        <v>45347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11702-2019</t>
        </is>
      </c>
      <c r="B257" s="1" t="n">
        <v>43518</v>
      </c>
      <c r="C257" s="1" t="n">
        <v>45347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12313-2019</t>
        </is>
      </c>
      <c r="B258" s="1" t="n">
        <v>43523</v>
      </c>
      <c r="C258" s="1" t="n">
        <v>45347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12672-2019</t>
        </is>
      </c>
      <c r="B259" s="1" t="n">
        <v>43524</v>
      </c>
      <c r="C259" s="1" t="n">
        <v>45347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12803-2019</t>
        </is>
      </c>
      <c r="B260" s="1" t="n">
        <v>43525</v>
      </c>
      <c r="C260" s="1" t="n">
        <v>45347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13173-2019</t>
        </is>
      </c>
      <c r="B261" s="1" t="n">
        <v>43528</v>
      </c>
      <c r="C261" s="1" t="n">
        <v>45347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13535-2019</t>
        </is>
      </c>
      <c r="B262" s="1" t="n">
        <v>43530</v>
      </c>
      <c r="C262" s="1" t="n">
        <v>45347</v>
      </c>
      <c r="D262" t="inlineStr">
        <is>
          <t>JÖNKÖPINGS LÄN</t>
        </is>
      </c>
      <c r="E262" t="inlineStr">
        <is>
          <t>VETLANDA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13599-2019</t>
        </is>
      </c>
      <c r="B263" s="1" t="n">
        <v>43530</v>
      </c>
      <c r="C263" s="1" t="n">
        <v>45347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13872-2019</t>
        </is>
      </c>
      <c r="B264" s="1" t="n">
        <v>43530</v>
      </c>
      <c r="C264" s="1" t="n">
        <v>45347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13527-2019</t>
        </is>
      </c>
      <c r="B265" s="1" t="n">
        <v>43530</v>
      </c>
      <c r="C265" s="1" t="n">
        <v>45347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13865-2019</t>
        </is>
      </c>
      <c r="B266" s="1" t="n">
        <v>43530</v>
      </c>
      <c r="C266" s="1" t="n">
        <v>45347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14013-2019</t>
        </is>
      </c>
      <c r="B267" s="1" t="n">
        <v>43531</v>
      </c>
      <c r="C267" s="1" t="n">
        <v>45347</v>
      </c>
      <c r="D267" t="inlineStr">
        <is>
          <t>JÖNKÖPINGS LÄN</t>
        </is>
      </c>
      <c r="E267" t="inlineStr">
        <is>
          <t>VETLANDA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13715-2019</t>
        </is>
      </c>
      <c r="B268" s="1" t="n">
        <v>43531</v>
      </c>
      <c r="C268" s="1" t="n">
        <v>45347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14596-2019</t>
        </is>
      </c>
      <c r="B269" s="1" t="n">
        <v>43536</v>
      </c>
      <c r="C269" s="1" t="n">
        <v>45347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14397-2019</t>
        </is>
      </c>
      <c r="B270" s="1" t="n">
        <v>43536</v>
      </c>
      <c r="C270" s="1" t="n">
        <v>45347</v>
      </c>
      <c r="D270" t="inlineStr">
        <is>
          <t>JÖNKÖPINGS LÄN</t>
        </is>
      </c>
      <c r="E270" t="inlineStr">
        <is>
          <t>VETLANDA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14972-2019</t>
        </is>
      </c>
      <c r="B271" s="1" t="n">
        <v>43538</v>
      </c>
      <c r="C271" s="1" t="n">
        <v>45347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14643-2019</t>
        </is>
      </c>
      <c r="B272" s="1" t="n">
        <v>43538</v>
      </c>
      <c r="C272" s="1" t="n">
        <v>45347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14816-2019</t>
        </is>
      </c>
      <c r="B273" s="1" t="n">
        <v>43539</v>
      </c>
      <c r="C273" s="1" t="n">
        <v>45347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15753-2019</t>
        </is>
      </c>
      <c r="B274" s="1" t="n">
        <v>43543</v>
      </c>
      <c r="C274" s="1" t="n">
        <v>45347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16939-2019</t>
        </is>
      </c>
      <c r="B275" s="1" t="n">
        <v>43549</v>
      </c>
      <c r="C275" s="1" t="n">
        <v>45347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16935-2019</t>
        </is>
      </c>
      <c r="B276" s="1" t="n">
        <v>43549</v>
      </c>
      <c r="C276" s="1" t="n">
        <v>45347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17542-2019</t>
        </is>
      </c>
      <c r="B277" s="1" t="n">
        <v>43553</v>
      </c>
      <c r="C277" s="1" t="n">
        <v>45347</v>
      </c>
      <c r="D277" t="inlineStr">
        <is>
          <t>JÖNKÖPINGS LÄN</t>
        </is>
      </c>
      <c r="E277" t="inlineStr">
        <is>
          <t>VETLANDA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17610-2019</t>
        </is>
      </c>
      <c r="B278" s="1" t="n">
        <v>43555</v>
      </c>
      <c r="C278" s="1" t="n">
        <v>45347</v>
      </c>
      <c r="D278" t="inlineStr">
        <is>
          <t>JÖNKÖPINGS LÄN</t>
        </is>
      </c>
      <c r="E278" t="inlineStr">
        <is>
          <t>VETLANDA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18559-2019</t>
        </is>
      </c>
      <c r="B279" s="1" t="n">
        <v>43559</v>
      </c>
      <c r="C279" s="1" t="n">
        <v>45347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18733-2019</t>
        </is>
      </c>
      <c r="B280" s="1" t="n">
        <v>43560</v>
      </c>
      <c r="C280" s="1" t="n">
        <v>45347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19600-2019</t>
        </is>
      </c>
      <c r="B281" s="1" t="n">
        <v>43566</v>
      </c>
      <c r="C281" s="1" t="n">
        <v>45347</v>
      </c>
      <c r="D281" t="inlineStr">
        <is>
          <t>JÖNKÖPINGS LÄN</t>
        </is>
      </c>
      <c r="E281" t="inlineStr">
        <is>
          <t>VETLANDA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19605-2019</t>
        </is>
      </c>
      <c r="B282" s="1" t="n">
        <v>43566</v>
      </c>
      <c r="C282" s="1" t="n">
        <v>45347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19911-2019</t>
        </is>
      </c>
      <c r="B283" s="1" t="n">
        <v>43567</v>
      </c>
      <c r="C283" s="1" t="n">
        <v>45347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20325-2019</t>
        </is>
      </c>
      <c r="B284" s="1" t="n">
        <v>43571</v>
      </c>
      <c r="C284" s="1" t="n">
        <v>45347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21227-2019</t>
        </is>
      </c>
      <c r="B285" s="1" t="n">
        <v>43579</v>
      </c>
      <c r="C285" s="1" t="n">
        <v>45347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21354-2019</t>
        </is>
      </c>
      <c r="B286" s="1" t="n">
        <v>43579</v>
      </c>
      <c r="C286" s="1" t="n">
        <v>45347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21571-2019</t>
        </is>
      </c>
      <c r="B287" s="1" t="n">
        <v>43580</v>
      </c>
      <c r="C287" s="1" t="n">
        <v>45347</v>
      </c>
      <c r="D287" t="inlineStr">
        <is>
          <t>JÖNKÖPINGS LÄN</t>
        </is>
      </c>
      <c r="E287" t="inlineStr">
        <is>
          <t>VETLANDA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21568-2019</t>
        </is>
      </c>
      <c r="B288" s="1" t="n">
        <v>43580</v>
      </c>
      <c r="C288" s="1" t="n">
        <v>45347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21856-2019</t>
        </is>
      </c>
      <c r="B289" s="1" t="n">
        <v>43584</v>
      </c>
      <c r="C289" s="1" t="n">
        <v>45347</v>
      </c>
      <c r="D289" t="inlineStr">
        <is>
          <t>JÖNKÖPINGS LÄN</t>
        </is>
      </c>
      <c r="E289" t="inlineStr">
        <is>
          <t>VETLANDA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22167-2019</t>
        </is>
      </c>
      <c r="B290" s="1" t="n">
        <v>43585</v>
      </c>
      <c r="C290" s="1" t="n">
        <v>45347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22171-2019</t>
        </is>
      </c>
      <c r="B291" s="1" t="n">
        <v>43585</v>
      </c>
      <c r="C291" s="1" t="n">
        <v>45347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23164-2019</t>
        </is>
      </c>
      <c r="B292" s="1" t="n">
        <v>43592</v>
      </c>
      <c r="C292" s="1" t="n">
        <v>45347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23371-2019</t>
        </is>
      </c>
      <c r="B293" s="1" t="n">
        <v>43593</v>
      </c>
      <c r="C293" s="1" t="n">
        <v>45347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23369-2019</t>
        </is>
      </c>
      <c r="B294" s="1" t="n">
        <v>43593</v>
      </c>
      <c r="C294" s="1" t="n">
        <v>45347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23650-2019</t>
        </is>
      </c>
      <c r="B295" s="1" t="n">
        <v>43594</v>
      </c>
      <c r="C295" s="1" t="n">
        <v>45347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23978-2019</t>
        </is>
      </c>
      <c r="B296" s="1" t="n">
        <v>43595</v>
      </c>
      <c r="C296" s="1" t="n">
        <v>45347</v>
      </c>
      <c r="D296" t="inlineStr">
        <is>
          <t>JÖNKÖPINGS LÄN</t>
        </is>
      </c>
      <c r="E296" t="inlineStr">
        <is>
          <t>VETLANDA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24648-2019</t>
        </is>
      </c>
      <c r="B297" s="1" t="n">
        <v>43601</v>
      </c>
      <c r="C297" s="1" t="n">
        <v>45347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24649-2019</t>
        </is>
      </c>
      <c r="B298" s="1" t="n">
        <v>43601</v>
      </c>
      <c r="C298" s="1" t="n">
        <v>45347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25086-2019</t>
        </is>
      </c>
      <c r="B299" s="1" t="n">
        <v>43605</v>
      </c>
      <c r="C299" s="1" t="n">
        <v>45347</v>
      </c>
      <c r="D299" t="inlineStr">
        <is>
          <t>JÖNKÖPINGS LÄN</t>
        </is>
      </c>
      <c r="E299" t="inlineStr">
        <is>
          <t>VETLANDA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25888-2019</t>
        </is>
      </c>
      <c r="B300" s="1" t="n">
        <v>43605</v>
      </c>
      <c r="C300" s="1" t="n">
        <v>45347</v>
      </c>
      <c r="D300" t="inlineStr">
        <is>
          <t>JÖNKÖPINGS LÄN</t>
        </is>
      </c>
      <c r="E300" t="inlineStr">
        <is>
          <t>VETLANDA</t>
        </is>
      </c>
      <c r="F300" t="inlineStr">
        <is>
          <t>Kommuner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25819-2019</t>
        </is>
      </c>
      <c r="B301" s="1" t="n">
        <v>43605</v>
      </c>
      <c r="C301" s="1" t="n">
        <v>45347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25868-2019</t>
        </is>
      </c>
      <c r="B302" s="1" t="n">
        <v>43605</v>
      </c>
      <c r="C302" s="1" t="n">
        <v>45347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25795-2019</t>
        </is>
      </c>
      <c r="B303" s="1" t="n">
        <v>43605</v>
      </c>
      <c r="C303" s="1" t="n">
        <v>45347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25083-2019</t>
        </is>
      </c>
      <c r="B304" s="1" t="n">
        <v>43605</v>
      </c>
      <c r="C304" s="1" t="n">
        <v>45347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25389-2019</t>
        </is>
      </c>
      <c r="B305" s="1" t="n">
        <v>43606</v>
      </c>
      <c r="C305" s="1" t="n">
        <v>45347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25379-2019</t>
        </is>
      </c>
      <c r="B306" s="1" t="n">
        <v>43606</v>
      </c>
      <c r="C306" s="1" t="n">
        <v>45347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25582-2019</t>
        </is>
      </c>
      <c r="B307" s="1" t="n">
        <v>43607</v>
      </c>
      <c r="C307" s="1" t="n">
        <v>45347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26554-2019</t>
        </is>
      </c>
      <c r="B308" s="1" t="n">
        <v>43612</v>
      </c>
      <c r="C308" s="1" t="n">
        <v>45347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27044-2019</t>
        </is>
      </c>
      <c r="B309" s="1" t="n">
        <v>43614</v>
      </c>
      <c r="C309" s="1" t="n">
        <v>45347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27466-2019</t>
        </is>
      </c>
      <c r="B310" s="1" t="n">
        <v>43618</v>
      </c>
      <c r="C310" s="1" t="n">
        <v>45347</v>
      </c>
      <c r="D310" t="inlineStr">
        <is>
          <t>JÖNKÖPINGS LÄN</t>
        </is>
      </c>
      <c r="E310" t="inlineStr">
        <is>
          <t>VETLANDA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27642-2019</t>
        </is>
      </c>
      <c r="B311" s="1" t="n">
        <v>43619</v>
      </c>
      <c r="C311" s="1" t="n">
        <v>45347</v>
      </c>
      <c r="D311" t="inlineStr">
        <is>
          <t>JÖNKÖPINGS LÄN</t>
        </is>
      </c>
      <c r="E311" t="inlineStr">
        <is>
          <t>VETLANDA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27643-2019</t>
        </is>
      </c>
      <c r="B312" s="1" t="n">
        <v>43619</v>
      </c>
      <c r="C312" s="1" t="n">
        <v>45347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28246-2019</t>
        </is>
      </c>
      <c r="B313" s="1" t="n">
        <v>43622</v>
      </c>
      <c r="C313" s="1" t="n">
        <v>45347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28587-2019</t>
        </is>
      </c>
      <c r="B314" s="1" t="n">
        <v>43626</v>
      </c>
      <c r="C314" s="1" t="n">
        <v>45347</v>
      </c>
      <c r="D314" t="inlineStr">
        <is>
          <t>JÖNKÖPINGS LÄN</t>
        </is>
      </c>
      <c r="E314" t="inlineStr">
        <is>
          <t>VETLANDA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28657-2019</t>
        </is>
      </c>
      <c r="B315" s="1" t="n">
        <v>43627</v>
      </c>
      <c r="C315" s="1" t="n">
        <v>45347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28676-2019</t>
        </is>
      </c>
      <c r="B316" s="1" t="n">
        <v>43627</v>
      </c>
      <c r="C316" s="1" t="n">
        <v>45347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29406-2019</t>
        </is>
      </c>
      <c r="B317" s="1" t="n">
        <v>43629</v>
      </c>
      <c r="C317" s="1" t="n">
        <v>45347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29420-2019</t>
        </is>
      </c>
      <c r="B318" s="1" t="n">
        <v>43629</v>
      </c>
      <c r="C318" s="1" t="n">
        <v>45347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29716-2019</t>
        </is>
      </c>
      <c r="B319" s="1" t="n">
        <v>43630</v>
      </c>
      <c r="C319" s="1" t="n">
        <v>45347</v>
      </c>
      <c r="D319" t="inlineStr">
        <is>
          <t>JÖNKÖPINGS LÄN</t>
        </is>
      </c>
      <c r="E319" t="inlineStr">
        <is>
          <t>VETLANDA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29539-2019</t>
        </is>
      </c>
      <c r="B320" s="1" t="n">
        <v>43630</v>
      </c>
      <c r="C320" s="1" t="n">
        <v>45347</v>
      </c>
      <c r="D320" t="inlineStr">
        <is>
          <t>JÖNKÖPINGS LÄN</t>
        </is>
      </c>
      <c r="E320" t="inlineStr">
        <is>
          <t>VETLANDA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30909-2019</t>
        </is>
      </c>
      <c r="B321" s="1" t="n">
        <v>43636</v>
      </c>
      <c r="C321" s="1" t="n">
        <v>45347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30803-2019</t>
        </is>
      </c>
      <c r="B322" s="1" t="n">
        <v>43636</v>
      </c>
      <c r="C322" s="1" t="n">
        <v>45347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30791-2019</t>
        </is>
      </c>
      <c r="B323" s="1" t="n">
        <v>43636</v>
      </c>
      <c r="C323" s="1" t="n">
        <v>45347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31246-2019</t>
        </is>
      </c>
      <c r="B324" s="1" t="n">
        <v>43640</v>
      </c>
      <c r="C324" s="1" t="n">
        <v>45347</v>
      </c>
      <c r="D324" t="inlineStr">
        <is>
          <t>JÖNKÖPINGS LÄN</t>
        </is>
      </c>
      <c r="E324" t="inlineStr">
        <is>
          <t>VETLANDA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31819-2019</t>
        </is>
      </c>
      <c r="B325" s="1" t="n">
        <v>43642</v>
      </c>
      <c r="C325" s="1" t="n">
        <v>45347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31858-2019</t>
        </is>
      </c>
      <c r="B326" s="1" t="n">
        <v>43642</v>
      </c>
      <c r="C326" s="1" t="n">
        <v>45347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32235-2019</t>
        </is>
      </c>
      <c r="B327" s="1" t="n">
        <v>43644</v>
      </c>
      <c r="C327" s="1" t="n">
        <v>45347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32241-2019</t>
        </is>
      </c>
      <c r="B328" s="1" t="n">
        <v>43644</v>
      </c>
      <c r="C328" s="1" t="n">
        <v>45347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32237-2019</t>
        </is>
      </c>
      <c r="B329" s="1" t="n">
        <v>43644</v>
      </c>
      <c r="C329" s="1" t="n">
        <v>45347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32504-2019</t>
        </is>
      </c>
      <c r="B330" s="1" t="n">
        <v>43644</v>
      </c>
      <c r="C330" s="1" t="n">
        <v>45347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35494-2019</t>
        </is>
      </c>
      <c r="B331" s="1" t="n">
        <v>43651</v>
      </c>
      <c r="C331" s="1" t="n">
        <v>45347</v>
      </c>
      <c r="D331" t="inlineStr">
        <is>
          <t>JÖNKÖPINGS LÄN</t>
        </is>
      </c>
      <c r="E331" t="inlineStr">
        <is>
          <t>VETLANDA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35489-2019</t>
        </is>
      </c>
      <c r="B332" s="1" t="n">
        <v>43651</v>
      </c>
      <c r="C332" s="1" t="n">
        <v>45347</v>
      </c>
      <c r="D332" t="inlineStr">
        <is>
          <t>JÖNKÖPINGS LÄN</t>
        </is>
      </c>
      <c r="E332" t="inlineStr">
        <is>
          <t>VETLANDA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34380-2019</t>
        </is>
      </c>
      <c r="B333" s="1" t="n">
        <v>43656</v>
      </c>
      <c r="C333" s="1" t="n">
        <v>45347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35935-2019</t>
        </is>
      </c>
      <c r="B334" s="1" t="n">
        <v>43656</v>
      </c>
      <c r="C334" s="1" t="n">
        <v>45347</v>
      </c>
      <c r="D334" t="inlineStr">
        <is>
          <t>JÖNKÖPINGS LÄN</t>
        </is>
      </c>
      <c r="E334" t="inlineStr">
        <is>
          <t>VETLANDA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35946-2019</t>
        </is>
      </c>
      <c r="B335" s="1" t="n">
        <v>43656</v>
      </c>
      <c r="C335" s="1" t="n">
        <v>45347</v>
      </c>
      <c r="D335" t="inlineStr">
        <is>
          <t>JÖNKÖPINGS LÄN</t>
        </is>
      </c>
      <c r="E335" t="inlineStr">
        <is>
          <t>VETLANDA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35910-2019</t>
        </is>
      </c>
      <c r="B336" s="1" t="n">
        <v>43656</v>
      </c>
      <c r="C336" s="1" t="n">
        <v>45347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35945-2019</t>
        </is>
      </c>
      <c r="B337" s="1" t="n">
        <v>43656</v>
      </c>
      <c r="C337" s="1" t="n">
        <v>45347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35942-2019</t>
        </is>
      </c>
      <c r="B338" s="1" t="n">
        <v>43656</v>
      </c>
      <c r="C338" s="1" t="n">
        <v>45347</v>
      </c>
      <c r="D338" t="inlineStr">
        <is>
          <t>JÖNKÖPINGS LÄN</t>
        </is>
      </c>
      <c r="E338" t="inlineStr">
        <is>
          <t>VETLANDA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35944-2019</t>
        </is>
      </c>
      <c r="B339" s="1" t="n">
        <v>43656</v>
      </c>
      <c r="C339" s="1" t="n">
        <v>45347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35903-2019</t>
        </is>
      </c>
      <c r="B340" s="1" t="n">
        <v>43656</v>
      </c>
      <c r="C340" s="1" t="n">
        <v>45347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34775-2019</t>
        </is>
      </c>
      <c r="B341" s="1" t="n">
        <v>43658</v>
      </c>
      <c r="C341" s="1" t="n">
        <v>45347</v>
      </c>
      <c r="D341" t="inlineStr">
        <is>
          <t>JÖNKÖPINGS LÄN</t>
        </is>
      </c>
      <c r="E341" t="inlineStr">
        <is>
          <t>VETLANDA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35117-2019</t>
        </is>
      </c>
      <c r="B342" s="1" t="n">
        <v>43661</v>
      </c>
      <c r="C342" s="1" t="n">
        <v>45347</v>
      </c>
      <c r="D342" t="inlineStr">
        <is>
          <t>JÖNKÖPINGS LÄN</t>
        </is>
      </c>
      <c r="E342" t="inlineStr">
        <is>
          <t>VETLANDA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35309-2019</t>
        </is>
      </c>
      <c r="B343" s="1" t="n">
        <v>43662</v>
      </c>
      <c r="C343" s="1" t="n">
        <v>45347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35310-2019</t>
        </is>
      </c>
      <c r="B344" s="1" t="n">
        <v>43662</v>
      </c>
      <c r="C344" s="1" t="n">
        <v>45347</v>
      </c>
      <c r="D344" t="inlineStr">
        <is>
          <t>JÖNKÖPINGS LÄN</t>
        </is>
      </c>
      <c r="E344" t="inlineStr">
        <is>
          <t>VETLANDA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35477-2019</t>
        </is>
      </c>
      <c r="B345" s="1" t="n">
        <v>43663</v>
      </c>
      <c r="C345" s="1" t="n">
        <v>45347</v>
      </c>
      <c r="D345" t="inlineStr">
        <is>
          <t>JÖNKÖPINGS LÄN</t>
        </is>
      </c>
      <c r="E345" t="inlineStr">
        <is>
          <t>VETLANDA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35528-2019</t>
        </is>
      </c>
      <c r="B346" s="1" t="n">
        <v>43664</v>
      </c>
      <c r="C346" s="1" t="n">
        <v>45347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35914-2019</t>
        </is>
      </c>
      <c r="B347" s="1" t="n">
        <v>43665</v>
      </c>
      <c r="C347" s="1" t="n">
        <v>45347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35760-2019</t>
        </is>
      </c>
      <c r="B348" s="1" t="n">
        <v>43665</v>
      </c>
      <c r="C348" s="1" t="n">
        <v>45347</v>
      </c>
      <c r="D348" t="inlineStr">
        <is>
          <t>JÖNKÖPINGS LÄN</t>
        </is>
      </c>
      <c r="E348" t="inlineStr">
        <is>
          <t>VETLANDA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35904-2019</t>
        </is>
      </c>
      <c r="B349" s="1" t="n">
        <v>43665</v>
      </c>
      <c r="C349" s="1" t="n">
        <v>45347</v>
      </c>
      <c r="D349" t="inlineStr">
        <is>
          <t>JÖNKÖPINGS LÄN</t>
        </is>
      </c>
      <c r="E349" t="inlineStr">
        <is>
          <t>VETLANDA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35925-2019</t>
        </is>
      </c>
      <c r="B350" s="1" t="n">
        <v>43665</v>
      </c>
      <c r="C350" s="1" t="n">
        <v>45347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35815-2019</t>
        </is>
      </c>
      <c r="B351" s="1" t="n">
        <v>43665</v>
      </c>
      <c r="C351" s="1" t="n">
        <v>45347</v>
      </c>
      <c r="D351" t="inlineStr">
        <is>
          <t>JÖNKÖPINGS LÄN</t>
        </is>
      </c>
      <c r="E351" t="inlineStr">
        <is>
          <t>VETLANDA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35876-2019</t>
        </is>
      </c>
      <c r="B352" s="1" t="n">
        <v>43665</v>
      </c>
      <c r="C352" s="1" t="n">
        <v>45347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35902-2019</t>
        </is>
      </c>
      <c r="B353" s="1" t="n">
        <v>43665</v>
      </c>
      <c r="C353" s="1" t="n">
        <v>45347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37557-2019</t>
        </is>
      </c>
      <c r="B354" s="1" t="n">
        <v>43679</v>
      </c>
      <c r="C354" s="1" t="n">
        <v>45347</v>
      </c>
      <c r="D354" t="inlineStr">
        <is>
          <t>JÖNKÖPINGS LÄN</t>
        </is>
      </c>
      <c r="E354" t="inlineStr">
        <is>
          <t>VETLANDA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37569-2019</t>
        </is>
      </c>
      <c r="B355" s="1" t="n">
        <v>43679</v>
      </c>
      <c r="C355" s="1" t="n">
        <v>45347</v>
      </c>
      <c r="D355" t="inlineStr">
        <is>
          <t>JÖNKÖPINGS LÄN</t>
        </is>
      </c>
      <c r="E355" t="inlineStr">
        <is>
          <t>VETLANDA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37738-2019</t>
        </is>
      </c>
      <c r="B356" s="1" t="n">
        <v>43682</v>
      </c>
      <c r="C356" s="1" t="n">
        <v>45347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38454-2019</t>
        </is>
      </c>
      <c r="B357" s="1" t="n">
        <v>43683</v>
      </c>
      <c r="C357" s="1" t="n">
        <v>45347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38481-2019</t>
        </is>
      </c>
      <c r="B358" s="1" t="n">
        <v>43685</v>
      </c>
      <c r="C358" s="1" t="n">
        <v>45347</v>
      </c>
      <c r="D358" t="inlineStr">
        <is>
          <t>JÖNKÖPINGS LÄN</t>
        </is>
      </c>
      <c r="E358" t="inlineStr">
        <is>
          <t>VETLANDA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38657-2019</t>
        </is>
      </c>
      <c r="B359" s="1" t="n">
        <v>43686</v>
      </c>
      <c r="C359" s="1" t="n">
        <v>45347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39318-2019</t>
        </is>
      </c>
      <c r="B360" s="1" t="n">
        <v>43686</v>
      </c>
      <c r="C360" s="1" t="n">
        <v>45347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38856-2019</t>
        </is>
      </c>
      <c r="B361" s="1" t="n">
        <v>43689</v>
      </c>
      <c r="C361" s="1" t="n">
        <v>45347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38855-2019</t>
        </is>
      </c>
      <c r="B362" s="1" t="n">
        <v>43689</v>
      </c>
      <c r="C362" s="1" t="n">
        <v>45347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41146-2019</t>
        </is>
      </c>
      <c r="B363" s="1" t="n">
        <v>43691</v>
      </c>
      <c r="C363" s="1" t="n">
        <v>45347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39880-2019</t>
        </is>
      </c>
      <c r="B364" s="1" t="n">
        <v>43692</v>
      </c>
      <c r="C364" s="1" t="n">
        <v>45347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39932-2019</t>
        </is>
      </c>
      <c r="B365" s="1" t="n">
        <v>43692</v>
      </c>
      <c r="C365" s="1" t="n">
        <v>45347</v>
      </c>
      <c r="D365" t="inlineStr">
        <is>
          <t>JÖNKÖPINGS LÄN</t>
        </is>
      </c>
      <c r="E365" t="inlineStr">
        <is>
          <t>VETLANDA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40603-2019</t>
        </is>
      </c>
      <c r="B366" s="1" t="n">
        <v>43696</v>
      </c>
      <c r="C366" s="1" t="n">
        <v>45347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41205-2019</t>
        </is>
      </c>
      <c r="B367" s="1" t="n">
        <v>43696</v>
      </c>
      <c r="C367" s="1" t="n">
        <v>45347</v>
      </c>
      <c r="D367" t="inlineStr">
        <is>
          <t>JÖNKÖPINGS LÄN</t>
        </is>
      </c>
      <c r="E367" t="inlineStr">
        <is>
          <t>VETLANDA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40975-2019</t>
        </is>
      </c>
      <c r="B368" s="1" t="n">
        <v>43697</v>
      </c>
      <c r="C368" s="1" t="n">
        <v>45347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40976-2019</t>
        </is>
      </c>
      <c r="B369" s="1" t="n">
        <v>43697</v>
      </c>
      <c r="C369" s="1" t="n">
        <v>45347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40944-2019</t>
        </is>
      </c>
      <c r="B370" s="1" t="n">
        <v>43697</v>
      </c>
      <c r="C370" s="1" t="n">
        <v>45347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40997-2019</t>
        </is>
      </c>
      <c r="B371" s="1" t="n">
        <v>43697</v>
      </c>
      <c r="C371" s="1" t="n">
        <v>45347</v>
      </c>
      <c r="D371" t="inlineStr">
        <is>
          <t>JÖNKÖPINGS LÄN</t>
        </is>
      </c>
      <c r="E371" t="inlineStr">
        <is>
          <t>VETLANDA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41868-2019</t>
        </is>
      </c>
      <c r="B372" s="1" t="n">
        <v>43697</v>
      </c>
      <c r="C372" s="1" t="n">
        <v>45347</v>
      </c>
      <c r="D372" t="inlineStr">
        <is>
          <t>JÖNKÖPINGS LÄN</t>
        </is>
      </c>
      <c r="E372" t="inlineStr">
        <is>
          <t>VETLANDA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41224-2019</t>
        </is>
      </c>
      <c r="B373" s="1" t="n">
        <v>43698</v>
      </c>
      <c r="C373" s="1" t="n">
        <v>45347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41504-2019</t>
        </is>
      </c>
      <c r="B374" s="1" t="n">
        <v>43699</v>
      </c>
      <c r="C374" s="1" t="n">
        <v>45347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41528-2019</t>
        </is>
      </c>
      <c r="B375" s="1" t="n">
        <v>43699</v>
      </c>
      <c r="C375" s="1" t="n">
        <v>45347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42711-2019</t>
        </is>
      </c>
      <c r="B376" s="1" t="n">
        <v>43700</v>
      </c>
      <c r="C376" s="1" t="n">
        <v>45347</v>
      </c>
      <c r="D376" t="inlineStr">
        <is>
          <t>JÖNKÖPINGS LÄN</t>
        </is>
      </c>
      <c r="E376" t="inlineStr">
        <is>
          <t>VETLANDA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42564-2019</t>
        </is>
      </c>
      <c r="B377" s="1" t="n">
        <v>43704</v>
      </c>
      <c r="C377" s="1" t="n">
        <v>45347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42740-2019</t>
        </is>
      </c>
      <c r="B378" s="1" t="n">
        <v>43704</v>
      </c>
      <c r="C378" s="1" t="n">
        <v>45347</v>
      </c>
      <c r="D378" t="inlineStr">
        <is>
          <t>JÖNKÖPINGS LÄN</t>
        </is>
      </c>
      <c r="E378" t="inlineStr">
        <is>
          <t>VETLANDA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42735-2019</t>
        </is>
      </c>
      <c r="B379" s="1" t="n">
        <v>43704</v>
      </c>
      <c r="C379" s="1" t="n">
        <v>45347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43006-2019</t>
        </is>
      </c>
      <c r="B380" s="1" t="n">
        <v>43705</v>
      </c>
      <c r="C380" s="1" t="n">
        <v>45347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43017-2019</t>
        </is>
      </c>
      <c r="B381" s="1" t="n">
        <v>43705</v>
      </c>
      <c r="C381" s="1" t="n">
        <v>45347</v>
      </c>
      <c r="D381" t="inlineStr">
        <is>
          <t>JÖNKÖPINGS LÄN</t>
        </is>
      </c>
      <c r="E381" t="inlineStr">
        <is>
          <t>VETLANDA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42917-2019</t>
        </is>
      </c>
      <c r="B382" s="1" t="n">
        <v>43705</v>
      </c>
      <c r="C382" s="1" t="n">
        <v>45347</v>
      </c>
      <c r="D382" t="inlineStr">
        <is>
          <t>JÖNKÖPINGS LÄN</t>
        </is>
      </c>
      <c r="E382" t="inlineStr">
        <is>
          <t>VETLANDA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42994-2019</t>
        </is>
      </c>
      <c r="B383" s="1" t="n">
        <v>43705</v>
      </c>
      <c r="C383" s="1" t="n">
        <v>45347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43013-2019</t>
        </is>
      </c>
      <c r="B384" s="1" t="n">
        <v>43705</v>
      </c>
      <c r="C384" s="1" t="n">
        <v>45347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43755-2019</t>
        </is>
      </c>
      <c r="B385" s="1" t="n">
        <v>43707</v>
      </c>
      <c r="C385" s="1" t="n">
        <v>45347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44285-2019</t>
        </is>
      </c>
      <c r="B386" s="1" t="n">
        <v>43710</v>
      </c>
      <c r="C386" s="1" t="n">
        <v>45347</v>
      </c>
      <c r="D386" t="inlineStr">
        <is>
          <t>JÖNKÖPINGS LÄN</t>
        </is>
      </c>
      <c r="E386" t="inlineStr">
        <is>
          <t>VETLANDA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44279-2019</t>
        </is>
      </c>
      <c r="B387" s="1" t="n">
        <v>43710</v>
      </c>
      <c r="C387" s="1" t="n">
        <v>45347</v>
      </c>
      <c r="D387" t="inlineStr">
        <is>
          <t>JÖNKÖPINGS LÄN</t>
        </is>
      </c>
      <c r="E387" t="inlineStr">
        <is>
          <t>VETLANDA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44563-2019</t>
        </is>
      </c>
      <c r="B388" s="1" t="n">
        <v>43711</v>
      </c>
      <c r="C388" s="1" t="n">
        <v>45347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45195-2019</t>
        </is>
      </c>
      <c r="B389" s="1" t="n">
        <v>43713</v>
      </c>
      <c r="C389" s="1" t="n">
        <v>45347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45121-2019</t>
        </is>
      </c>
      <c r="B390" s="1" t="n">
        <v>43713</v>
      </c>
      <c r="C390" s="1" t="n">
        <v>45347</v>
      </c>
      <c r="D390" t="inlineStr">
        <is>
          <t>JÖNKÖPINGS LÄN</t>
        </is>
      </c>
      <c r="E390" t="inlineStr">
        <is>
          <t>VETLANDA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45347-2019</t>
        </is>
      </c>
      <c r="B391" s="1" t="n">
        <v>43714</v>
      </c>
      <c r="C391" s="1" t="n">
        <v>45347</v>
      </c>
      <c r="D391" t="inlineStr">
        <is>
          <t>JÖNKÖPINGS LÄN</t>
        </is>
      </c>
      <c r="E391" t="inlineStr">
        <is>
          <t>VETLANDA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45473-2019</t>
        </is>
      </c>
      <c r="B392" s="1" t="n">
        <v>43714</v>
      </c>
      <c r="C392" s="1" t="n">
        <v>45347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45487-2019</t>
        </is>
      </c>
      <c r="B393" s="1" t="n">
        <v>43714</v>
      </c>
      <c r="C393" s="1" t="n">
        <v>45347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45453-2019</t>
        </is>
      </c>
      <c r="B394" s="1" t="n">
        <v>43714</v>
      </c>
      <c r="C394" s="1" t="n">
        <v>45347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45415-2019</t>
        </is>
      </c>
      <c r="B395" s="1" t="n">
        <v>43714</v>
      </c>
      <c r="C395" s="1" t="n">
        <v>45347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46059-2019</t>
        </is>
      </c>
      <c r="B396" s="1" t="n">
        <v>43718</v>
      </c>
      <c r="C396" s="1" t="n">
        <v>45347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46433-2019</t>
        </is>
      </c>
      <c r="B397" s="1" t="n">
        <v>43718</v>
      </c>
      <c r="C397" s="1" t="n">
        <v>45347</v>
      </c>
      <c r="D397" t="inlineStr">
        <is>
          <t>JÖNKÖPINGS LÄN</t>
        </is>
      </c>
      <c r="E397" t="inlineStr">
        <is>
          <t>VETLANDA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46148-2019</t>
        </is>
      </c>
      <c r="B398" s="1" t="n">
        <v>43718</v>
      </c>
      <c r="C398" s="1" t="n">
        <v>45347</v>
      </c>
      <c r="D398" t="inlineStr">
        <is>
          <t>JÖNKÖPINGS LÄN</t>
        </is>
      </c>
      <c r="E398" t="inlineStr">
        <is>
          <t>VETLANDA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46176-2019</t>
        </is>
      </c>
      <c r="B399" s="1" t="n">
        <v>43718</v>
      </c>
      <c r="C399" s="1" t="n">
        <v>45347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46417-2019</t>
        </is>
      </c>
      <c r="B400" s="1" t="n">
        <v>43719</v>
      </c>
      <c r="C400" s="1" t="n">
        <v>45347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46642-2019</t>
        </is>
      </c>
      <c r="B401" s="1" t="n">
        <v>43719</v>
      </c>
      <c r="C401" s="1" t="n">
        <v>45347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46973-2019</t>
        </is>
      </c>
      <c r="B402" s="1" t="n">
        <v>43720</v>
      </c>
      <c r="C402" s="1" t="n">
        <v>45347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47019-2019</t>
        </is>
      </c>
      <c r="B403" s="1" t="n">
        <v>43720</v>
      </c>
      <c r="C403" s="1" t="n">
        <v>45347</v>
      </c>
      <c r="D403" t="inlineStr">
        <is>
          <t>JÖNKÖPINGS LÄN</t>
        </is>
      </c>
      <c r="E403" t="inlineStr">
        <is>
          <t>VETLANDA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47199-2019</t>
        </is>
      </c>
      <c r="B404" s="1" t="n">
        <v>43721</v>
      </c>
      <c r="C404" s="1" t="n">
        <v>45347</v>
      </c>
      <c r="D404" t="inlineStr">
        <is>
          <t>JÖNKÖPINGS LÄN</t>
        </is>
      </c>
      <c r="E404" t="inlineStr">
        <is>
          <t>VETLANDA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47333-2019</t>
        </is>
      </c>
      <c r="B405" s="1" t="n">
        <v>43721</v>
      </c>
      <c r="C405" s="1" t="n">
        <v>45347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47614-2019</t>
        </is>
      </c>
      <c r="B406" s="1" t="n">
        <v>43724</v>
      </c>
      <c r="C406" s="1" t="n">
        <v>45347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47762-2019</t>
        </is>
      </c>
      <c r="B407" s="1" t="n">
        <v>43724</v>
      </c>
      <c r="C407" s="1" t="n">
        <v>45347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47794-2019</t>
        </is>
      </c>
      <c r="B408" s="1" t="n">
        <v>43724</v>
      </c>
      <c r="C408" s="1" t="n">
        <v>45347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47736-2019</t>
        </is>
      </c>
      <c r="B409" s="1" t="n">
        <v>43724</v>
      </c>
      <c r="C409" s="1" t="n">
        <v>45347</v>
      </c>
      <c r="D409" t="inlineStr">
        <is>
          <t>JÖNKÖPINGS LÄN</t>
        </is>
      </c>
      <c r="E409" t="inlineStr">
        <is>
          <t>VETLANDA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48168-2019</t>
        </is>
      </c>
      <c r="B410" s="1" t="n">
        <v>43726</v>
      </c>
      <c r="C410" s="1" t="n">
        <v>45347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48209-2019</t>
        </is>
      </c>
      <c r="B411" s="1" t="n">
        <v>43726</v>
      </c>
      <c r="C411" s="1" t="n">
        <v>45347</v>
      </c>
      <c r="D411" t="inlineStr">
        <is>
          <t>JÖNKÖPINGS LÄN</t>
        </is>
      </c>
      <c r="E411" t="inlineStr">
        <is>
          <t>VETLANDA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49478-2019</t>
        </is>
      </c>
      <c r="B412" s="1" t="n">
        <v>43728</v>
      </c>
      <c r="C412" s="1" t="n">
        <v>45347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48987-2019</t>
        </is>
      </c>
      <c r="B413" s="1" t="n">
        <v>43729</v>
      </c>
      <c r="C413" s="1" t="n">
        <v>45347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49061-2019</t>
        </is>
      </c>
      <c r="B414" s="1" t="n">
        <v>43731</v>
      </c>
      <c r="C414" s="1" t="n">
        <v>45347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49257-2019</t>
        </is>
      </c>
      <c r="B415" s="1" t="n">
        <v>43731</v>
      </c>
      <c r="C415" s="1" t="n">
        <v>45347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49466-2019</t>
        </is>
      </c>
      <c r="B416" s="1" t="n">
        <v>43732</v>
      </c>
      <c r="C416" s="1" t="n">
        <v>45347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49599-2019</t>
        </is>
      </c>
      <c r="B417" s="1" t="n">
        <v>43732</v>
      </c>
      <c r="C417" s="1" t="n">
        <v>45347</v>
      </c>
      <c r="D417" t="inlineStr">
        <is>
          <t>JÖNKÖPINGS LÄN</t>
        </is>
      </c>
      <c r="E417" t="inlineStr">
        <is>
          <t>VETLANDA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50242-2019</t>
        </is>
      </c>
      <c r="B418" s="1" t="n">
        <v>43734</v>
      </c>
      <c r="C418" s="1" t="n">
        <v>45347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50383-2019</t>
        </is>
      </c>
      <c r="B419" s="1" t="n">
        <v>43735</v>
      </c>
      <c r="C419" s="1" t="n">
        <v>45347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50935-2019</t>
        </is>
      </c>
      <c r="B420" s="1" t="n">
        <v>43738</v>
      </c>
      <c r="C420" s="1" t="n">
        <v>45347</v>
      </c>
      <c r="D420" t="inlineStr">
        <is>
          <t>JÖNKÖPINGS LÄN</t>
        </is>
      </c>
      <c r="E420" t="inlineStr">
        <is>
          <t>VETLANDA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52203-2019</t>
        </is>
      </c>
      <c r="B421" s="1" t="n">
        <v>43742</v>
      </c>
      <c r="C421" s="1" t="n">
        <v>45347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52202-2019</t>
        </is>
      </c>
      <c r="B422" s="1" t="n">
        <v>43742</v>
      </c>
      <c r="C422" s="1" t="n">
        <v>45347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54908-2019</t>
        </is>
      </c>
      <c r="B423" s="1" t="n">
        <v>43749</v>
      </c>
      <c r="C423" s="1" t="n">
        <v>45347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54897-2019</t>
        </is>
      </c>
      <c r="B424" s="1" t="n">
        <v>43749</v>
      </c>
      <c r="C424" s="1" t="n">
        <v>45347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56017-2019</t>
        </is>
      </c>
      <c r="B425" s="1" t="n">
        <v>43761</v>
      </c>
      <c r="C425" s="1" t="n">
        <v>45347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56026-2019</t>
        </is>
      </c>
      <c r="B426" s="1" t="n">
        <v>43761</v>
      </c>
      <c r="C426" s="1" t="n">
        <v>45347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56568-2019</t>
        </is>
      </c>
      <c r="B427" s="1" t="n">
        <v>43763</v>
      </c>
      <c r="C427" s="1" t="n">
        <v>45347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57111-2019</t>
        </is>
      </c>
      <c r="B428" s="1" t="n">
        <v>43766</v>
      </c>
      <c r="C428" s="1" t="n">
        <v>45347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57822-2019</t>
        </is>
      </c>
      <c r="B429" s="1" t="n">
        <v>43768</v>
      </c>
      <c r="C429" s="1" t="n">
        <v>45347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58845-2019</t>
        </is>
      </c>
      <c r="B430" s="1" t="n">
        <v>43774</v>
      </c>
      <c r="C430" s="1" t="n">
        <v>45347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59944-2019</t>
        </is>
      </c>
      <c r="B431" s="1" t="n">
        <v>43777</v>
      </c>
      <c r="C431" s="1" t="n">
        <v>45347</v>
      </c>
      <c r="D431" t="inlineStr">
        <is>
          <t>JÖNKÖPINGS LÄN</t>
        </is>
      </c>
      <c r="E431" t="inlineStr">
        <is>
          <t>VETLANDA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59960-2019</t>
        </is>
      </c>
      <c r="B432" s="1" t="n">
        <v>43777</v>
      </c>
      <c r="C432" s="1" t="n">
        <v>45347</v>
      </c>
      <c r="D432" t="inlineStr">
        <is>
          <t>JÖNKÖPINGS LÄN</t>
        </is>
      </c>
      <c r="E432" t="inlineStr">
        <is>
          <t>VETLANDA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59949-2019</t>
        </is>
      </c>
      <c r="B433" s="1" t="n">
        <v>43777</v>
      </c>
      <c r="C433" s="1" t="n">
        <v>45347</v>
      </c>
      <c r="D433" t="inlineStr">
        <is>
          <t>JÖNKÖPINGS LÄN</t>
        </is>
      </c>
      <c r="E433" t="inlineStr">
        <is>
          <t>VETLANDA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61973-2019</t>
        </is>
      </c>
      <c r="B434" s="1" t="n">
        <v>43781</v>
      </c>
      <c r="C434" s="1" t="n">
        <v>45347</v>
      </c>
      <c r="D434" t="inlineStr">
        <is>
          <t>JÖNKÖPINGS LÄN</t>
        </is>
      </c>
      <c r="E434" t="inlineStr">
        <is>
          <t>VETLANDA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61409-2019</t>
        </is>
      </c>
      <c r="B435" s="1" t="n">
        <v>43783</v>
      </c>
      <c r="C435" s="1" t="n">
        <v>45347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61634-2019</t>
        </is>
      </c>
      <c r="B436" s="1" t="n">
        <v>43784</v>
      </c>
      <c r="C436" s="1" t="n">
        <v>45347</v>
      </c>
      <c r="D436" t="inlineStr">
        <is>
          <t>JÖNKÖPINGS LÄN</t>
        </is>
      </c>
      <c r="E436" t="inlineStr">
        <is>
          <t>VETLANDA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61633-2019</t>
        </is>
      </c>
      <c r="B437" s="1" t="n">
        <v>43784</v>
      </c>
      <c r="C437" s="1" t="n">
        <v>45347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62274-2019</t>
        </is>
      </c>
      <c r="B438" s="1" t="n">
        <v>43788</v>
      </c>
      <c r="C438" s="1" t="n">
        <v>45347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62628-2019</t>
        </is>
      </c>
      <c r="B439" s="1" t="n">
        <v>43789</v>
      </c>
      <c r="C439" s="1" t="n">
        <v>45347</v>
      </c>
      <c r="D439" t="inlineStr">
        <is>
          <t>JÖNKÖPINGS LÄN</t>
        </is>
      </c>
      <c r="E439" t="inlineStr">
        <is>
          <t>VETLANDA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63958-2019</t>
        </is>
      </c>
      <c r="B440" s="1" t="n">
        <v>43790</v>
      </c>
      <c r="C440" s="1" t="n">
        <v>45347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63417-2019</t>
        </is>
      </c>
      <c r="B441" s="1" t="n">
        <v>43794</v>
      </c>
      <c r="C441" s="1" t="n">
        <v>45347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63749-2019</t>
        </is>
      </c>
      <c r="B442" s="1" t="n">
        <v>43795</v>
      </c>
      <c r="C442" s="1" t="n">
        <v>45347</v>
      </c>
      <c r="D442" t="inlineStr">
        <is>
          <t>JÖNKÖPINGS LÄN</t>
        </is>
      </c>
      <c r="E442" t="inlineStr">
        <is>
          <t>VETLANDA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63574-2019</t>
        </is>
      </c>
      <c r="B443" s="1" t="n">
        <v>43795</v>
      </c>
      <c r="C443" s="1" t="n">
        <v>45347</v>
      </c>
      <c r="D443" t="inlineStr">
        <is>
          <t>JÖNKÖPINGS LÄN</t>
        </is>
      </c>
      <c r="E443" t="inlineStr">
        <is>
          <t>VETLANDA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63644-2019</t>
        </is>
      </c>
      <c r="B444" s="1" t="n">
        <v>43795</v>
      </c>
      <c r="C444" s="1" t="n">
        <v>45347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63651-2019</t>
        </is>
      </c>
      <c r="B445" s="1" t="n">
        <v>43795</v>
      </c>
      <c r="C445" s="1" t="n">
        <v>45347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64043-2019</t>
        </is>
      </c>
      <c r="B446" s="1" t="n">
        <v>43796</v>
      </c>
      <c r="C446" s="1" t="n">
        <v>45347</v>
      </c>
      <c r="D446" t="inlineStr">
        <is>
          <t>JÖNKÖPINGS LÄN</t>
        </is>
      </c>
      <c r="E446" t="inlineStr">
        <is>
          <t>VETLANDA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64818-2019</t>
        </is>
      </c>
      <c r="B447" s="1" t="n">
        <v>43801</v>
      </c>
      <c r="C447" s="1" t="n">
        <v>45347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64806-2019</t>
        </is>
      </c>
      <c r="B448" s="1" t="n">
        <v>43801</v>
      </c>
      <c r="C448" s="1" t="n">
        <v>45347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64950-2019</t>
        </is>
      </c>
      <c r="B449" s="1" t="n">
        <v>43801</v>
      </c>
      <c r="C449" s="1" t="n">
        <v>45347</v>
      </c>
      <c r="D449" t="inlineStr">
        <is>
          <t>JÖNKÖPINGS LÄN</t>
        </is>
      </c>
      <c r="E449" t="inlineStr">
        <is>
          <t>VETLANDA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65382-2019</t>
        </is>
      </c>
      <c r="B450" s="1" t="n">
        <v>43803</v>
      </c>
      <c r="C450" s="1" t="n">
        <v>45347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66600-2019</t>
        </is>
      </c>
      <c r="B451" s="1" t="n">
        <v>43803</v>
      </c>
      <c r="C451" s="1" t="n">
        <v>45347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66601-2019</t>
        </is>
      </c>
      <c r="B452" s="1" t="n">
        <v>43804</v>
      </c>
      <c r="C452" s="1" t="n">
        <v>45347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67657-2019</t>
        </is>
      </c>
      <c r="B453" s="1" t="n">
        <v>43809</v>
      </c>
      <c r="C453" s="1" t="n">
        <v>45347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67265-2019</t>
        </is>
      </c>
      <c r="B454" s="1" t="n">
        <v>43812</v>
      </c>
      <c r="C454" s="1" t="n">
        <v>45347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67476-2019</t>
        </is>
      </c>
      <c r="B455" s="1" t="n">
        <v>43814</v>
      </c>
      <c r="C455" s="1" t="n">
        <v>45347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67472-2019</t>
        </is>
      </c>
      <c r="B456" s="1" t="n">
        <v>43814</v>
      </c>
      <c r="C456" s="1" t="n">
        <v>45347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68654-2019</t>
        </is>
      </c>
      <c r="B457" s="1" t="n">
        <v>43814</v>
      </c>
      <c r="C457" s="1" t="n">
        <v>45347</v>
      </c>
      <c r="D457" t="inlineStr">
        <is>
          <t>JÖNKÖPINGS LÄN</t>
        </is>
      </c>
      <c r="E457" t="inlineStr">
        <is>
          <t>VETLANDA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67751-2019</t>
        </is>
      </c>
      <c r="B458" s="1" t="n">
        <v>43815</v>
      </c>
      <c r="C458" s="1" t="n">
        <v>45347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294-2020</t>
        </is>
      </c>
      <c r="B459" s="1" t="n">
        <v>43817</v>
      </c>
      <c r="C459" s="1" t="n">
        <v>45347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886-2020</t>
        </is>
      </c>
      <c r="B460" s="1" t="n">
        <v>43817</v>
      </c>
      <c r="C460" s="1" t="n">
        <v>45347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891-2020</t>
        </is>
      </c>
      <c r="B461" s="1" t="n">
        <v>43817</v>
      </c>
      <c r="C461" s="1" t="n">
        <v>45347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68090-2019</t>
        </is>
      </c>
      <c r="B462" s="1" t="n">
        <v>43817</v>
      </c>
      <c r="C462" s="1" t="n">
        <v>45347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68324-2019</t>
        </is>
      </c>
      <c r="B463" s="1" t="n">
        <v>43818</v>
      </c>
      <c r="C463" s="1" t="n">
        <v>45347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68507-2019</t>
        </is>
      </c>
      <c r="B464" s="1" t="n">
        <v>43818</v>
      </c>
      <c r="C464" s="1" t="n">
        <v>45347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68516-2019</t>
        </is>
      </c>
      <c r="B465" s="1" t="n">
        <v>43818</v>
      </c>
      <c r="C465" s="1" t="n">
        <v>45347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68503-2019</t>
        </is>
      </c>
      <c r="B466" s="1" t="n">
        <v>43818</v>
      </c>
      <c r="C466" s="1" t="n">
        <v>45347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68681-2019</t>
        </is>
      </c>
      <c r="B467" s="1" t="n">
        <v>43819</v>
      </c>
      <c r="C467" s="1" t="n">
        <v>45347</v>
      </c>
      <c r="D467" t="inlineStr">
        <is>
          <t>JÖNKÖPINGS LÄN</t>
        </is>
      </c>
      <c r="E467" t="inlineStr">
        <is>
          <t>VETLANDA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68748-2019</t>
        </is>
      </c>
      <c r="B468" s="1" t="n">
        <v>43819</v>
      </c>
      <c r="C468" s="1" t="n">
        <v>45347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68765-2019</t>
        </is>
      </c>
      <c r="B469" s="1" t="n">
        <v>43819</v>
      </c>
      <c r="C469" s="1" t="n">
        <v>45347</v>
      </c>
      <c r="D469" t="inlineStr">
        <is>
          <t>JÖNKÖPINGS LÄN</t>
        </is>
      </c>
      <c r="E469" t="inlineStr">
        <is>
          <t>VETLANDA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68725-2019</t>
        </is>
      </c>
      <c r="B470" s="1" t="n">
        <v>43819</v>
      </c>
      <c r="C470" s="1" t="n">
        <v>45347</v>
      </c>
      <c r="D470" t="inlineStr">
        <is>
          <t>JÖNKÖPINGS LÄN</t>
        </is>
      </c>
      <c r="E470" t="inlineStr">
        <is>
          <t>VETLANDA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68733-2019</t>
        </is>
      </c>
      <c r="B471" s="1" t="n">
        <v>43819</v>
      </c>
      <c r="C471" s="1" t="n">
        <v>45347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299-2020</t>
        </is>
      </c>
      <c r="B472" s="1" t="n">
        <v>43837</v>
      </c>
      <c r="C472" s="1" t="n">
        <v>45347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640-2020</t>
        </is>
      </c>
      <c r="B473" s="1" t="n">
        <v>43838</v>
      </c>
      <c r="C473" s="1" t="n">
        <v>45347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1279-2020</t>
        </is>
      </c>
      <c r="B474" s="1" t="n">
        <v>43841</v>
      </c>
      <c r="C474" s="1" t="n">
        <v>45347</v>
      </c>
      <c r="D474" t="inlineStr">
        <is>
          <t>JÖNKÖPINGS LÄN</t>
        </is>
      </c>
      <c r="E474" t="inlineStr">
        <is>
          <t>VETLANDA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1278-2020</t>
        </is>
      </c>
      <c r="B475" s="1" t="n">
        <v>43841</v>
      </c>
      <c r="C475" s="1" t="n">
        <v>45347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1325-2020</t>
        </is>
      </c>
      <c r="B476" s="1" t="n">
        <v>43843</v>
      </c>
      <c r="C476" s="1" t="n">
        <v>45347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1889-2020</t>
        </is>
      </c>
      <c r="B477" s="1" t="n">
        <v>43845</v>
      </c>
      <c r="C477" s="1" t="n">
        <v>45347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2839-2020</t>
        </is>
      </c>
      <c r="B478" s="1" t="n">
        <v>43850</v>
      </c>
      <c r="C478" s="1" t="n">
        <v>45347</v>
      </c>
      <c r="D478" t="inlineStr">
        <is>
          <t>JÖNKÖPINGS LÄN</t>
        </is>
      </c>
      <c r="E478" t="inlineStr">
        <is>
          <t>VETLANDA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2900-2020</t>
        </is>
      </c>
      <c r="B479" s="1" t="n">
        <v>43850</v>
      </c>
      <c r="C479" s="1" t="n">
        <v>45347</v>
      </c>
      <c r="D479" t="inlineStr">
        <is>
          <t>JÖNKÖPINGS LÄN</t>
        </is>
      </c>
      <c r="E479" t="inlineStr">
        <is>
          <t>VETLANDA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2702-2020</t>
        </is>
      </c>
      <c r="B480" s="1" t="n">
        <v>43850</v>
      </c>
      <c r="C480" s="1" t="n">
        <v>45347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3024-2020</t>
        </is>
      </c>
      <c r="B481" s="1" t="n">
        <v>43850</v>
      </c>
      <c r="C481" s="1" t="n">
        <v>45347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3018-2020</t>
        </is>
      </c>
      <c r="B482" s="1" t="n">
        <v>43851</v>
      </c>
      <c r="C482" s="1" t="n">
        <v>45347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4559-2020</t>
        </is>
      </c>
      <c r="B483" s="1" t="n">
        <v>43851</v>
      </c>
      <c r="C483" s="1" t="n">
        <v>45347</v>
      </c>
      <c r="D483" t="inlineStr">
        <is>
          <t>JÖNKÖPINGS LÄN</t>
        </is>
      </c>
      <c r="E483" t="inlineStr">
        <is>
          <t>VETLANDA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4264-2020</t>
        </is>
      </c>
      <c r="B484" s="1" t="n">
        <v>43857</v>
      </c>
      <c r="C484" s="1" t="n">
        <v>45347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4823-2020</t>
        </is>
      </c>
      <c r="B485" s="1" t="n">
        <v>43859</v>
      </c>
      <c r="C485" s="1" t="n">
        <v>45347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6255-2020</t>
        </is>
      </c>
      <c r="B486" s="1" t="n">
        <v>43866</v>
      </c>
      <c r="C486" s="1" t="n">
        <v>45347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7428-2020</t>
        </is>
      </c>
      <c r="B487" s="1" t="n">
        <v>43871</v>
      </c>
      <c r="C487" s="1" t="n">
        <v>45347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7766-2020</t>
        </is>
      </c>
      <c r="B488" s="1" t="n">
        <v>43872</v>
      </c>
      <c r="C488" s="1" t="n">
        <v>45347</v>
      </c>
      <c r="D488" t="inlineStr">
        <is>
          <t>JÖNKÖPINGS LÄN</t>
        </is>
      </c>
      <c r="E488" t="inlineStr">
        <is>
          <t>VETLANDA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7829-2020</t>
        </is>
      </c>
      <c r="B489" s="1" t="n">
        <v>43873</v>
      </c>
      <c r="C489" s="1" t="n">
        <v>45347</v>
      </c>
      <c r="D489" t="inlineStr">
        <is>
          <t>JÖNKÖPINGS LÄN</t>
        </is>
      </c>
      <c r="E489" t="inlineStr">
        <is>
          <t>VETLANDA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8413-2020</t>
        </is>
      </c>
      <c r="B490" s="1" t="n">
        <v>43875</v>
      </c>
      <c r="C490" s="1" t="n">
        <v>45347</v>
      </c>
      <c r="D490" t="inlineStr">
        <is>
          <t>JÖNKÖPINGS LÄN</t>
        </is>
      </c>
      <c r="E490" t="inlineStr">
        <is>
          <t>VETLANDA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8556-2020</t>
        </is>
      </c>
      <c r="B491" s="1" t="n">
        <v>43877</v>
      </c>
      <c r="C491" s="1" t="n">
        <v>45347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10076-2020</t>
        </is>
      </c>
      <c r="B492" s="1" t="n">
        <v>43884</v>
      </c>
      <c r="C492" s="1" t="n">
        <v>45347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10940-2020</t>
        </is>
      </c>
      <c r="B493" s="1" t="n">
        <v>43885</v>
      </c>
      <c r="C493" s="1" t="n">
        <v>45347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10928-2020</t>
        </is>
      </c>
      <c r="B494" s="1" t="n">
        <v>43885</v>
      </c>
      <c r="C494" s="1" t="n">
        <v>45347</v>
      </c>
      <c r="D494" t="inlineStr">
        <is>
          <t>JÖNKÖPINGS LÄN</t>
        </is>
      </c>
      <c r="E494" t="inlineStr">
        <is>
          <t>VETLANDA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10857-2020</t>
        </is>
      </c>
      <c r="B495" s="1" t="n">
        <v>43885</v>
      </c>
      <c r="C495" s="1" t="n">
        <v>45347</v>
      </c>
      <c r="D495" t="inlineStr">
        <is>
          <t>JÖNKÖPINGS LÄN</t>
        </is>
      </c>
      <c r="E495" t="inlineStr">
        <is>
          <t>VETLANDA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10935-2020</t>
        </is>
      </c>
      <c r="B496" s="1" t="n">
        <v>43885</v>
      </c>
      <c r="C496" s="1" t="n">
        <v>45347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11069-2020</t>
        </is>
      </c>
      <c r="B497" s="1" t="n">
        <v>43885</v>
      </c>
      <c r="C497" s="1" t="n">
        <v>45347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10517-2020</t>
        </is>
      </c>
      <c r="B498" s="1" t="n">
        <v>43886</v>
      </c>
      <c r="C498" s="1" t="n">
        <v>45347</v>
      </c>
      <c r="D498" t="inlineStr">
        <is>
          <t>JÖNKÖPINGS LÄN</t>
        </is>
      </c>
      <c r="E498" t="inlineStr">
        <is>
          <t>VETLANDA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10613-2020</t>
        </is>
      </c>
      <c r="B499" s="1" t="n">
        <v>43887</v>
      </c>
      <c r="C499" s="1" t="n">
        <v>45347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11464-2020</t>
        </is>
      </c>
      <c r="B500" s="1" t="n">
        <v>43887</v>
      </c>
      <c r="C500" s="1" t="n">
        <v>45347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10726-2020</t>
        </is>
      </c>
      <c r="B501" s="1" t="n">
        <v>43888</v>
      </c>
      <c r="C501" s="1" t="n">
        <v>45347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11389-2020</t>
        </is>
      </c>
      <c r="B502" s="1" t="n">
        <v>43892</v>
      </c>
      <c r="C502" s="1" t="n">
        <v>45347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11830-2020</t>
        </is>
      </c>
      <c r="B503" s="1" t="n">
        <v>43894</v>
      </c>
      <c r="C503" s="1" t="n">
        <v>45347</v>
      </c>
      <c r="D503" t="inlineStr">
        <is>
          <t>JÖNKÖPINGS LÄN</t>
        </is>
      </c>
      <c r="E503" t="inlineStr">
        <is>
          <t>VETLANDA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11903-2020</t>
        </is>
      </c>
      <c r="B504" s="1" t="n">
        <v>43894</v>
      </c>
      <c r="C504" s="1" t="n">
        <v>45347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12201-2020</t>
        </is>
      </c>
      <c r="B505" s="1" t="n">
        <v>43895</v>
      </c>
      <c r="C505" s="1" t="n">
        <v>45347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12200-2020</t>
        </is>
      </c>
      <c r="B506" s="1" t="n">
        <v>43895</v>
      </c>
      <c r="C506" s="1" t="n">
        <v>45347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12839-2020</t>
        </is>
      </c>
      <c r="B507" s="1" t="n">
        <v>43899</v>
      </c>
      <c r="C507" s="1" t="n">
        <v>45347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12850-2020</t>
        </is>
      </c>
      <c r="B508" s="1" t="n">
        <v>43899</v>
      </c>
      <c r="C508" s="1" t="n">
        <v>45347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13953-2020</t>
        </is>
      </c>
      <c r="B509" s="1" t="n">
        <v>43899</v>
      </c>
      <c r="C509" s="1" t="n">
        <v>45347</v>
      </c>
      <c r="D509" t="inlineStr">
        <is>
          <t>JÖNKÖPINGS LÄN</t>
        </is>
      </c>
      <c r="E509" t="inlineStr">
        <is>
          <t>VETLANDA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12677-2020</t>
        </is>
      </c>
      <c r="B510" s="1" t="n">
        <v>43899</v>
      </c>
      <c r="C510" s="1" t="n">
        <v>45347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14111-2020</t>
        </is>
      </c>
      <c r="B511" s="1" t="n">
        <v>43900</v>
      </c>
      <c r="C511" s="1" t="n">
        <v>45347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12884-2020</t>
        </is>
      </c>
      <c r="B512" s="1" t="n">
        <v>43900</v>
      </c>
      <c r="C512" s="1" t="n">
        <v>45347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14249-2020</t>
        </is>
      </c>
      <c r="B513" s="1" t="n">
        <v>43907</v>
      </c>
      <c r="C513" s="1" t="n">
        <v>45347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14905-2020</t>
        </is>
      </c>
      <c r="B514" s="1" t="n">
        <v>43910</v>
      </c>
      <c r="C514" s="1" t="n">
        <v>45347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15156-2020</t>
        </is>
      </c>
      <c r="B515" s="1" t="n">
        <v>43912</v>
      </c>
      <c r="C515" s="1" t="n">
        <v>45347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16972-2020</t>
        </is>
      </c>
      <c r="B516" s="1" t="n">
        <v>43913</v>
      </c>
      <c r="C516" s="1" t="n">
        <v>45347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16919-2020</t>
        </is>
      </c>
      <c r="B517" s="1" t="n">
        <v>43913</v>
      </c>
      <c r="C517" s="1" t="n">
        <v>45347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16958-2020</t>
        </is>
      </c>
      <c r="B518" s="1" t="n">
        <v>43913</v>
      </c>
      <c r="C518" s="1" t="n">
        <v>45347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16973-2020</t>
        </is>
      </c>
      <c r="B519" s="1" t="n">
        <v>43913</v>
      </c>
      <c r="C519" s="1" t="n">
        <v>45347</v>
      </c>
      <c r="D519" t="inlineStr">
        <is>
          <t>JÖNKÖPINGS LÄN</t>
        </is>
      </c>
      <c r="E519" t="inlineStr">
        <is>
          <t>VETLANDA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16816-2020</t>
        </is>
      </c>
      <c r="B520" s="1" t="n">
        <v>43913</v>
      </c>
      <c r="C520" s="1" t="n">
        <v>45347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16965-2020</t>
        </is>
      </c>
      <c r="B521" s="1" t="n">
        <v>43913</v>
      </c>
      <c r="C521" s="1" t="n">
        <v>45347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16928-2020</t>
        </is>
      </c>
      <c r="B522" s="1" t="n">
        <v>43913</v>
      </c>
      <c r="C522" s="1" t="n">
        <v>45347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16434-2020</t>
        </is>
      </c>
      <c r="B523" s="1" t="n">
        <v>43919</v>
      </c>
      <c r="C523" s="1" t="n">
        <v>45347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16433-2020</t>
        </is>
      </c>
      <c r="B524" s="1" t="n">
        <v>43919</v>
      </c>
      <c r="C524" s="1" t="n">
        <v>45347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16449-2020</t>
        </is>
      </c>
      <c r="B525" s="1" t="n">
        <v>43920</v>
      </c>
      <c r="C525" s="1" t="n">
        <v>45347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17785-2020</t>
        </is>
      </c>
      <c r="B526" s="1" t="n">
        <v>43924</v>
      </c>
      <c r="C526" s="1" t="n">
        <v>45347</v>
      </c>
      <c r="D526" t="inlineStr">
        <is>
          <t>JÖNKÖPINGS LÄN</t>
        </is>
      </c>
      <c r="E526" t="inlineStr">
        <is>
          <t>VETLANDA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17790-2020</t>
        </is>
      </c>
      <c r="B527" s="1" t="n">
        <v>43924</v>
      </c>
      <c r="C527" s="1" t="n">
        <v>45347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18127-2020</t>
        </is>
      </c>
      <c r="B528" s="1" t="n">
        <v>43927</v>
      </c>
      <c r="C528" s="1" t="n">
        <v>45347</v>
      </c>
      <c r="D528" t="inlineStr">
        <is>
          <t>JÖNKÖPINGS LÄN</t>
        </is>
      </c>
      <c r="E528" t="inlineStr">
        <is>
          <t>VETLANDA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18703-2020</t>
        </is>
      </c>
      <c r="B529" s="1" t="n">
        <v>43930</v>
      </c>
      <c r="C529" s="1" t="n">
        <v>45347</v>
      </c>
      <c r="D529" t="inlineStr">
        <is>
          <t>JÖNKÖPINGS LÄN</t>
        </is>
      </c>
      <c r="E529" t="inlineStr">
        <is>
          <t>VETLANDA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18710-2020</t>
        </is>
      </c>
      <c r="B530" s="1" t="n">
        <v>43930</v>
      </c>
      <c r="C530" s="1" t="n">
        <v>45347</v>
      </c>
      <c r="D530" t="inlineStr">
        <is>
          <t>JÖNKÖPINGS LÄN</t>
        </is>
      </c>
      <c r="E530" t="inlineStr">
        <is>
          <t>VETLANDA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45347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45347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45347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45347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45347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45347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45347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45347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45347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45347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45347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45347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45347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45347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45347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45347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45347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45347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45347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45347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45347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45347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45347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45347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45347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45347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45347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45347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45347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45347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45347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45347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45347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45347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45347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45347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45347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45347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45347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45347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45347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45347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45347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45347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45347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45347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45347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45347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45347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45347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45347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45347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45347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45347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45347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45347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45347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45347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45347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45347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45347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45347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45347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45347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45347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45347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45347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45347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45347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45347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45347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45347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45347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45347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45347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45347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45347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45347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45347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45347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45347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45347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45347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45347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45347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45347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45347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45347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45347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45347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45347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45347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45347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45347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45347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45347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45347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45347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45347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45347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45347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45347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45347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45347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45347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45347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45347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45347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45347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45347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45347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45347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45347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45347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45347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45347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45347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45347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45347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45347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45347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45347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45347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45347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45347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45347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45347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45347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45347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45347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45347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45347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45347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45347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45347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45347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45347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45347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45347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45347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45347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45347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45347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45347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45347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45347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45347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45347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45347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45347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45347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45347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45347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45347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45347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45347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45347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45347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45347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45347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45347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45347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45347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45347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45347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45347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45347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45347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45347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45347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45347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45347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45347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45347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45347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45347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45347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45347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45347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45347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45347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45347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45347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45347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45347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45347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45347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45347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45347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45347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45347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45347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45347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45347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45347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45347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45347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45347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45347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45347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45347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45347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45347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45347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45347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45347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45347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45347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45347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45347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45347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45347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45347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45347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45347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45347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45347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45347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45347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45347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45347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45347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45347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45347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45347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45347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45347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45347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45347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45347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45347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45347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45347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45347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45347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45347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45347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45347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45347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45347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45347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45347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45347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45347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45347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45347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45347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45347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45347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45347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45347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45347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45347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45347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45347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45347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45347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45347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45347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45347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45347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45347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45347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45347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45347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45347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45347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45347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45347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45347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45347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45347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45347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45347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45347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45347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45347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45347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45347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45347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45347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45347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45347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45347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45347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45347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45347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45347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45347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45347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45347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45347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45347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45347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45347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45347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45347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45347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45347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45347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45347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45347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45347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45347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45347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45347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45347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45347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45347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45347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45347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45347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45347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45347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45347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45347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45347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45347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45347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45347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45347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45347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45347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45347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45347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45347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45347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45347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45347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45347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45347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45347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45347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45347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45347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45347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45347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45347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45347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45347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45347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45347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45347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45347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45347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45347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45347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45347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45347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45347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45347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45347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45347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45347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45347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45347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45347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45347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45347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45347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45347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45347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45347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45347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45347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45347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45347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45347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45347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45347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45347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45347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45347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45347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45347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45347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45347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45347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45347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45347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45347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45347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45347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45347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45347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45347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45347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45347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45347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45347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45347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45347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45347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45347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45347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45347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45347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45347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45347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45347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45347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45347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45347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45347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45347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45347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45347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45347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45347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45347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45347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45347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45347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45347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45347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45347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45347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45347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45347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45347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45347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45347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45347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45347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45347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45347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45347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45347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45347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45347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45347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45347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45347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45347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45347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45347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45347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45347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45347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45347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45347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45347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45347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45347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45347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45347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45347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45347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45347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45347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45347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45347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45347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45347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45347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45347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45347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45347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45347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45347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45347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45347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45347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45347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45347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45347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45347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45347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45347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45347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45347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45347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45347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45347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45347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45347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45347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45347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45347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45347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45347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45347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45347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45347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45347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45347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45347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45347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45347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45347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45347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45347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45347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45347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45347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45347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45347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45347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45347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45347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45347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45347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45347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45347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45347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45347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45347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45347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45347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45347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45347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45347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45347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45347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45347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45347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45347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45347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45347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45347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45347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45347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45347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45347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45347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45347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45347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45347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45347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45347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45347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45347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45347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45347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45347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45347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45347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45347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45347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45347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45347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45347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45347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45347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45347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45347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45347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45347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45347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45347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45347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45347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45347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45347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45347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45347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45347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45347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45347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45347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45347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45347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45347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45347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45347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45347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45347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45347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45347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45347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45347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45347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45347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45347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45347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45347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45347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45347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45347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45347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45347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45347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45347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45347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45347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45347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45347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45347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45347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45347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45347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45347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45347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45347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45347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45347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45347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45347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45347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45347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45347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45347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45347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45347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45347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45347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45347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45347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45347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45347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45347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45347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45347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45347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45347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45347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45347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45347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45347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45347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45347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45347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45347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45347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45347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45347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45347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45347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45347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45347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45347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45347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45347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45347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45347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45347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45347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45347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45347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45347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45347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45347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45347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45347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45347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45347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45347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45347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45347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45347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45347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45347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45347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45347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45347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45347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45347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45347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45347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45347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45347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45347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45347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45347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45347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45347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45347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45347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45347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45347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45347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45347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45347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45347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45347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45347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45347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45347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45347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45347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45347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45347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45347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45347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45347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45347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45347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45347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45347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45347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45347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45347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45347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45347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45347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45347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45347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45347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45347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45347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45347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45347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45347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45347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45347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45347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45347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45347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45347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45347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45347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45347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45347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45347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45347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45347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45347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45347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45347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45347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45347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45347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45347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45347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45347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45347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45347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45347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45347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45347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45347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45347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45347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45347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45347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45347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45347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45347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45347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45347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45347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45347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45347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45347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45347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45347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45347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45347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45347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45347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45347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45347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45347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45347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45347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45347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45347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45347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45347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45347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45347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45347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45347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45347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45347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45347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45347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45347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45347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45347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45347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45347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45347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45347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45347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45347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45347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45347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45347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45347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45347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45347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45347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45347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45347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45347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45347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45347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45347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45347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45347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45347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45347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45347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45347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45347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45347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45347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45347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45347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45347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45347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45347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45347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45347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45347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45347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45347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45347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45347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45347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45347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45347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45347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45347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45347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45347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45347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45347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45347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45347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45347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45347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45347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45347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45347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45347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45347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45347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45347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45347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45347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45347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45347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45347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45347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45347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45347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45347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45347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45347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45347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45347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45347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45347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45347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45347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45347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45347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45347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45347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45347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45347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45347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45347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45347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45347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45347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45347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45347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45347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45347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45347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45347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45347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45347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45347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45347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45347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45347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45347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45347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45347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45347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45347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45347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45347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45347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45347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45347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45347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45347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45347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45347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45347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45347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45347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45347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45347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45347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45347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45347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45347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45347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45347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45347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45347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45347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45347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45347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45347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45347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45347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45347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45347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45347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45347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45347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45347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45347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45347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45347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45347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45347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45347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45347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45347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45347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45347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45347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45347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45347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45347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45347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45347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45347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45347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45347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45347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45347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45347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45347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45347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45347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45347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45347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45347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45347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45347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45347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45347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45347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45347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45347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45347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45347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45347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45347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45347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45347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45347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45347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45347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45347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45347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45347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45347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45347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45347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45347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45347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45347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45347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45347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45347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45347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45347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45347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45347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45347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45347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45347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45347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45347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45347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45347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45347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45347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45347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45347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45347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45347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45347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45347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45347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45347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45347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45347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45347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45347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45347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45347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45347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45347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45347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45347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45347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45347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45347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45347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45347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45347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45347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45347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45347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45347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45347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45347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45347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45347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45347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45347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45347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45347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45347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45347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45347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45347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45347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45347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45347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45347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45347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45347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45347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45347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45347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45347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45347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45347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45347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45347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45347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45347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45347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45347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45347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45347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45347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45347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45347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45347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45347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45347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45347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45347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45347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45347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45347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45347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45347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45347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45347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45347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45347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45347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45347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45347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45347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45347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45347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45347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45347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45347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45347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45347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45347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45347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45347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45347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45347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45347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45347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45347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45347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45347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45347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45347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45347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45347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45347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45347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45347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45347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45347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45347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45347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45347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45347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45347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45347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45347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45347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45347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45347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45347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45347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45347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45347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45347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45347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45347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45347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45347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45347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45347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45347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45347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45347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45347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45347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45347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45347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45347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45347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45347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45347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45347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45347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45347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45347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45347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45347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45347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45347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45347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45347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45347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45347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45347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45347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45347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45347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45347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45347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45347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45347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45347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45347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45347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45347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45347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45347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45347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45347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45347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45347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45347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45347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45347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45347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45347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45347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45347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45347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45347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45347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45347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45347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45347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45347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45347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45347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45347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45347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45347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45347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45347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45347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45347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45347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45347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45347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45347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45347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45347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45347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45347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45347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45347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45347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45347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45347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45347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45347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45347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45347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45347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45347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45347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45347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45347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45347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45347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45347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45347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45347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45347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45347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45347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45347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45347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45347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45347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45347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45347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45347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45347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45347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45347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45347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45347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45347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45347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45347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45347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45347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45347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45347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45347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45347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45347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45347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45347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45347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45347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45347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45347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45347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45347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45347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45347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45347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45347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2770-2024</t>
        </is>
      </c>
      <c r="B1765" s="1" t="n">
        <v>45314</v>
      </c>
      <c r="C1765" s="1" t="n">
        <v>45347</v>
      </c>
      <c r="D1765" t="inlineStr">
        <is>
          <t>JÖNKÖPINGS LÄN</t>
        </is>
      </c>
      <c r="E1765" t="inlineStr">
        <is>
          <t>VETLANDA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45347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45347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45347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3020-2024</t>
        </is>
      </c>
      <c r="B1769" s="1" t="n">
        <v>45316</v>
      </c>
      <c r="C1769" s="1" t="n">
        <v>45347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3105-2024</t>
        </is>
      </c>
      <c r="B1770" s="1" t="n">
        <v>45316</v>
      </c>
      <c r="C1770" s="1" t="n">
        <v>45347</v>
      </c>
      <c r="D1770" t="inlineStr">
        <is>
          <t>JÖNKÖPINGS LÄN</t>
        </is>
      </c>
      <c r="E1770" t="inlineStr">
        <is>
          <t>VETLANDA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3121-2024</t>
        </is>
      </c>
      <c r="B1771" s="1" t="n">
        <v>45316</v>
      </c>
      <c r="C1771" s="1" t="n">
        <v>45347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3135-2024</t>
        </is>
      </c>
      <c r="B1772" s="1" t="n">
        <v>45316</v>
      </c>
      <c r="C1772" s="1" t="n">
        <v>45347</v>
      </c>
      <c r="D1772" t="inlineStr">
        <is>
          <t>JÖNKÖPINGS LÄN</t>
        </is>
      </c>
      <c r="E1772" t="inlineStr">
        <is>
          <t>VETLANDA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3116-2024</t>
        </is>
      </c>
      <c r="B1773" s="1" t="n">
        <v>45316</v>
      </c>
      <c r="C1773" s="1" t="n">
        <v>45347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3136-2024</t>
        </is>
      </c>
      <c r="B1774" s="1" t="n">
        <v>45316</v>
      </c>
      <c r="C1774" s="1" t="n">
        <v>45347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45347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45347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3935-2024</t>
        </is>
      </c>
      <c r="B1777" s="1" t="n">
        <v>45322</v>
      </c>
      <c r="C1777" s="1" t="n">
        <v>45347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3906-2024</t>
        </is>
      </c>
      <c r="B1778" s="1" t="n">
        <v>45322</v>
      </c>
      <c r="C1778" s="1" t="n">
        <v>45347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45347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45347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4198-2024</t>
        </is>
      </c>
      <c r="B1781" s="1" t="n">
        <v>45324</v>
      </c>
      <c r="C1781" s="1" t="n">
        <v>45347</v>
      </c>
      <c r="D1781" t="inlineStr">
        <is>
          <t>JÖNKÖPINGS LÄN</t>
        </is>
      </c>
      <c r="E1781" t="inlineStr">
        <is>
          <t>VETLANDA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4201-2024</t>
        </is>
      </c>
      <c r="B1782" s="1" t="n">
        <v>45324</v>
      </c>
      <c r="C1782" s="1" t="n">
        <v>45347</v>
      </c>
      <c r="D1782" t="inlineStr">
        <is>
          <t>JÖNKÖPINGS LÄN</t>
        </is>
      </c>
      <c r="E1782" t="inlineStr">
        <is>
          <t>VETLANDA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4209-2024</t>
        </is>
      </c>
      <c r="B1783" s="1" t="n">
        <v>45324</v>
      </c>
      <c r="C1783" s="1" t="n">
        <v>45347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4199-2024</t>
        </is>
      </c>
      <c r="B1784" s="1" t="n">
        <v>45324</v>
      </c>
      <c r="C1784" s="1" t="n">
        <v>45347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4396-2024</t>
        </is>
      </c>
      <c r="B1785" s="1" t="n">
        <v>45327</v>
      </c>
      <c r="C1785" s="1" t="n">
        <v>45347</v>
      </c>
      <c r="D1785" t="inlineStr">
        <is>
          <t>JÖNKÖPINGS LÄN</t>
        </is>
      </c>
      <c r="E1785" t="inlineStr">
        <is>
          <t>VETLANDA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4416-2024</t>
        </is>
      </c>
      <c r="B1786" s="1" t="n">
        <v>45327</v>
      </c>
      <c r="C1786" s="1" t="n">
        <v>45347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4679-2024</t>
        </is>
      </c>
      <c r="B1787" s="1" t="n">
        <v>45328</v>
      </c>
      <c r="C1787" s="1" t="n">
        <v>45347</v>
      </c>
      <c r="D1787" t="inlineStr">
        <is>
          <t>JÖNKÖPINGS LÄN</t>
        </is>
      </c>
      <c r="E1787" t="inlineStr">
        <is>
          <t>VETLANDA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4611-2024</t>
        </is>
      </c>
      <c r="B1788" s="1" t="n">
        <v>45328</v>
      </c>
      <c r="C1788" s="1" t="n">
        <v>45347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4947-2024</t>
        </is>
      </c>
      <c r="B1789" s="1" t="n">
        <v>45329</v>
      </c>
      <c r="C1789" s="1" t="n">
        <v>45347</v>
      </c>
      <c r="D1789" t="inlineStr">
        <is>
          <t>JÖNKÖPINGS LÄN</t>
        </is>
      </c>
      <c r="E1789" t="inlineStr">
        <is>
          <t>VETLANDA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4944-2024</t>
        </is>
      </c>
      <c r="B1790" s="1" t="n">
        <v>45329</v>
      </c>
      <c r="C1790" s="1" t="n">
        <v>45347</v>
      </c>
      <c r="D1790" t="inlineStr">
        <is>
          <t>JÖNKÖPINGS LÄN</t>
        </is>
      </c>
      <c r="E1790" t="inlineStr">
        <is>
          <t>VETLANDA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4964-2024</t>
        </is>
      </c>
      <c r="B1791" s="1" t="n">
        <v>45329</v>
      </c>
      <c r="C1791" s="1" t="n">
        <v>45347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4968-2024</t>
        </is>
      </c>
      <c r="B1792" s="1" t="n">
        <v>45329</v>
      </c>
      <c r="C1792" s="1" t="n">
        <v>45347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Kyrkan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4973-2024</t>
        </is>
      </c>
      <c r="B1793" s="1" t="n">
        <v>45329</v>
      </c>
      <c r="C1793" s="1" t="n">
        <v>45347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Kyrkan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4905-2024</t>
        </is>
      </c>
      <c r="B1794" s="1" t="n">
        <v>45329</v>
      </c>
      <c r="C1794" s="1" t="n">
        <v>45347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4884-2024</t>
        </is>
      </c>
      <c r="B1795" s="1" t="n">
        <v>45329</v>
      </c>
      <c r="C1795" s="1" t="n">
        <v>45347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4941-2024</t>
        </is>
      </c>
      <c r="B1796" s="1" t="n">
        <v>45329</v>
      </c>
      <c r="C1796" s="1" t="n">
        <v>45347</v>
      </c>
      <c r="D1796" t="inlineStr">
        <is>
          <t>JÖNKÖPINGS LÄN</t>
        </is>
      </c>
      <c r="E1796" t="inlineStr">
        <is>
          <t>VETLANDA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5031-2024</t>
        </is>
      </c>
      <c r="B1797" s="1" t="n">
        <v>45329</v>
      </c>
      <c r="C1797" s="1" t="n">
        <v>45347</v>
      </c>
      <c r="D1797" t="inlineStr">
        <is>
          <t>JÖNKÖPINGS LÄN</t>
        </is>
      </c>
      <c r="E1797" t="inlineStr">
        <is>
          <t>VETLANDA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4902-2024</t>
        </is>
      </c>
      <c r="B1798" s="1" t="n">
        <v>45329</v>
      </c>
      <c r="C1798" s="1" t="n">
        <v>45347</v>
      </c>
      <c r="D1798" t="inlineStr">
        <is>
          <t>JÖNKÖPINGS LÄN</t>
        </is>
      </c>
      <c r="E1798" t="inlineStr">
        <is>
          <t>VETLANDA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5121-2024</t>
        </is>
      </c>
      <c r="B1799" s="1" t="n">
        <v>45330</v>
      </c>
      <c r="C1799" s="1" t="n">
        <v>45347</v>
      </c>
      <c r="D1799" t="inlineStr">
        <is>
          <t>JÖNKÖPINGS LÄN</t>
        </is>
      </c>
      <c r="E1799" t="inlineStr">
        <is>
          <t>VETLANDA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5157-2024</t>
        </is>
      </c>
      <c r="B1800" s="1" t="n">
        <v>45330</v>
      </c>
      <c r="C1800" s="1" t="n">
        <v>45347</v>
      </c>
      <c r="D1800" t="inlineStr">
        <is>
          <t>JÖNKÖPINGS LÄN</t>
        </is>
      </c>
      <c r="E1800" t="inlineStr">
        <is>
          <t>VETLANDA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45347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5155-2024</t>
        </is>
      </c>
      <c r="B1802" s="1" t="n">
        <v>45330</v>
      </c>
      <c r="C1802" s="1" t="n">
        <v>45347</v>
      </c>
      <c r="D1802" t="inlineStr">
        <is>
          <t>JÖNKÖPINGS LÄN</t>
        </is>
      </c>
      <c r="E1802" t="inlineStr">
        <is>
          <t>VETLANDA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5180-2024</t>
        </is>
      </c>
      <c r="B1803" s="1" t="n">
        <v>45330</v>
      </c>
      <c r="C1803" s="1" t="n">
        <v>45347</v>
      </c>
      <c r="D1803" t="inlineStr">
        <is>
          <t>JÖNKÖPINGS LÄN</t>
        </is>
      </c>
      <c r="E1803" t="inlineStr">
        <is>
          <t>VETLANDA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5143-2024</t>
        </is>
      </c>
      <c r="B1804" s="1" t="n">
        <v>45330</v>
      </c>
      <c r="C1804" s="1" t="n">
        <v>45347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5349-2024</t>
        </is>
      </c>
      <c r="B1805" s="1" t="n">
        <v>45331</v>
      </c>
      <c r="C1805" s="1" t="n">
        <v>45347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5364-2024</t>
        </is>
      </c>
      <c r="B1806" s="1" t="n">
        <v>45331</v>
      </c>
      <c r="C1806" s="1" t="n">
        <v>45347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5365-2024</t>
        </is>
      </c>
      <c r="B1807" s="1" t="n">
        <v>45331</v>
      </c>
      <c r="C1807" s="1" t="n">
        <v>45347</v>
      </c>
      <c r="D1807" t="inlineStr">
        <is>
          <t>JÖNKÖPINGS LÄN</t>
        </is>
      </c>
      <c r="E1807" t="inlineStr">
        <is>
          <t>VETLANDA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5281-2024</t>
        </is>
      </c>
      <c r="B1808" s="1" t="n">
        <v>45331</v>
      </c>
      <c r="C1808" s="1" t="n">
        <v>45347</v>
      </c>
      <c r="D1808" t="inlineStr">
        <is>
          <t>JÖNKÖPINGS LÄN</t>
        </is>
      </c>
      <c r="E1808" t="inlineStr">
        <is>
          <t>VETLANDA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5362-2024</t>
        </is>
      </c>
      <c r="B1809" s="1" t="n">
        <v>45331</v>
      </c>
      <c r="C1809" s="1" t="n">
        <v>45347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5347-2024</t>
        </is>
      </c>
      <c r="B1810" s="1" t="n">
        <v>45331</v>
      </c>
      <c r="C1810" s="1" t="n">
        <v>45347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5363-2024</t>
        </is>
      </c>
      <c r="B1811" s="1" t="n">
        <v>45331</v>
      </c>
      <c r="C1811" s="1" t="n">
        <v>45347</v>
      </c>
      <c r="D1811" t="inlineStr">
        <is>
          <t>JÖNKÖPINGS LÄN</t>
        </is>
      </c>
      <c r="E1811" t="inlineStr">
        <is>
          <t>VETLANDA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45347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5802-2024</t>
        </is>
      </c>
      <c r="B1813" s="1" t="n">
        <v>45335</v>
      </c>
      <c r="C1813" s="1" t="n">
        <v>45347</v>
      </c>
      <c r="D1813" t="inlineStr">
        <is>
          <t>JÖNKÖPINGS LÄN</t>
        </is>
      </c>
      <c r="E1813" t="inlineStr">
        <is>
          <t>VETLANDA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5859-2024</t>
        </is>
      </c>
      <c r="B1814" s="1" t="n">
        <v>45335</v>
      </c>
      <c r="C1814" s="1" t="n">
        <v>45347</v>
      </c>
      <c r="D1814" t="inlineStr">
        <is>
          <t>JÖNKÖPINGS LÄN</t>
        </is>
      </c>
      <c r="E1814" t="inlineStr">
        <is>
          <t>VETLANDA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5800-2024</t>
        </is>
      </c>
      <c r="B1815" s="1" t="n">
        <v>45335</v>
      </c>
      <c r="C1815" s="1" t="n">
        <v>45347</v>
      </c>
      <c r="D1815" t="inlineStr">
        <is>
          <t>JÖNKÖPINGS LÄN</t>
        </is>
      </c>
      <c r="E1815" t="inlineStr">
        <is>
          <t>VETLANDA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5804-2024</t>
        </is>
      </c>
      <c r="B1816" s="1" t="n">
        <v>45335</v>
      </c>
      <c r="C1816" s="1" t="n">
        <v>45347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6032-2024</t>
        </is>
      </c>
      <c r="B1817" s="1" t="n">
        <v>45336</v>
      </c>
      <c r="C1817" s="1" t="n">
        <v>45347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6051-2024</t>
        </is>
      </c>
      <c r="B1818" s="1" t="n">
        <v>45336</v>
      </c>
      <c r="C1818" s="1" t="n">
        <v>45347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6142-2024</t>
        </is>
      </c>
      <c r="B1819" s="1" t="n">
        <v>45337</v>
      </c>
      <c r="C1819" s="1" t="n">
        <v>45347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6215-2024</t>
        </is>
      </c>
      <c r="B1820" s="1" t="n">
        <v>45337</v>
      </c>
      <c r="C1820" s="1" t="n">
        <v>45347</v>
      </c>
      <c r="D1820" t="inlineStr">
        <is>
          <t>JÖNKÖPINGS LÄN</t>
        </is>
      </c>
      <c r="E1820" t="inlineStr">
        <is>
          <t>VETLANDA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6223-2024</t>
        </is>
      </c>
      <c r="B1821" s="1" t="n">
        <v>45337</v>
      </c>
      <c r="C1821" s="1" t="n">
        <v>45347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6208-2024</t>
        </is>
      </c>
      <c r="B1822" s="1" t="n">
        <v>45337</v>
      </c>
      <c r="C1822" s="1" t="n">
        <v>45347</v>
      </c>
      <c r="D1822" t="inlineStr">
        <is>
          <t>JÖNKÖPINGS LÄN</t>
        </is>
      </c>
      <c r="E1822" t="inlineStr">
        <is>
          <t>VETLANDA</t>
        </is>
      </c>
      <c r="G1822" t="n">
        <v>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6229-2024</t>
        </is>
      </c>
      <c r="B1823" s="1" t="n">
        <v>45337</v>
      </c>
      <c r="C1823" s="1" t="n">
        <v>45347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6186-2024</t>
        </is>
      </c>
      <c r="B1824" s="1" t="n">
        <v>45337</v>
      </c>
      <c r="C1824" s="1" t="n">
        <v>45347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6184-2024</t>
        </is>
      </c>
      <c r="B1825" s="1" t="n">
        <v>45337</v>
      </c>
      <c r="C1825" s="1" t="n">
        <v>45347</v>
      </c>
      <c r="D1825" t="inlineStr">
        <is>
          <t>JÖNKÖPINGS LÄN</t>
        </is>
      </c>
      <c r="E1825" t="inlineStr">
        <is>
          <t>VETLANDA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45347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6623-2024</t>
        </is>
      </c>
      <c r="B1827" s="1" t="n">
        <v>45341</v>
      </c>
      <c r="C1827" s="1" t="n">
        <v>45347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6627-2024</t>
        </is>
      </c>
      <c r="B1828" s="1" t="n">
        <v>45341</v>
      </c>
      <c r="C1828" s="1" t="n">
        <v>45347</v>
      </c>
      <c r="D1828" t="inlineStr">
        <is>
          <t>JÖNKÖPINGS LÄN</t>
        </is>
      </c>
      <c r="E1828" t="inlineStr">
        <is>
          <t>VETLANDA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6635-2024</t>
        </is>
      </c>
      <c r="B1829" s="1" t="n">
        <v>45341</v>
      </c>
      <c r="C1829" s="1" t="n">
        <v>45347</v>
      </c>
      <c r="D1829" t="inlineStr">
        <is>
          <t>JÖNKÖPINGS LÄN</t>
        </is>
      </c>
      <c r="E1829" t="inlineStr">
        <is>
          <t>VETLANDA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6594-2024</t>
        </is>
      </c>
      <c r="B1830" s="1" t="n">
        <v>45341</v>
      </c>
      <c r="C1830" s="1" t="n">
        <v>45347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6624-2024</t>
        </is>
      </c>
      <c r="B1831" s="1" t="n">
        <v>45341</v>
      </c>
      <c r="C1831" s="1" t="n">
        <v>45347</v>
      </c>
      <c r="D1831" t="inlineStr">
        <is>
          <t>JÖNKÖPINGS LÄN</t>
        </is>
      </c>
      <c r="E1831" t="inlineStr">
        <is>
          <t>VETLANDA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6805-2024</t>
        </is>
      </c>
      <c r="B1832" s="1" t="n">
        <v>45342</v>
      </c>
      <c r="C1832" s="1" t="n">
        <v>45347</v>
      </c>
      <c r="D1832" t="inlineStr">
        <is>
          <t>JÖNKÖPINGS LÄN</t>
        </is>
      </c>
      <c r="E1832" t="inlineStr">
        <is>
          <t>VETLANDA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6863-2024</t>
        </is>
      </c>
      <c r="B1833" s="1" t="n">
        <v>45342</v>
      </c>
      <c r="C1833" s="1" t="n">
        <v>45347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7236-2024</t>
        </is>
      </c>
      <c r="B1834" s="1" t="n">
        <v>45344</v>
      </c>
      <c r="C1834" s="1" t="n">
        <v>45347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7364-2024</t>
        </is>
      </c>
      <c r="B1835" s="1" t="n">
        <v>45345</v>
      </c>
      <c r="C1835" s="1" t="n">
        <v>45347</v>
      </c>
      <c r="D1835" t="inlineStr">
        <is>
          <t>JÖNKÖPINGS LÄN</t>
        </is>
      </c>
      <c r="E1835" t="inlineStr">
        <is>
          <t>VETLANDA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>
      <c r="A1836" t="inlineStr">
        <is>
          <t>A 7366-2024</t>
        </is>
      </c>
      <c r="B1836" s="1" t="n">
        <v>45345</v>
      </c>
      <c r="C1836" s="1" t="n">
        <v>45347</v>
      </c>
      <c r="D1836" t="inlineStr">
        <is>
          <t>JÖNKÖPINGS LÄN</t>
        </is>
      </c>
      <c r="E1836" t="inlineStr">
        <is>
          <t>VETLANDA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2024-02-25T12:47:29Z</dcterms:created>
  <dcterms:modified xmlns:dcterms="http://purl.org/dc/terms/" xmlns:xsi="http://www.w3.org/2001/XMLSchema-instance" xsi:type="dcterms:W3CDTF">2024-02-25T12:47:31Z</dcterms:modified>
</cp:coreProperties>
</file>