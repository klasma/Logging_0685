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45677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45677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45677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45677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45677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45677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45677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45677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45677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45677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45677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45677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45677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45677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45677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45677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45677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45677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45677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45677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45677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45677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45677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45677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45677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45677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45677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45677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45677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45677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45677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45677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45677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45677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45677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45677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45677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45677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45677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45677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45677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45677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45677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45677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45677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45677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45677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45677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45677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45677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45677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45677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45677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45677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45677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45677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45677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45677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45677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45677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45677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45677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45677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45677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45677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45677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45677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45677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45677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45677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45677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45677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45677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45677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45677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45677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45677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45677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45677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45677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45677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45677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45677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45677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45677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45677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45677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45677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45677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45677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45677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45677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45677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45677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45677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45677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45677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45677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45677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45677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45677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45677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45677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45677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45677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45677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45677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45677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45677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45677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45677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45677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45677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45677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45677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45677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45677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45677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45677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45677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45677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45677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45677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45677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45677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45677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45677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45677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45677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45677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45677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45677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45677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45677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45677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45677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45677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45677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45677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45677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45677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45677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45677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45677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45677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45677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45677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45677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45677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45677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45677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45677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45677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45677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45677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45677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45677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45677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45677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45677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45677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45677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45677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45677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45677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45677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45677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45677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45677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45677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45677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45677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45677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45677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45677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45677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45677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45677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45677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45677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45677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45677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45677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45677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45677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45677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45677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45677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45677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45677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45677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45677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45677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45677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45677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45677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45677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45677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45677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45677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45677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45677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45677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45677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45677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45677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45677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45677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45677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45677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45677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45677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45677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45677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45677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45677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45677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45677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45677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45677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45677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45677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45677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45677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45677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45677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45677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45677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45677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45677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45677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45677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45677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45677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45677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45677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45677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45677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45677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45677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45677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45677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45677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45677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45677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45677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45677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45677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45677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45677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45677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45677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45677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45677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45677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45677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45677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45677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45677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45677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45677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45677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45677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45677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45677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45677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45677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45677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45677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45677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45677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45677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45677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45677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45677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45677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45677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45677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45677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45677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45677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45677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45677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45677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45677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45677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45677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45677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45677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45677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45677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45677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45677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45677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45677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45677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45677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45677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45677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45677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45677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45677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45677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45677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45677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45677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45677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45677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45677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45677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45677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45677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45677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45677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45677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45677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45677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45677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45677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45677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45677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45677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45677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45677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45677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45677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45677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45677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45677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45677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45677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45677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45677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45677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45677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45677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45677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45677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45677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45677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45677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45677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45677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45677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45677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45677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45677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45677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45677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45677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45677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45677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45677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45677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45677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45677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45677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45677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45677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45677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45677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45677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45677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45677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45677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45677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45677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45677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45677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45677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45677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45677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45677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45677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45677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45677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45677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45677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45677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45677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45677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45677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45677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45677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45677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45677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45677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45677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45677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45677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45677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45677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45677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45677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45677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45677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45677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45677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45677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45677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45677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45677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45677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45677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45677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45677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45677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45677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45677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45677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45677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45677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45677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45677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45677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45677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45677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45677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45677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45677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45677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45677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45677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45677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45677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45677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45677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45677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45677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45677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45677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45677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45677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45677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45677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45677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45677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45677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45677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45677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45677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45677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45677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45677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45677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45677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45677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45677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45677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45677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45677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45677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45677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45677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45677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45677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45677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45677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45677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45677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45677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45677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45677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45677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45677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45677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45677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45677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45677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45677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45677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45677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45677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45677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45677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45677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45677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45677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45677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45677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45677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45677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45677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45677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45677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45677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45677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45677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45677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45677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45677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45677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45677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45677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45677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45677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45677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45677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45677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45677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45677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45677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45677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45677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45677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45677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45677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45677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45677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45677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45677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45677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45677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45677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45677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45677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45677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45677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45677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45677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45677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45677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45677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45677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45677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45677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45677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45677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45677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45677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45677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45677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45677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45677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45677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45677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45677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45677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45677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45677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45677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45677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45677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45677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45677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45677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45677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45677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45677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45677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45677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45677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45677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45677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45677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45677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45677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45677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45677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45677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45677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45677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45677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45677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45677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45677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45677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45677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45677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45677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45677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45677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45677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45677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45677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45677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45677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45677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45677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45677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45677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45677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45677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45677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45677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45677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45677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45677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45677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45677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45677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45677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45677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45677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45677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45677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45677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45677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45677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45677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45677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45677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45677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45677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45677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45677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45677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45677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45677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45677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45677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45677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45677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45677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45677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45677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45677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45677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45677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45677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45677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45677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45677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45677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45677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45677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45677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45677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45677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45677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45677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45677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45677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45677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45677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45677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45677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45677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45677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45677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45677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45677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45677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45677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45677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45677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45677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45677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45677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45677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45677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45677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45677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45677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45677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45677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45677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45677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45677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45677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45677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45677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45677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45677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45677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45677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45677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45677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45677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45677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45677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45677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45677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45677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45677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45677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45677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45677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45677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45677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45677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45677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45677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45677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45677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45677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45677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45677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45677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45677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45677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45677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45677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45677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45677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45677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45677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45677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45677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45677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45677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45677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45677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45677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45677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45677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45677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45677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45677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45677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45677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45677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45677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45677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45677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45677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45677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45677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45677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45677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45677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45677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45677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45677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45677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45677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45677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45677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45677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45677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45677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45677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45677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45677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45677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45677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45677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45677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45677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45677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45677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45677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45677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45677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45677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45677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45677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45677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45677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45677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45677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45677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45677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45677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45677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45677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45677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45677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45677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45677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45677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45677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45677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45677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45677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45677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45677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45677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45677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45677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45677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45677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45677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45677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45677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45677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45677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45677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45677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45677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45677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45677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45677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45677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45677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45677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45677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45677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45677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45677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45677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45677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45677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45677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45677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45677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45677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45677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45677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45677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45677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45677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45677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45677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45677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45677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45677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45677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45677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45677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45677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45677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45677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45677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45677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45677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45677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45677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45677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45677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45677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45677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45677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45677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45677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45677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45677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45677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45677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45677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45677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45677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45677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45677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45677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45677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45677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45677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45677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45677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45677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45677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45677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45677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45677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45677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45677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45677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45677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45677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45677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45677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45677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45677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45677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45677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45677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45677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45677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45677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45677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45677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45677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45677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45677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45677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45677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45677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45677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45677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45677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45677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45677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45677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45677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45677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45677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45677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45677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45677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45677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45677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45677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45677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45677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45677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45677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45677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45677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45677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45677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45677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45677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45677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45677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45677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45677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45677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45677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45677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45677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45677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45677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45677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45677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45677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45677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45677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45677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45677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45677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45677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45677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45677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45677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45677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45677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45677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45677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45677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45677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45677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45677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45677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45677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45677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45677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45677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45677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45677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45677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45677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45677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45677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45677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45677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45677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45677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45677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45677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45677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45677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45677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45677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45677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45677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45677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45677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45677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45677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45677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45677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45677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45677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45677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45677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45677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45677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45677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45677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45677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45677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45677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45677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45677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45677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45677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45677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45677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45677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45677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45677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45677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45677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45677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45677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45677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45677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45677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45677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45677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45677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45677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45677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45677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45677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45677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45677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45677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45677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45677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45677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45677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45677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45677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45677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45677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45677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45677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45677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45677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45677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45677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45677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45677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45677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45677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45677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45677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45677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45677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45677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45677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45677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45677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45677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45677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45677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45677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45677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45677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45677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45677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45677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45677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45677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45677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45677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45677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45677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45677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45677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45677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45677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45677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45677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45677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45677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45677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45677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45677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45677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45677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45677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45677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45677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45677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45677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45677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45677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45677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45677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45677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45677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45677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45677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45677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45677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45677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45677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45677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45677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45677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45677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45677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45677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45677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45677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45677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45677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45677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45677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45677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45677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45677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45677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45677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45677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45677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45677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45677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45677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45677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45677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45677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45677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45677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45677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45677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45677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45677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45677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45677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45677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45677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45677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45677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45677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45677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45677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45677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45677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45677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45677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45677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45677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45677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45677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45677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45677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45677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45677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45677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45677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45677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45677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45677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45677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45677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45677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45677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45677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45677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45677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45677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45677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45677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45677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45677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45677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45677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45677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45677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45677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45677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45677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45677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45677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45677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45677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45677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45677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45677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45677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45677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45677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45677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45677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45677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45677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45677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45677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45677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45677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45677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45677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45677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45677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45677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45677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45677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45677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45677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45677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45677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45677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45677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45677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45677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45677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45677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45677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45677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45677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45677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45677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45677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45677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45677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45677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45677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45677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45677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45677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45677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45677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45677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45677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45677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45677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45677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45677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45677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45677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45677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45677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45677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45677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45677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45677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45677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45677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45677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45677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45677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45677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45677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45677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45677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45677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45677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45677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45677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45677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45677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45677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45677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45677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45677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45677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45677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45677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45677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45677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45677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45677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45677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45677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45677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45677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45677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45677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45677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45677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45677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45677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45677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45677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45677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45677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45677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45677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45677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45677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45677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45677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45677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45677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45677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45677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45677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45677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45677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45677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45677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45677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45677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45677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45677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45677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45677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45677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45677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45677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45677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45677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45677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45677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45677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45677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45677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45677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45677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45677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45677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45677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45677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45677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45677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45677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45677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45677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45677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45677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45677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45677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45677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45677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45677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45677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45677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45677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45677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45677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45677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45677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45677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45677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45677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45677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45677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45677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45677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45677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45677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45677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45677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45677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45677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45677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45677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45677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45677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45677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45677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45677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45677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45677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45677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45677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45677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45677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45677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45677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45677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45677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45677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45677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45677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45677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45677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45677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45677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45677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45677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45677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45677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45677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45677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45677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45677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45677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45677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45677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45677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45677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45677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45677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45677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45677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45677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45677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45677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45677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45677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45677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45677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45677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45677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45677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45677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45677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45677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45677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45677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45677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45677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45677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45677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45677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45677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45677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45677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45677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45677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45677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45677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45677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45677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45677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45677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45677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45677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45677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45677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45677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45677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45677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45677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45677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45677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45677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45677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45677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45677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45677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45677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45677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45677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45677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45677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45677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45677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45677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45677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45677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45677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45677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45677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45677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45677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45677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45677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45677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45677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45677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45677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45677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45677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45677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45677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45677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45677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45677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45677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45677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45677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45677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45677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45677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45677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45677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45677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45677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45677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45677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45677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45677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45677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45677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45677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45677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45677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45677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45677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45677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45677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45677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45677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45677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45677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45677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45677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45677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45677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45677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45677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45677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45677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45677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45677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45677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45677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45677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45677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45677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45677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45677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45677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45677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45677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45677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45677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45677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45677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45677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45677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45677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45677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45677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45677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45677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45677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45677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45677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45677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45677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45677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45677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45677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45677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45677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45677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45677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45677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45677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45677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45677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45677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45677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45677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45677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45677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45677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45677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45677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45677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45677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45677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45677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45677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45677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45677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45677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45677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45677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45677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45677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45677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45677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45677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45677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45677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45677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45677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45677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45677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45677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45677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45677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45677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45677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45677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45677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45677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45677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45677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45677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45677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45677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45677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45677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45677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45677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45677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45677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45677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45677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45677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45677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45677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45677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45677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45677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45677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45677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45677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45677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45677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45677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45677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45677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45677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45677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45677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45677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45677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45677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45677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45677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45677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45677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45677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45677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45677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45677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45677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45677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45677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45677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45677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45677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45677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45677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45677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45677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45677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45677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45677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45677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45677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45677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45677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45677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45677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45677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45677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45677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45677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45677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45677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45677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45677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45677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45677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45677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45677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45677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45677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45677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45677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45677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45677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45677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45677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45677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45677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45677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45677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45677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45677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45677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45677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45677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45677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45677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45677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45677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45677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45677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45677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45677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45677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45677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45677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45677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45677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45677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45677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45677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45677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45677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45677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45677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45677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45677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45677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45677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45677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45677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45677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45677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45677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45677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45677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45677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45677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45677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45677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45677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45677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45677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45677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45677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45677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45677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45677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45677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45677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45677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45677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45677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45677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45677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45677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45677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45677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45677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45677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45677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45677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45677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45677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45677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45677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45677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45677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45677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45677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45677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45677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45677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45677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45677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45677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45677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45677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45677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45677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45677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45677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45677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45677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45677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45677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45677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45677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45677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45677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45677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45677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45677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45677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45677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45677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45677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45677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45677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45677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45677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45677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45677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45677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45677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45677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45677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45677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45677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45677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45677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45677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45677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45677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45677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45677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45677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45677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45677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45677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45677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45677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45677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45677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45677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45677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45677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45677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45677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45677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45677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45677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45677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45677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45677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45677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45677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45677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45677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45677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45677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45677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45677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45677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45677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45677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45677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45677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45677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45677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45677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45677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45677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45677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45677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45677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45677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45677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45677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45677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45677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45677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45677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45677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45677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45677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45677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45677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45677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45677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45677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45677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45677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45677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45677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45677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45677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45677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45677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45677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45677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45677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45677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45677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45677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45677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45677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45677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45677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45677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45677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45677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45677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45677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45677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45677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45677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45677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45677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45677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45677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45677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45677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45677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45677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45677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45677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45677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45677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45677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45677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45677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45677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45677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45677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45677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45677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45677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45677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45677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45677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45677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45677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45677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45677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45677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45677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45677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45677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45677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45677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45677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45677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45677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45677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45677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45677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45677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45677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45677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45677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45677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45677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45677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45677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45677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45677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45677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45677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45677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45677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45677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45677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45677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45677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45677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45677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45677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45677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45677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45677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45677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45677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45677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45677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45677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45677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45677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45677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45677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45677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45677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45677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45677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45677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45677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45677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45677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45677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45677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45677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45677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45677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45677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45677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45677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45677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45677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45677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45677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45677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45677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45677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45677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45677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45677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45677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45677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45677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45677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45677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45677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45677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45677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45677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45677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45677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45677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45677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45677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45677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45677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45677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45677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45677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45677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45677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45677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45677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45677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45677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45677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45677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45677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45677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45677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45677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45677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45677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45677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45677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45677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45677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45677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45677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45677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45677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45677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45677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45677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45677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45677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45677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45677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45677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45677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45677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45677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45677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45677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45677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45677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45677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45677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45677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45677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45677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45677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45677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45677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45677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45677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45677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45677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45677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45677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45677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45677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45677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45677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45677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45677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45677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45677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45677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45677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45677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45677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45677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45677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45677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45677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45677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45677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45677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45677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45677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45677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45677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45677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45677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45677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45677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45677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45677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45677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45677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45677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45677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45677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45677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45677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45677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45677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45677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45677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45677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45677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45677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45677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45677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45677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45677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45677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45677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45677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45677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45677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45677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45677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45677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45677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45677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45677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45677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45677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45677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45677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45677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45677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45677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45677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45677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45677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45677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45677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45677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45677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45677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45677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45677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45677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45677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45677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45677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45677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45677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45677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45677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45677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45677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45677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45677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45677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45677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45677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45677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45677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45677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45677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45677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45677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45677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45677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45677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45677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45677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45677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45677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45677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45677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45677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45677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45677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45677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45677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45677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45677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45677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45677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45677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45677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45677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45677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45677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45677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45677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45677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45677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45677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45677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45677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45677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45677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45677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45677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45677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45677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45677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45677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45677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45677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45677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45677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45677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45677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45677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45677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45677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45677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45677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45677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45677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45677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45677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45677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45677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45677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45677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45677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329-2025</t>
        </is>
      </c>
      <c r="B2171" s="1" t="n">
        <v>45660</v>
      </c>
      <c r="C2171" s="1" t="n">
        <v>45677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606-2025</t>
        </is>
      </c>
      <c r="B2172" s="1" t="n">
        <v>45660</v>
      </c>
      <c r="C2172" s="1" t="n">
        <v>45677</v>
      </c>
      <c r="D2172" t="inlineStr">
        <is>
          <t>JÖNKÖPINGS LÄN</t>
        </is>
      </c>
      <c r="E2172" t="inlineStr">
        <is>
          <t>VETLANDA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632-2025</t>
        </is>
      </c>
      <c r="B2173" s="1" t="n">
        <v>45660</v>
      </c>
      <c r="C2173" s="1" t="n">
        <v>45677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45677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45677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404-2025</t>
        </is>
      </c>
      <c r="B2176" s="1" t="n">
        <v>45663</v>
      </c>
      <c r="C2176" s="1" t="n">
        <v>45677</v>
      </c>
      <c r="D2176" t="inlineStr">
        <is>
          <t>JÖNKÖPINGS LÄN</t>
        </is>
      </c>
      <c r="E2176" t="inlineStr">
        <is>
          <t>VETLANDA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475-2025</t>
        </is>
      </c>
      <c r="B2177" s="1" t="n">
        <v>45664</v>
      </c>
      <c r="C2177" s="1" t="n">
        <v>45677</v>
      </c>
      <c r="D2177" t="inlineStr">
        <is>
          <t>JÖNKÖPINGS LÄN</t>
        </is>
      </c>
      <c r="E2177" t="inlineStr">
        <is>
          <t>VETLANDA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497-2025</t>
        </is>
      </c>
      <c r="B2178" s="1" t="n">
        <v>45664</v>
      </c>
      <c r="C2178" s="1" t="n">
        <v>45677</v>
      </c>
      <c r="D2178" t="inlineStr">
        <is>
          <t>JÖNKÖPINGS LÄN</t>
        </is>
      </c>
      <c r="E2178" t="inlineStr">
        <is>
          <t>VETLANDA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741-2025</t>
        </is>
      </c>
      <c r="B2179" s="1" t="n">
        <v>45665</v>
      </c>
      <c r="C2179" s="1" t="n">
        <v>45677</v>
      </c>
      <c r="D2179" t="inlineStr">
        <is>
          <t>JÖNKÖPINGS LÄN</t>
        </is>
      </c>
      <c r="E2179" t="inlineStr">
        <is>
          <t>VETLANDA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1134-2025</t>
        </is>
      </c>
      <c r="B2180" s="1" t="n">
        <v>45666</v>
      </c>
      <c r="C2180" s="1" t="n">
        <v>45677</v>
      </c>
      <c r="D2180" t="inlineStr">
        <is>
          <t>JÖNKÖPINGS LÄN</t>
        </is>
      </c>
      <c r="E2180" t="inlineStr">
        <is>
          <t>VETLANDA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1444-2025</t>
        </is>
      </c>
      <c r="B2181" s="1" t="n">
        <v>45669</v>
      </c>
      <c r="C2181" s="1" t="n">
        <v>45677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1583-2025</t>
        </is>
      </c>
      <c r="B2182" s="1" t="n">
        <v>45670</v>
      </c>
      <c r="C2182" s="1" t="n">
        <v>45677</v>
      </c>
      <c r="D2182" t="inlineStr">
        <is>
          <t>JÖNKÖPINGS LÄN</t>
        </is>
      </c>
      <c r="E2182" t="inlineStr">
        <is>
          <t>VETLANDA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45677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1838-2025</t>
        </is>
      </c>
      <c r="B2184" s="1" t="n">
        <v>45671</v>
      </c>
      <c r="C2184" s="1" t="n">
        <v>45677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45677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1840-2025</t>
        </is>
      </c>
      <c r="B2186" s="1" t="n">
        <v>45671</v>
      </c>
      <c r="C2186" s="1" t="n">
        <v>45677</v>
      </c>
      <c r="D2186" t="inlineStr">
        <is>
          <t>JÖNKÖPINGS LÄN</t>
        </is>
      </c>
      <c r="E2186" t="inlineStr">
        <is>
          <t>VETLANDA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45677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1953-2025</t>
        </is>
      </c>
      <c r="B2188" s="1" t="n">
        <v>45672</v>
      </c>
      <c r="C2188" s="1" t="n">
        <v>45677</v>
      </c>
      <c r="D2188" t="inlineStr">
        <is>
          <t>JÖNKÖPINGS LÄN</t>
        </is>
      </c>
      <c r="E2188" t="inlineStr">
        <is>
          <t>VETLANDA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  <c r="U2188">
        <f>HYPERLINK("https://klasma.github.io/Logging_0685/knärot/A 1953-2025 karta knärot.png", "A 1953-2025")</f>
        <v/>
      </c>
      <c r="V2188">
        <f>HYPERLINK("https://klasma.github.io/Logging_0685/klagomål/A 1953-2025 FSC-klagomål.docx", "A 1953-2025")</f>
        <v/>
      </c>
      <c r="W2188">
        <f>HYPERLINK("https://klasma.github.io/Logging_0685/klagomålsmail/A 1953-2025 FSC-klagomål mail.docx", "A 1953-2025")</f>
        <v/>
      </c>
      <c r="X2188">
        <f>HYPERLINK("https://klasma.github.io/Logging_0685/tillsyn/A 1953-2025 tillsynsbegäran.docx", "A 1953-2025")</f>
        <v/>
      </c>
      <c r="Y2188">
        <f>HYPERLINK("https://klasma.github.io/Logging_0685/tillsynsmail/A 1953-2025 tillsynsbegäran mail.docx", "A 1953-2025")</f>
        <v/>
      </c>
    </row>
    <row r="2189" ht="15" customHeight="1">
      <c r="A2189" t="inlineStr">
        <is>
          <t>A 1947-2025</t>
        </is>
      </c>
      <c r="B2189" s="1" t="n">
        <v>45672</v>
      </c>
      <c r="C2189" s="1" t="n">
        <v>45677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1951-2025</t>
        </is>
      </c>
      <c r="B2190" s="1" t="n">
        <v>45672</v>
      </c>
      <c r="C2190" s="1" t="n">
        <v>45677</v>
      </c>
      <c r="D2190" t="inlineStr">
        <is>
          <t>JÖNKÖPINGS LÄN</t>
        </is>
      </c>
      <c r="E2190" t="inlineStr">
        <is>
          <t>VETLANDA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45677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45677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1950-2025</t>
        </is>
      </c>
      <c r="B2193" s="1" t="n">
        <v>45672</v>
      </c>
      <c r="C2193" s="1" t="n">
        <v>45677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2205-2025</t>
        </is>
      </c>
      <c r="B2194" s="1" t="n">
        <v>45673</v>
      </c>
      <c r="C2194" s="1" t="n">
        <v>45677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2368-2025</t>
        </is>
      </c>
      <c r="B2195" s="1" t="n">
        <v>45673</v>
      </c>
      <c r="C2195" s="1" t="n">
        <v>45677</v>
      </c>
      <c r="D2195" t="inlineStr">
        <is>
          <t>JÖNKÖPINGS LÄN</t>
        </is>
      </c>
      <c r="E2195" t="inlineStr">
        <is>
          <t>VETLANDA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45677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2221-2025</t>
        </is>
      </c>
      <c r="B2197" s="1" t="n">
        <v>45673</v>
      </c>
      <c r="C2197" s="1" t="n">
        <v>45677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45677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2386-2025</t>
        </is>
      </c>
      <c r="B2199" s="1" t="n">
        <v>45674</v>
      </c>
      <c r="C2199" s="1" t="n">
        <v>45677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45677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2497-2025</t>
        </is>
      </c>
      <c r="B2201" s="1" t="n">
        <v>45674</v>
      </c>
      <c r="C2201" s="1" t="n">
        <v>45677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2465-2025</t>
        </is>
      </c>
      <c r="B2202" s="1" t="n">
        <v>45674</v>
      </c>
      <c r="C2202" s="1" t="n">
        <v>45677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>
      <c r="A2203" t="inlineStr">
        <is>
          <t>A 2496-2025</t>
        </is>
      </c>
      <c r="B2203" s="1" t="n">
        <v>45674</v>
      </c>
      <c r="C2203" s="1" t="n">
        <v>45677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2025-01-20T16:24:44Z</dcterms:created>
  <dcterms:modified xmlns:dcterms="http://purl.org/dc/terms/" xmlns:xsi="http://www.w3.org/2001/XMLSchema-instance" xsi:type="dcterms:W3CDTF">2025-01-20T16:24:46Z</dcterms:modified>
</cp:coreProperties>
</file>