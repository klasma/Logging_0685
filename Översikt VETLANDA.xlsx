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29114-2023</t>
        </is>
      </c>
      <c r="B2" t="inlineStr">
        <is>
          <t>avverkningsanmälan</t>
        </is>
      </c>
      <c r="C2" t="inlineStr">
        <is>
          <t>Avverkning för annat ändamål</t>
        </is>
      </c>
      <c r="D2" s="1" t="n">
        <v>45097</v>
      </c>
      <c r="E2" s="1" t="n">
        <v>46217</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Y2">
        <f>HYPERLINK("https://klasma.github.io/Logging_0685/klagomål/A 29114-2023 FSC-klagomål.docx", "A 29114-2023")</f>
        <v/>
      </c>
      <c r="Z2">
        <f>HYPERLINK("https://klasma.github.io/Logging_0685/klagomålsmail/A 29114-2023 FSC-klagomål mail.docx", "A 29114-2023")</f>
        <v/>
      </c>
      <c r="AA2">
        <f>HYPERLINK("https://klasma.github.io/Logging_0685/tillsyn/A 29114-2023 tillsynsbegäran.docx", "A 29114-2023")</f>
        <v/>
      </c>
      <c r="AB2">
        <f>HYPERLINK("https://klasma.github.io/Logging_0685/tillsynsmail/A 29114-2023 tillsynsbegäran mail.docx", "A 29114-2023")</f>
        <v/>
      </c>
      <c r="AC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46217</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HYPERLINK("https://klasma.github.io/Logging_0685/knärot/A 25708-2026 karta knärot.png", "A 25708-2026")</f>
        <v/>
      </c>
      <c r="Y3">
        <f>HYPERLINK("https://klasma.github.io/Logging_0685/klagomål/A 25708-2026 FSC-klagomål.docx", "A 25708-2026")</f>
        <v/>
      </c>
      <c r="Z3">
        <f>HYPERLINK("https://klasma.github.io/Logging_0685/klagomålsmail/A 25708-2026 FSC-klagomål mail.docx", "A 25708-2026")</f>
        <v/>
      </c>
      <c r="AA3">
        <f>HYPERLINK("https://klasma.github.io/Logging_0685/tillsyn/A 25708-2026 tillsynsbegäran.docx", "A 25708-2026")</f>
        <v/>
      </c>
      <c r="AB3">
        <f>HYPERLINK("https://klasma.github.io/Logging_0685/tillsynsmail/A 25708-2026 tillsynsbegäran mail.docx", "A 25708-2026")</f>
        <v/>
      </c>
      <c r="AC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46217</v>
      </c>
      <c r="F4" t="inlineStr">
        <is>
          <t>JÖNKÖPINGS LÄN</t>
        </is>
      </c>
      <c r="G4" t="inlineStr">
        <is>
          <t>VETLANDA</t>
        </is>
      </c>
      <c r="I4" t="n">
        <v>35.1</v>
      </c>
      <c r="J4" t="n">
        <v>2</v>
      </c>
      <c r="K4" t="n">
        <v>2</v>
      </c>
      <c r="L4" t="n">
        <v>6</v>
      </c>
      <c r="M4" t="n">
        <v>0</v>
      </c>
      <c r="N4" t="n">
        <v>1</v>
      </c>
      <c r="O4" t="n">
        <v>0</v>
      </c>
      <c r="P4" t="n">
        <v>0</v>
      </c>
      <c r="Q4" t="n">
        <v>7</v>
      </c>
      <c r="R4" t="n">
        <v>1</v>
      </c>
      <c r="S4" t="n">
        <v>10</v>
      </c>
      <c r="T4" t="n">
        <v>14</v>
      </c>
      <c r="U4" s="2" t="inlineStr">
        <is>
          <t>Ask
Backklöver
Desmeknopp
Loppstarr
Solvända
Svinrot
Vippärt
Tibast
Tvåblad
Gullviva</t>
        </is>
      </c>
      <c r="V4">
        <f>HYPERLINK("https://klasma.github.io/Logging_0685/artfynd/A 11238-2024 artfynd.xlsx", "A 11238-2024")</f>
        <v/>
      </c>
      <c r="W4">
        <f>HYPERLINK("https://klasma.github.io/Logging_0685/kartor/A 11238-2024 karta.png", "A 11238-2024")</f>
        <v/>
      </c>
      <c r="Y4">
        <f>HYPERLINK("https://klasma.github.io/Logging_0685/klagomål/A 11238-2024 FSC-klagomål.docx", "A 11238-2024")</f>
        <v/>
      </c>
      <c r="Z4">
        <f>HYPERLINK("https://klasma.github.io/Logging_0685/klagomålsmail/A 11238-2024 FSC-klagomål mail.docx", "A 11238-2024")</f>
        <v/>
      </c>
      <c r="AA4">
        <f>HYPERLINK("https://klasma.github.io/Logging_0685/tillsyn/A 11238-2024 tillsynsbegäran.docx", "A 11238-2024")</f>
        <v/>
      </c>
      <c r="AB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46217</v>
      </c>
      <c r="F5" t="inlineStr">
        <is>
          <t>JÖNKÖPINGS LÄN</t>
        </is>
      </c>
      <c r="G5" t="inlineStr">
        <is>
          <t>VETLANDA</t>
        </is>
      </c>
      <c r="I5" t="n">
        <v>1.7</v>
      </c>
      <c r="J5" t="n">
        <v>3</v>
      </c>
      <c r="K5" t="n">
        <v>1</v>
      </c>
      <c r="L5" t="n">
        <v>5</v>
      </c>
      <c r="M5" t="n">
        <v>1</v>
      </c>
      <c r="N5" t="n">
        <v>0</v>
      </c>
      <c r="O5" t="n">
        <v>0</v>
      </c>
      <c r="P5" t="n">
        <v>0</v>
      </c>
      <c r="Q5" t="n">
        <v>6</v>
      </c>
      <c r="R5" t="n">
        <v>1</v>
      </c>
      <c r="S5" t="n">
        <v>8</v>
      </c>
      <c r="T5" t="n">
        <v>15</v>
      </c>
      <c r="U5" s="2" t="inlineStr">
        <is>
          <t>Knärot
Dofttaggsvamp
Fjällig taggsvamp s.str.
Grönsångare
Orange taggsvamp
Svartvit taggsvamp
Grönpyrola
Blåsippa</t>
        </is>
      </c>
      <c r="V5">
        <f>HYPERLINK("https://klasma.github.io/Logging_0685/artfynd/A 56270-2022 artfynd.xlsx", "A 56270-2022")</f>
        <v/>
      </c>
      <c r="W5">
        <f>HYPERLINK("https://klasma.github.io/Logging_0685/kartor/A 56270-2022 karta.png", "A 56270-2022")</f>
        <v/>
      </c>
      <c r="X5">
        <f>HYPERLINK("https://klasma.github.io/Logging_0685/knärot/A 56270-2022 karta knärot.png", "A 56270-2022")</f>
        <v/>
      </c>
      <c r="Y5">
        <f>HYPERLINK("https://klasma.github.io/Logging_0685/klagomål/A 56270-2022 FSC-klagomål.docx", "A 56270-2022")</f>
        <v/>
      </c>
      <c r="Z5">
        <f>HYPERLINK("https://klasma.github.io/Logging_0685/klagomålsmail/A 56270-2022 FSC-klagomål mail.docx", "A 56270-2022")</f>
        <v/>
      </c>
      <c r="AA5">
        <f>HYPERLINK("https://klasma.github.io/Logging_0685/tillsyn/A 56270-2022 tillsynsbegäran.docx", "A 56270-2022")</f>
        <v/>
      </c>
      <c r="AB5">
        <f>HYPERLINK("https://klasma.github.io/Logging_0685/tillsynsmail/A 56270-2022 tillsynsbegäran mail.docx", "A 56270-2022")</f>
        <v/>
      </c>
      <c r="AC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46217</v>
      </c>
      <c r="F6" t="inlineStr">
        <is>
          <t>JÖNKÖPINGS LÄN</t>
        </is>
      </c>
      <c r="G6" t="inlineStr">
        <is>
          <t>VETLANDA</t>
        </is>
      </c>
      <c r="I6" t="n">
        <v>5.6</v>
      </c>
      <c r="J6" t="n">
        <v>1</v>
      </c>
      <c r="K6" t="n">
        <v>4</v>
      </c>
      <c r="L6" t="n">
        <v>3</v>
      </c>
      <c r="M6" t="n">
        <v>0</v>
      </c>
      <c r="N6" t="n">
        <v>0</v>
      </c>
      <c r="O6" t="n">
        <v>0</v>
      </c>
      <c r="P6" t="n">
        <v>0</v>
      </c>
      <c r="Q6" t="n">
        <v>3</v>
      </c>
      <c r="R6" t="n">
        <v>0</v>
      </c>
      <c r="S6" t="n">
        <v>8</v>
      </c>
      <c r="T6" t="n">
        <v>10</v>
      </c>
      <c r="U6" s="2" t="inlineStr">
        <is>
          <t>Gropticka
Gullpudra
Vårärt
Skogsbräsma
Svart trolldruva
Tibast
Vätteros
Blåsippa</t>
        </is>
      </c>
      <c r="V6">
        <f>HYPERLINK("https://klasma.github.io/Logging_0685/artfynd/A 39152-2022 artfynd.xlsx", "A 39152-2022")</f>
        <v/>
      </c>
      <c r="W6">
        <f>HYPERLINK("https://klasma.github.io/Logging_0685/kartor/A 39152-2022 karta.png", "A 39152-2022")</f>
        <v/>
      </c>
      <c r="Y6">
        <f>HYPERLINK("https://klasma.github.io/Logging_0685/klagomål/A 39152-2022 FSC-klagomål.docx", "A 39152-2022")</f>
        <v/>
      </c>
      <c r="Z6">
        <f>HYPERLINK("https://klasma.github.io/Logging_0685/klagomålsmail/A 39152-2022 FSC-klagomål mail.docx", "A 39152-2022")</f>
        <v/>
      </c>
      <c r="AA6">
        <f>HYPERLINK("https://klasma.github.io/Logging_0685/tillsyn/A 39152-2022 tillsynsbegäran.docx", "A 39152-2022")</f>
        <v/>
      </c>
      <c r="AB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46217</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HYPERLINK("https://klasma.github.io/Logging_0685/knärot/A 43195-2023 karta knärot.png", "A 43195-2023")</f>
        <v/>
      </c>
      <c r="Y7">
        <f>HYPERLINK("https://klasma.github.io/Logging_0685/klagomål/A 43195-2023 FSC-klagomål.docx", "A 43195-2023")</f>
        <v/>
      </c>
      <c r="Z7">
        <f>HYPERLINK("https://klasma.github.io/Logging_0685/klagomålsmail/A 43195-2023 FSC-klagomål mail.docx", "A 43195-2023")</f>
        <v/>
      </c>
      <c r="AA7">
        <f>HYPERLINK("https://klasma.github.io/Logging_0685/tillsyn/A 43195-2023 tillsynsbegäran.docx", "A 43195-2023")</f>
        <v/>
      </c>
      <c r="AB7">
        <f>HYPERLINK("https://klasma.github.io/Logging_0685/tillsynsmail/A 43195-2023 tillsynsbegäran mail.docx", "A 43195-2023")</f>
        <v/>
      </c>
      <c r="AC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46217</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HYPERLINK("https://klasma.github.io/Logging_0685/knärot/S 3777-2024 karta knärot.png", "S 3777-2024")</f>
        <v/>
      </c>
      <c r="Y8">
        <f>HYPERLINK("https://klasma.github.io/Logging_0685/klagomål/S 3777-2024 FSC-klagomål.docx", "S 3777-2024")</f>
        <v/>
      </c>
      <c r="Z8">
        <f>HYPERLINK("https://klasma.github.io/Logging_0685/klagomålsmail/S 3777-2024 FSC-klagomål mail.docx", "S 3777-2024")</f>
        <v/>
      </c>
      <c r="AA8">
        <f>HYPERLINK("https://klasma.github.io/Logging_0685/tillsyn/S 3777-2024 tillsynsbegäran.docx", "S 3777-2024")</f>
        <v/>
      </c>
      <c r="AB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46217</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Y9">
        <f>HYPERLINK("https://klasma.github.io/Logging_0685/klagomål/S 2861-2023 FSC-klagomål.docx", "S 2861-2023")</f>
        <v/>
      </c>
      <c r="Z9">
        <f>HYPERLINK("https://klasma.github.io/Logging_0685/klagomålsmail/S 2861-2023 FSC-klagomål mail.docx", "S 2861-2023")</f>
        <v/>
      </c>
      <c r="AA9">
        <f>HYPERLINK("https://klasma.github.io/Logging_0685/tillsyn/S 2861-2023 tillsynsbegäran.docx", "S 2861-2023")</f>
        <v/>
      </c>
      <c r="AB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46217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Y10">
        <f>HYPERLINK("https://klasma.github.io/Logging_0685/klagomål/S 871-2026 FSC-klagomål.docx", "S 871-2026")</f>
        <v/>
      </c>
      <c r="Z10">
        <f>HYPERLINK("https://klasma.github.io/Logging_0685/klagomålsmail/S 871-2026 FSC-klagomål mail.docx", "S 871-2026")</f>
        <v/>
      </c>
      <c r="AA10">
        <f>HYPERLINK("https://klasma.github.io/Logging_0685/tillsyn/S 871-2026 tillsynsbegäran.docx", "S 871-2026")</f>
        <v/>
      </c>
      <c r="AB10">
        <f>HYPERLINK("https://klasma.github.io/Logging_0685/tillsynsmail/S 871-2026 tillsynsbegäran mail.docx", "S 871-2026")</f>
        <v/>
      </c>
      <c r="AC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46217</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s="2" t="inlineStr">
        <is>
          <t>Kvällsmaskros
Dofttaggsvamp
Kryddspindling
Grönpyrola
Svavelriska
Blåsippa</t>
        </is>
      </c>
      <c r="V11">
        <f>HYPERLINK("https://klasma.github.io/Logging_0685/artfynd/A 52841-2025 artfynd.xlsx", "A 52841-2025")</f>
        <v/>
      </c>
      <c r="W11">
        <f>HYPERLINK("https://klasma.github.io/Logging_0685/kartor/A 52841-2025 karta.png", "A 52841-2025")</f>
        <v/>
      </c>
      <c r="Y11">
        <f>HYPERLINK("https://klasma.github.io/Logging_0685/klagomål/A 52841-2025 FSC-klagomål.docx", "A 52841-2025")</f>
        <v/>
      </c>
      <c r="Z11">
        <f>HYPERLINK("https://klasma.github.io/Logging_0685/klagomålsmail/A 52841-2025 FSC-klagomål mail.docx", "A 52841-2025")</f>
        <v/>
      </c>
      <c r="AA11">
        <f>HYPERLINK("https://klasma.github.io/Logging_0685/tillsyn/A 52841-2025 tillsynsbegäran.docx", "A 52841-2025")</f>
        <v/>
      </c>
      <c r="AB11">
        <f>HYPERLINK("https://klasma.github.io/Logging_0685/tillsynsmail/A 52841-2025 tillsynsbegäran mail.docx", "A 52841-2025")</f>
        <v/>
      </c>
    </row>
    <row r="12" ht="15" customHeight="1">
      <c r="A12" t="inlineStr">
        <is>
          <t>A 16801-2025</t>
        </is>
      </c>
      <c r="B12" t="inlineStr">
        <is>
          <t>avverkningsanmälan</t>
        </is>
      </c>
      <c r="C12" t="inlineStr">
        <is>
          <t>Föryngringsavverkning</t>
        </is>
      </c>
      <c r="D12" s="1" t="n">
        <v>45754</v>
      </c>
      <c r="E12" s="1" t="n">
        <v>46217</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s="2" t="inlineStr">
        <is>
          <t>Talltita
Björksplintborre
Granbarkgnagare
Mindre märgborre
Thomsons trägnagare
Vanlig groda</t>
        </is>
      </c>
      <c r="V12">
        <f>HYPERLINK("https://klasma.github.io/Logging_0685/artfynd/A 16801-2025 artfynd.xlsx", "A 16801-2025")</f>
        <v/>
      </c>
      <c r="W12">
        <f>HYPERLINK("https://klasma.github.io/Logging_0685/kartor/A 16801-2025 karta.png", "A 16801-2025")</f>
        <v/>
      </c>
      <c r="Y12">
        <f>HYPERLINK("https://klasma.github.io/Logging_0685/klagomål/A 16801-2025 FSC-klagomål.docx", "A 16801-2025")</f>
        <v/>
      </c>
      <c r="Z12">
        <f>HYPERLINK("https://klasma.github.io/Logging_0685/klagomålsmail/A 16801-2025 FSC-klagomål mail.docx", "A 16801-2025")</f>
        <v/>
      </c>
      <c r="AA12">
        <f>HYPERLINK("https://klasma.github.io/Logging_0685/tillsyn/A 16801-2025 tillsynsbegäran.docx", "A 16801-2025")</f>
        <v/>
      </c>
      <c r="AB12">
        <f>HYPERLINK("https://klasma.github.io/Logging_0685/tillsynsmail/A 16801-2025 tillsynsbegäran mail.docx", "A 16801-2025")</f>
        <v/>
      </c>
      <c r="AC12">
        <f>HYPERLINK("https://klasma.github.io/Logging_0685/fåglar/A 16801-2025 prioriterade fågelarter.docx", "A 16801-2025")</f>
        <v/>
      </c>
    </row>
    <row r="13" ht="15" customHeight="1">
      <c r="A13" t="inlineStr">
        <is>
          <t>A 33797-2024</t>
        </is>
      </c>
      <c r="B13" t="inlineStr">
        <is>
          <t>avverkningsanmälan</t>
        </is>
      </c>
      <c r="C13" t="inlineStr">
        <is>
          <t>Föryngringsavverkning</t>
        </is>
      </c>
      <c r="D13" s="1" t="n">
        <v>45520</v>
      </c>
      <c r="E13" s="1" t="n">
        <v>46217</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s="2" t="inlineStr">
        <is>
          <t>Knärot
Dropptaggsvamp
Brandticka
Stor revmossa
Västlig hakmossa
Vanlig groda</t>
        </is>
      </c>
      <c r="V13">
        <f>HYPERLINK("https://klasma.github.io/Logging_0685/artfynd/A 33797-2024 artfynd.xlsx", "A 33797-2024")</f>
        <v/>
      </c>
      <c r="W13">
        <f>HYPERLINK("https://klasma.github.io/Logging_0685/kartor/A 33797-2024 karta.png", "A 33797-2024")</f>
        <v/>
      </c>
      <c r="X13">
        <f>HYPERLINK("https://klasma.github.io/Logging_0685/knärot/A 33797-2024 karta knärot.png", "A 33797-2024")</f>
        <v/>
      </c>
      <c r="Y13">
        <f>HYPERLINK("https://klasma.github.io/Logging_0685/klagomål/A 33797-2024 FSC-klagomål.docx", "A 33797-2024")</f>
        <v/>
      </c>
      <c r="Z13">
        <f>HYPERLINK("https://klasma.github.io/Logging_0685/klagomålsmail/A 33797-2024 FSC-klagomål mail.docx", "A 33797-2024")</f>
        <v/>
      </c>
      <c r="AA13">
        <f>HYPERLINK("https://klasma.github.io/Logging_0685/tillsyn/A 33797-2024 tillsynsbegäran.docx", "A 33797-2024")</f>
        <v/>
      </c>
      <c r="AB13">
        <f>HYPERLINK("https://klasma.github.io/Logging_0685/tillsynsmail/A 33797-2024 tillsynsbegäran mail.docx", "A 33797-2024")</f>
        <v/>
      </c>
    </row>
    <row r="14" ht="15" customHeight="1">
      <c r="A14" t="inlineStr">
        <is>
          <t>A 47348-2025</t>
        </is>
      </c>
      <c r="B14" t="inlineStr">
        <is>
          <t>avverkningsanmälan</t>
        </is>
      </c>
      <c r="C14" t="inlineStr">
        <is>
          <t>Föryngringsavverkning</t>
        </is>
      </c>
      <c r="D14" s="1" t="n">
        <v>45930</v>
      </c>
      <c r="E14" s="1" t="n">
        <v>46217</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s="2" t="inlineStr">
        <is>
          <t>Slåttergubbe
Motaggsvamp
Blåmossa
Grönpyrola
Blåsippa
Spillkråka</t>
        </is>
      </c>
      <c r="V14">
        <f>HYPERLINK("https://klasma.github.io/Logging_0685/artfynd/A 47348-2025 artfynd.xlsx", "A 47348-2025")</f>
        <v/>
      </c>
      <c r="W14">
        <f>HYPERLINK("https://klasma.github.io/Logging_0685/kartor/A 47348-2025 karta.png", "A 47348-2025")</f>
        <v/>
      </c>
      <c r="Y14">
        <f>HYPERLINK("https://klasma.github.io/Logging_0685/klagomål/A 47348-2025 FSC-klagomål.docx", "A 47348-2025")</f>
        <v/>
      </c>
      <c r="Z14">
        <f>HYPERLINK("https://klasma.github.io/Logging_0685/klagomålsmail/A 47348-2025 FSC-klagomål mail.docx", "A 47348-2025")</f>
        <v/>
      </c>
      <c r="AA14">
        <f>HYPERLINK("https://klasma.github.io/Logging_0685/tillsyn/A 47348-2025 tillsynsbegäran.docx", "A 47348-2025")</f>
        <v/>
      </c>
      <c r="AB14">
        <f>HYPERLINK("https://klasma.github.io/Logging_0685/tillsynsmail/A 47348-2025 tillsynsbegäran mail.docx", "A 47348-2025")</f>
        <v/>
      </c>
      <c r="AC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46217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Y15">
        <f>HYPERLINK("https://klasma.github.io/Logging_0685/klagomål/A 40474-2023 FSC-klagomål.docx", "A 40474-2023")</f>
        <v/>
      </c>
      <c r="Z15">
        <f>HYPERLINK("https://klasma.github.io/Logging_0685/klagomålsmail/A 40474-2023 FSC-klagomål mail.docx", "A 40474-2023")</f>
        <v/>
      </c>
      <c r="AA15">
        <f>HYPERLINK("https://klasma.github.io/Logging_0685/tillsyn/A 40474-2023 tillsynsbegäran.docx", "A 40474-2023")</f>
        <v/>
      </c>
      <c r="AB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46217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HYPERLINK("https://klasma.github.io/Logging_0685/knärot/A 8452-2022 karta knärot.png", "A 8452-2022")</f>
        <v/>
      </c>
      <c r="Y16">
        <f>HYPERLINK("https://klasma.github.io/Logging_0685/klagomål/A 8452-2022 FSC-klagomål.docx", "A 8452-2022")</f>
        <v/>
      </c>
      <c r="Z16">
        <f>HYPERLINK("https://klasma.github.io/Logging_0685/klagomålsmail/A 8452-2022 FSC-klagomål mail.docx", "A 8452-2022")</f>
        <v/>
      </c>
      <c r="AA16">
        <f>HYPERLINK("https://klasma.github.io/Logging_0685/tillsyn/A 8452-2022 tillsynsbegäran.docx", "A 8452-2022")</f>
        <v/>
      </c>
      <c r="AB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46217</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s="2" t="inlineStr">
        <is>
          <t>Bronshjon
Granbarkgnagare
Gulnål
Vågbandad barkbock</t>
        </is>
      </c>
      <c r="V17">
        <f>HYPERLINK("https://klasma.github.io/Logging_0685/artfynd/A 61805-2025 artfynd.xlsx", "A 61805-2025")</f>
        <v/>
      </c>
      <c r="W17">
        <f>HYPERLINK("https://klasma.github.io/Logging_0685/kartor/A 61805-2025 karta.png", "A 61805-2025")</f>
        <v/>
      </c>
      <c r="Y17">
        <f>HYPERLINK("https://klasma.github.io/Logging_0685/klagomål/A 61805-2025 FSC-klagomål.docx", "A 61805-2025")</f>
        <v/>
      </c>
      <c r="Z17">
        <f>HYPERLINK("https://klasma.github.io/Logging_0685/klagomålsmail/A 61805-2025 FSC-klagomål mail.docx", "A 61805-2025")</f>
        <v/>
      </c>
      <c r="AA17">
        <f>HYPERLINK("https://klasma.github.io/Logging_0685/tillsyn/A 61805-2025 tillsynsbegäran.docx", "A 61805-2025")</f>
        <v/>
      </c>
      <c r="AB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46217</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s="2" t="inlineStr">
        <is>
          <t>Knärot
Orange taggsvamp
Björksplintborre
Blåsippa</t>
        </is>
      </c>
      <c r="V18">
        <f>HYPERLINK("https://klasma.github.io/Logging_0685/artfynd/A 14360-2026 artfynd.xlsx", "A 14360-2026")</f>
        <v/>
      </c>
      <c r="W18">
        <f>HYPERLINK("https://klasma.github.io/Logging_0685/kartor/A 14360-2026 karta.png", "A 14360-2026")</f>
        <v/>
      </c>
      <c r="X18">
        <f>HYPERLINK("https://klasma.github.io/Logging_0685/knärot/A 14360-2026 karta knärot.png", "A 14360-2026")</f>
        <v/>
      </c>
      <c r="Y18">
        <f>HYPERLINK("https://klasma.github.io/Logging_0685/klagomål/A 14360-2026 FSC-klagomål.docx", "A 14360-2026")</f>
        <v/>
      </c>
      <c r="Z18">
        <f>HYPERLINK("https://klasma.github.io/Logging_0685/klagomålsmail/A 14360-2026 FSC-klagomål mail.docx", "A 14360-2026")</f>
        <v/>
      </c>
      <c r="AA18">
        <f>HYPERLINK("https://klasma.github.io/Logging_0685/tillsyn/A 14360-2026 tillsynsbegäran.docx", "A 14360-2026")</f>
        <v/>
      </c>
      <c r="AB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46217</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s="2" t="inlineStr">
        <is>
          <t>Dropptaggsvamp
Fjällig taggsvamp s.str.
Kryddspindling
Blåsippa</t>
        </is>
      </c>
      <c r="V19">
        <f>HYPERLINK("https://klasma.github.io/Logging_0685/artfynd/A 44697-2022 artfynd.xlsx", "A 44697-2022")</f>
        <v/>
      </c>
      <c r="W19">
        <f>HYPERLINK("https://klasma.github.io/Logging_0685/kartor/A 44697-2022 karta.png", "A 44697-2022")</f>
        <v/>
      </c>
      <c r="Y19">
        <f>HYPERLINK("https://klasma.github.io/Logging_0685/klagomål/A 44697-2022 FSC-klagomål.docx", "A 44697-2022")</f>
        <v/>
      </c>
      <c r="Z19">
        <f>HYPERLINK("https://klasma.github.io/Logging_0685/klagomålsmail/A 44697-2022 FSC-klagomål mail.docx", "A 44697-2022")</f>
        <v/>
      </c>
      <c r="AA19">
        <f>HYPERLINK("https://klasma.github.io/Logging_0685/tillsyn/A 44697-2022 tillsynsbegäran.docx", "A 44697-2022")</f>
        <v/>
      </c>
      <c r="AB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46217</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s="2" t="inlineStr">
        <is>
          <t>Citronfingersvamp
Knärot
Blomkålssvamp
Grönpyrola</t>
        </is>
      </c>
      <c r="V20">
        <f>HYPERLINK("https://klasma.github.io/Logging_0685/artfynd/A 47577-2023 artfynd.xlsx", "A 47577-2023")</f>
        <v/>
      </c>
      <c r="W20">
        <f>HYPERLINK("https://klasma.github.io/Logging_0685/kartor/A 47577-2023 karta.png", "A 47577-2023")</f>
        <v/>
      </c>
      <c r="X20">
        <f>HYPERLINK("https://klasma.github.io/Logging_0685/knärot/A 47577-2023 karta knärot.png", "A 47577-2023")</f>
        <v/>
      </c>
      <c r="Y20">
        <f>HYPERLINK("https://klasma.github.io/Logging_0685/klagomål/A 47577-2023 FSC-klagomål.docx", "A 47577-2023")</f>
        <v/>
      </c>
      <c r="Z20">
        <f>HYPERLINK("https://klasma.github.io/Logging_0685/klagomålsmail/A 47577-2023 FSC-klagomål mail.docx", "A 47577-2023")</f>
        <v/>
      </c>
      <c r="AA20">
        <f>HYPERLINK("https://klasma.github.io/Logging_0685/tillsyn/A 47577-2023 tillsynsbegäran.docx", "A 47577-2023")</f>
        <v/>
      </c>
      <c r="AB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46217</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s="2" t="inlineStr">
        <is>
          <t>Björktrast
Huskvarnafibbla
Röd glada
Revlummer</t>
        </is>
      </c>
      <c r="V21">
        <f>HYPERLINK("https://klasma.github.io/Logging_0685/artfynd/S 1816-2025 artfynd.xlsx", "S 1816-2025")</f>
        <v/>
      </c>
      <c r="W21">
        <f>HYPERLINK("https://klasma.github.io/Logging_0685/kartor/S 1816-2025 karta.png", "S 1816-2025")</f>
        <v/>
      </c>
      <c r="Y21">
        <f>HYPERLINK("https://klasma.github.io/Logging_0685/klagomål/S 1816-2025 FSC-klagomål.docx", "S 1816-2025")</f>
        <v/>
      </c>
      <c r="Z21">
        <f>HYPERLINK("https://klasma.github.io/Logging_0685/klagomålsmail/S 1816-2025 FSC-klagomål mail.docx", "S 1816-2025")</f>
        <v/>
      </c>
      <c r="AA21">
        <f>HYPERLINK("https://klasma.github.io/Logging_0685/tillsyn/S 1816-2025 tillsynsbegäran.docx", "S 1816-2025")</f>
        <v/>
      </c>
      <c r="AB21">
        <f>HYPERLINK("https://klasma.github.io/Logging_0685/tillsynsmail/S 1816-2025 tillsynsbegäran mail.docx", "S 1816-2025")</f>
        <v/>
      </c>
      <c r="AC21">
        <f>HYPERLINK("https://klasma.github.io/Logging_0685/fåglar/S 1816-2025 prioriterade fågelarter.docx", "S 1816-2025")</f>
        <v/>
      </c>
    </row>
    <row r="22" ht="15" customHeight="1">
      <c r="A22" t="inlineStr">
        <is>
          <t>S 1725-2026</t>
        </is>
      </c>
      <c r="B22" t="inlineStr">
        <is>
          <t>samrådsanmälan</t>
        </is>
      </c>
      <c r="C22" t="inlineStr">
        <is>
          <t>Annan skogsbruksåtgärd</t>
        </is>
      </c>
      <c r="D22" s="1" t="n">
        <v>46188</v>
      </c>
      <c r="E22" s="1" t="n">
        <v>46217</v>
      </c>
      <c r="F22" t="inlineStr">
        <is>
          <t>JÖNKÖPINGS LÄN</t>
        </is>
      </c>
      <c r="G22" t="inlineStr">
        <is>
          <t>VETLANDA</t>
        </is>
      </c>
      <c r="I22" t="n">
        <v>1.9</v>
      </c>
      <c r="J22" t="n">
        <v>1</v>
      </c>
      <c r="K22" t="n">
        <v>2</v>
      </c>
      <c r="L22" t="n">
        <v>1</v>
      </c>
      <c r="M22" t="n">
        <v>0</v>
      </c>
      <c r="N22" t="n">
        <v>0</v>
      </c>
      <c r="O22" t="n">
        <v>0</v>
      </c>
      <c r="P22" t="n">
        <v>0</v>
      </c>
      <c r="Q22" t="n">
        <v>1</v>
      </c>
      <c r="R22" t="n">
        <v>0</v>
      </c>
      <c r="S22" t="n">
        <v>4</v>
      </c>
      <c r="T22" t="n">
        <v>7</v>
      </c>
      <c r="U22" s="2" t="inlineStr">
        <is>
          <t>Lunglav
Fällmossa
Sotlav
Blåsippa</t>
        </is>
      </c>
      <c r="V22">
        <f>HYPERLINK("https://klasma.github.io/Logging_0685/artfynd/S 1725-2026 artfynd.xlsx", "S 1725-2026")</f>
        <v/>
      </c>
      <c r="W22">
        <f>HYPERLINK("https://klasma.github.io/Logging_0685/kartor/S 1725-2026 karta.png", "S 1725-2026")</f>
        <v/>
      </c>
      <c r="Y22">
        <f>HYPERLINK("https://klasma.github.io/Logging_0685/klagomål/S 1725-2026 FSC-klagomål.docx", "S 1725-2026")</f>
        <v/>
      </c>
      <c r="Z22">
        <f>HYPERLINK("https://klasma.github.io/Logging_0685/klagomålsmail/S 1725-2026 FSC-klagomål mail.docx", "S 1725-2026")</f>
        <v/>
      </c>
      <c r="AA22">
        <f>HYPERLINK("https://klasma.github.io/Logging_0685/tillsyn/S 1725-2026 tillsynsbegäran.docx", "S 1725-2026")</f>
        <v/>
      </c>
      <c r="AB22">
        <f>HYPERLINK("https://klasma.github.io/Logging_0685/tillsynsmail/S 1725-2026 tillsynsbegäran mail.docx", "S 1725-2026")</f>
        <v/>
      </c>
    </row>
    <row r="23" ht="15" customHeight="1">
      <c r="A23" t="inlineStr">
        <is>
          <t>S 1481-2026</t>
        </is>
      </c>
      <c r="B23" t="inlineStr">
        <is>
          <t>samrådsanmälan</t>
        </is>
      </c>
      <c r="C23" t="inlineStr">
        <is>
          <t>Annan skogsbruksåtgärd</t>
        </is>
      </c>
      <c r="D23" s="1" t="n">
        <v>46163</v>
      </c>
      <c r="E23" s="1" t="n">
        <v>46217</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s="2" t="inlineStr">
        <is>
          <t>Knärot
Brunpudrad nållav
Grönpyrola
Vedticka</t>
        </is>
      </c>
      <c r="V23">
        <f>HYPERLINK("https://klasma.github.io/Logging_0685/artfynd/S 1481-2026 artfynd.xlsx", "S 1481-2026")</f>
        <v/>
      </c>
      <c r="W23">
        <f>HYPERLINK("https://klasma.github.io/Logging_0685/kartor/S 1481-2026 karta.png", "S 1481-2026")</f>
        <v/>
      </c>
      <c r="X23">
        <f>HYPERLINK("https://klasma.github.io/Logging_0685/knärot/S 1481-2026 karta knärot.png", "S 1481-2026")</f>
        <v/>
      </c>
      <c r="Y23">
        <f>HYPERLINK("https://klasma.github.io/Logging_0685/klagomål/S 1481-2026 FSC-klagomål.docx", "S 1481-2026")</f>
        <v/>
      </c>
      <c r="Z23">
        <f>HYPERLINK("https://klasma.github.io/Logging_0685/klagomålsmail/S 1481-2026 FSC-klagomål mail.docx", "S 1481-2026")</f>
        <v/>
      </c>
      <c r="AA23">
        <f>HYPERLINK("https://klasma.github.io/Logging_0685/tillsyn/S 1481-2026 tillsynsbegäran.docx", "S 1481-2026")</f>
        <v/>
      </c>
      <c r="AB23">
        <f>HYPERLINK("https://klasma.github.io/Logging_0685/tillsynsmail/S 1481-2026 tillsynsbegäran mail.docx", "S 1481-2026")</f>
        <v/>
      </c>
    </row>
    <row r="24" ht="15" customHeight="1">
      <c r="A24" t="inlineStr">
        <is>
          <t>A 72401-2021</t>
        </is>
      </c>
      <c r="B24" t="inlineStr">
        <is>
          <t>avverkningsanmälan</t>
        </is>
      </c>
      <c r="C24" t="inlineStr">
        <is>
          <t>Föryngringsavverkning</t>
        </is>
      </c>
      <c r="D24" s="1" t="n">
        <v>44545</v>
      </c>
      <c r="E24" s="1" t="n">
        <v>46217</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s="2" t="inlineStr">
        <is>
          <t>Brunlångöra
Nordfladdermus
Större brunfladdermus</t>
        </is>
      </c>
      <c r="V24">
        <f>HYPERLINK("https://klasma.github.io/Logging_0685/artfynd/A 72401-2021 artfynd.xlsx", "A 72401-2021")</f>
        <v/>
      </c>
      <c r="W24">
        <f>HYPERLINK("https://klasma.github.io/Logging_0685/kartor/A 72401-2021 karta.png", "A 72401-2021")</f>
        <v/>
      </c>
      <c r="Y24">
        <f>HYPERLINK("https://klasma.github.io/Logging_0685/klagomål/A 72401-2021 FSC-klagomål.docx", "A 72401-2021")</f>
        <v/>
      </c>
      <c r="Z24">
        <f>HYPERLINK("https://klasma.github.io/Logging_0685/klagomålsmail/A 72401-2021 FSC-klagomål mail.docx", "A 72401-2021")</f>
        <v/>
      </c>
      <c r="AA24">
        <f>HYPERLINK("https://klasma.github.io/Logging_0685/tillsyn/A 72401-2021 tillsynsbegäran.docx", "A 72401-2021")</f>
        <v/>
      </c>
      <c r="AB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46217</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s="2" t="inlineStr">
        <is>
          <t>Jungfrulin
Fläcknycklar
Grönvit nattviol</t>
        </is>
      </c>
      <c r="V25">
        <f>HYPERLINK("https://klasma.github.io/Logging_0685/artfynd/A 95-2022 artfynd.xlsx", "A 95-2022")</f>
        <v/>
      </c>
      <c r="W25">
        <f>HYPERLINK("https://klasma.github.io/Logging_0685/kartor/A 95-2022 karta.png", "A 95-2022")</f>
        <v/>
      </c>
      <c r="Y25">
        <f>HYPERLINK("https://klasma.github.io/Logging_0685/klagomål/A 95-2022 FSC-klagomål.docx", "A 95-2022")</f>
        <v/>
      </c>
      <c r="Z25">
        <f>HYPERLINK("https://klasma.github.io/Logging_0685/klagomålsmail/A 95-2022 FSC-klagomål mail.docx", "A 95-2022")</f>
        <v/>
      </c>
      <c r="AA25">
        <f>HYPERLINK("https://klasma.github.io/Logging_0685/tillsyn/A 95-2022 tillsynsbegäran.docx", "A 95-2022")</f>
        <v/>
      </c>
      <c r="AB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46217</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s="2" t="inlineStr">
        <is>
          <t>Växeltandsfibbla
Spretfibbla
Svinrot</t>
        </is>
      </c>
      <c r="V26">
        <f>HYPERLINK("https://klasma.github.io/Logging_0685/artfynd/A 18510-2025 artfynd.xlsx", "A 18510-2025")</f>
        <v/>
      </c>
      <c r="W26">
        <f>HYPERLINK("https://klasma.github.io/Logging_0685/kartor/A 18510-2025 karta.png", "A 18510-2025")</f>
        <v/>
      </c>
      <c r="Y26">
        <f>HYPERLINK("https://klasma.github.io/Logging_0685/klagomål/A 18510-2025 FSC-klagomål.docx", "A 18510-2025")</f>
        <v/>
      </c>
      <c r="Z26">
        <f>HYPERLINK("https://klasma.github.io/Logging_0685/klagomålsmail/A 18510-2025 FSC-klagomål mail.docx", "A 18510-2025")</f>
        <v/>
      </c>
      <c r="AA26">
        <f>HYPERLINK("https://klasma.github.io/Logging_0685/tillsyn/A 18510-2025 tillsynsbegäran.docx", "A 18510-2025")</f>
        <v/>
      </c>
      <c r="AB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46217</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s="2" t="inlineStr">
        <is>
          <t>Dropptaggsvamp
Talltita
Spillkråka</t>
        </is>
      </c>
      <c r="V27">
        <f>HYPERLINK("https://klasma.github.io/Logging_0685/artfynd/A 28300-2024 artfynd.xlsx", "A 28300-2024")</f>
        <v/>
      </c>
      <c r="W27">
        <f>HYPERLINK("https://klasma.github.io/Logging_0685/kartor/A 28300-2024 karta.png", "A 28300-2024")</f>
        <v/>
      </c>
      <c r="Y27">
        <f>HYPERLINK("https://klasma.github.io/Logging_0685/klagomål/A 28300-2024 FSC-klagomål.docx", "A 28300-2024")</f>
        <v/>
      </c>
      <c r="Z27">
        <f>HYPERLINK("https://klasma.github.io/Logging_0685/klagomålsmail/A 28300-2024 FSC-klagomål mail.docx", "A 28300-2024")</f>
        <v/>
      </c>
      <c r="AA27">
        <f>HYPERLINK("https://klasma.github.io/Logging_0685/tillsyn/A 28300-2024 tillsynsbegäran.docx", "A 28300-2024")</f>
        <v/>
      </c>
      <c r="AB27">
        <f>HYPERLINK("https://klasma.github.io/Logging_0685/tillsynsmail/A 28300-2024 tillsynsbegäran mail.docx", "A 28300-2024")</f>
        <v/>
      </c>
      <c r="AC27">
        <f>HYPERLINK("https://klasma.github.io/Logging_0685/fåglar/A 28300-2024 prioriterade fågelarter.docx", "A 28300-2024")</f>
        <v/>
      </c>
    </row>
    <row r="28" ht="15" customHeight="1">
      <c r="A28" t="inlineStr">
        <is>
          <t>A 19201-2023</t>
        </is>
      </c>
      <c r="B28" t="inlineStr">
        <is>
          <t>avverkningsanmälan</t>
        </is>
      </c>
      <c r="C28" t="inlineStr">
        <is>
          <t>Föryngringsavverkning</t>
        </is>
      </c>
      <c r="D28" s="1" t="n">
        <v>45048</v>
      </c>
      <c r="E28" s="1" t="n">
        <v>46217</v>
      </c>
      <c r="F28" t="inlineStr">
        <is>
          <t>JÖNKÖPINGS LÄN</t>
        </is>
      </c>
      <c r="G28" t="inlineStr">
        <is>
          <t>VETLANDA</t>
        </is>
      </c>
      <c r="I28" t="n">
        <v>4.6</v>
      </c>
      <c r="J28" t="n">
        <v>2</v>
      </c>
      <c r="K28" t="n">
        <v>0</v>
      </c>
      <c r="L28" t="n">
        <v>1</v>
      </c>
      <c r="M28" t="n">
        <v>1</v>
      </c>
      <c r="N28" t="n">
        <v>0</v>
      </c>
      <c r="O28" t="n">
        <v>0</v>
      </c>
      <c r="P28" t="n">
        <v>0</v>
      </c>
      <c r="Q28" t="n">
        <v>2</v>
      </c>
      <c r="R28" t="n">
        <v>1</v>
      </c>
      <c r="S28" t="n">
        <v>3</v>
      </c>
      <c r="T28" t="n">
        <v>3</v>
      </c>
      <c r="U28" s="2" t="inlineStr">
        <is>
          <t>Backsippa
Kryddspindling
Utter</t>
        </is>
      </c>
      <c r="V28">
        <f>HYPERLINK("https://klasma.github.io/Logging_0685/artfynd/A 19201-2023 artfynd.xlsx", "A 19201-2023")</f>
        <v/>
      </c>
      <c r="W28">
        <f>HYPERLINK("https://klasma.github.io/Logging_0685/kartor/A 19201-2023 karta.png", "A 19201-2023")</f>
        <v/>
      </c>
      <c r="Y28">
        <f>HYPERLINK("https://klasma.github.io/Logging_0685/klagomål/A 19201-2023 FSC-klagomål.docx", "A 19201-2023")</f>
        <v/>
      </c>
      <c r="Z28">
        <f>HYPERLINK("https://klasma.github.io/Logging_0685/klagomålsmail/A 19201-2023 FSC-klagomål mail.docx", "A 19201-2023")</f>
        <v/>
      </c>
      <c r="AA28">
        <f>HYPERLINK("https://klasma.github.io/Logging_0685/tillsyn/A 19201-2023 tillsynsbegäran.docx", "A 19201-2023")</f>
        <v/>
      </c>
      <c r="AB28">
        <f>HYPERLINK("https://klasma.github.io/Logging_0685/tillsynsmail/A 19201-2023 tillsynsbegäran mail.docx", "A 19201-2023")</f>
        <v/>
      </c>
    </row>
    <row r="29" ht="15" customHeight="1">
      <c r="A29" t="inlineStr">
        <is>
          <t>A 39819-2022</t>
        </is>
      </c>
      <c r="B29" t="inlineStr">
        <is>
          <t>avverkningsanmälan</t>
        </is>
      </c>
      <c r="C29" t="inlineStr">
        <is>
          <t>Föryngringsavverkning</t>
        </is>
      </c>
      <c r="D29" s="1" t="n">
        <v>44819</v>
      </c>
      <c r="E29" s="1" t="n">
        <v>46217</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s="2" t="inlineStr">
        <is>
          <t>Slåttergubbe
Slåtterfibbla
Trådkällmossa</t>
        </is>
      </c>
      <c r="V29">
        <f>HYPERLINK("https://klasma.github.io/Logging_0685/artfynd/A 39819-2022 artfynd.xlsx", "A 39819-2022")</f>
        <v/>
      </c>
      <c r="W29">
        <f>HYPERLINK("https://klasma.github.io/Logging_0685/kartor/A 39819-2022 karta.png", "A 39819-2022")</f>
        <v/>
      </c>
      <c r="Y29">
        <f>HYPERLINK("https://klasma.github.io/Logging_0685/klagomål/A 39819-2022 FSC-klagomål.docx", "A 39819-2022")</f>
        <v/>
      </c>
      <c r="Z29">
        <f>HYPERLINK("https://klasma.github.io/Logging_0685/klagomålsmail/A 39819-2022 FSC-klagomål mail.docx", "A 39819-2022")</f>
        <v/>
      </c>
      <c r="AA29">
        <f>HYPERLINK("https://klasma.github.io/Logging_0685/tillsyn/A 39819-2022 tillsynsbegäran.docx", "A 39819-2022")</f>
        <v/>
      </c>
      <c r="AB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46217</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s="2" t="inlineStr">
        <is>
          <t>Blåsippa
Lopplummer (aggregat)
Revlummer</t>
        </is>
      </c>
      <c r="V30">
        <f>HYPERLINK("https://klasma.github.io/Logging_0685/artfynd/A 4502-2026 artfynd.xlsx", "A 4502-2026")</f>
        <v/>
      </c>
      <c r="W30">
        <f>HYPERLINK("https://klasma.github.io/Logging_0685/kartor/A 4502-2026 karta.png", "A 4502-2026")</f>
        <v/>
      </c>
      <c r="Y30">
        <f>HYPERLINK("https://klasma.github.io/Logging_0685/klagomål/A 4502-2026 FSC-klagomål.docx", "A 4502-2026")</f>
        <v/>
      </c>
      <c r="Z30">
        <f>HYPERLINK("https://klasma.github.io/Logging_0685/klagomålsmail/A 4502-2026 FSC-klagomål mail.docx", "A 4502-2026")</f>
        <v/>
      </c>
      <c r="AA30">
        <f>HYPERLINK("https://klasma.github.io/Logging_0685/tillsyn/A 4502-2026 tillsynsbegäran.docx", "A 4502-2026")</f>
        <v/>
      </c>
      <c r="AB30">
        <f>HYPERLINK("https://klasma.github.io/Logging_0685/tillsynsmail/A 4502-2026 tillsynsbegäran mail.docx", "A 4502-2026")</f>
        <v/>
      </c>
    </row>
    <row r="31" ht="15" customHeight="1">
      <c r="A31" t="inlineStr">
        <is>
          <t>A 27725-2025</t>
        </is>
      </c>
      <c r="B31" t="inlineStr">
        <is>
          <t>avverkningsanmälan</t>
        </is>
      </c>
      <c r="C31" t="inlineStr">
        <is>
          <t>Föryngringsavverkning</t>
        </is>
      </c>
      <c r="D31" s="1" t="n">
        <v>45814</v>
      </c>
      <c r="E31" s="1" t="n">
        <v>46217</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s="2" t="inlineStr">
        <is>
          <t>Ask
Solvända
Sommarfibbla</t>
        </is>
      </c>
      <c r="V31">
        <f>HYPERLINK("https://klasma.github.io/Logging_0685/artfynd/A 27725-2025 artfynd.xlsx", "A 27725-2025")</f>
        <v/>
      </c>
      <c r="W31">
        <f>HYPERLINK("https://klasma.github.io/Logging_0685/kartor/A 27725-2025 karta.png", "A 27725-2025")</f>
        <v/>
      </c>
      <c r="Y31">
        <f>HYPERLINK("https://klasma.github.io/Logging_0685/klagomål/A 27725-2025 FSC-klagomål.docx", "A 27725-2025")</f>
        <v/>
      </c>
      <c r="Z31">
        <f>HYPERLINK("https://klasma.github.io/Logging_0685/klagomålsmail/A 27725-2025 FSC-klagomål mail.docx", "A 27725-2025")</f>
        <v/>
      </c>
      <c r="AA31">
        <f>HYPERLINK("https://klasma.github.io/Logging_0685/tillsyn/A 27725-2025 tillsynsbegäran.docx", "A 27725-2025")</f>
        <v/>
      </c>
      <c r="AB31">
        <f>HYPERLINK("https://klasma.github.io/Logging_0685/tillsynsmail/A 27725-2025 tillsynsbegäran mail.docx", "A 27725-2025")</f>
        <v/>
      </c>
    </row>
    <row r="32" ht="15" customHeight="1">
      <c r="A32" t="inlineStr">
        <is>
          <t>A 46781-2024</t>
        </is>
      </c>
      <c r="B32" t="inlineStr">
        <is>
          <t>avverkningsanmälan</t>
        </is>
      </c>
      <c r="C32" t="inlineStr">
        <is>
          <t>Avverkning för annat ändamål</t>
        </is>
      </c>
      <c r="D32" s="1" t="n">
        <v>45583</v>
      </c>
      <c r="E32" s="1" t="n">
        <v>46217</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s="2" t="inlineStr">
        <is>
          <t>Ask
Nordfladdermus
Vattenfladdermus</t>
        </is>
      </c>
      <c r="V32">
        <f>HYPERLINK("https://klasma.github.io/Logging_0685/artfynd/A 46781-2024 artfynd.xlsx", "A 46781-2024")</f>
        <v/>
      </c>
      <c r="W32">
        <f>HYPERLINK("https://klasma.github.io/Logging_0685/kartor/A 46781-2024 karta.png", "A 46781-2024")</f>
        <v/>
      </c>
      <c r="Y32">
        <f>HYPERLINK("https://klasma.github.io/Logging_0685/klagomål/A 46781-2024 FSC-klagomål.docx", "A 46781-2024")</f>
        <v/>
      </c>
      <c r="Z32">
        <f>HYPERLINK("https://klasma.github.io/Logging_0685/klagomålsmail/A 46781-2024 FSC-klagomål mail.docx", "A 46781-2024")</f>
        <v/>
      </c>
      <c r="AA32">
        <f>HYPERLINK("https://klasma.github.io/Logging_0685/tillsyn/A 46781-2024 tillsynsbegäran.docx", "A 46781-2024")</f>
        <v/>
      </c>
      <c r="AB32">
        <f>HYPERLINK("https://klasma.github.io/Logging_0685/tillsynsmail/A 46781-2024 tillsynsbegäran mail.docx", "A 46781-2024")</f>
        <v/>
      </c>
    </row>
    <row r="33" ht="15" customHeight="1">
      <c r="A33" t="inlineStr">
        <is>
          <t>A 50033-2024</t>
        </is>
      </c>
      <c r="B33" t="inlineStr">
        <is>
          <t>avverkningsanmälan</t>
        </is>
      </c>
      <c r="C33" t="inlineStr">
        <is>
          <t>Avverkning för annat ändamål</t>
        </is>
      </c>
      <c r="D33" s="1" t="n">
        <v>45599</v>
      </c>
      <c r="E33" s="1" t="n">
        <v>46217</v>
      </c>
      <c r="F33" t="inlineStr">
        <is>
          <t>JÖNKÖPINGS LÄN</t>
        </is>
      </c>
      <c r="G33" t="inlineStr">
        <is>
          <t>VETLANDA</t>
        </is>
      </c>
      <c r="I33" t="n">
        <v>2.6</v>
      </c>
      <c r="J33" t="n">
        <v>0</v>
      </c>
      <c r="K33" t="n">
        <v>0</v>
      </c>
      <c r="L33" t="n">
        <v>1</v>
      </c>
      <c r="M33" t="n">
        <v>0</v>
      </c>
      <c r="N33" t="n">
        <v>2</v>
      </c>
      <c r="O33" t="n">
        <v>0</v>
      </c>
      <c r="P33" t="n">
        <v>0</v>
      </c>
      <c r="Q33" t="n">
        <v>3</v>
      </c>
      <c r="R33" t="n">
        <v>2</v>
      </c>
      <c r="S33" t="n">
        <v>3</v>
      </c>
      <c r="T33" t="n">
        <v>8</v>
      </c>
      <c r="U33" s="2" t="inlineStr">
        <is>
          <t>Ask
Skogsalm
Svinrot</t>
        </is>
      </c>
      <c r="V33">
        <f>HYPERLINK("https://klasma.github.io/Logging_0685/artfynd/A 50033-2024 artfynd.xlsx", "A 50033-2024")</f>
        <v/>
      </c>
      <c r="W33">
        <f>HYPERLINK("https://klasma.github.io/Logging_0685/kartor/A 50033-2024 karta.png", "A 50033-2024")</f>
        <v/>
      </c>
      <c r="Y33">
        <f>HYPERLINK("https://klasma.github.io/Logging_0685/klagomål/A 50033-2024 FSC-klagomål.docx", "A 50033-2024")</f>
        <v/>
      </c>
      <c r="Z33">
        <f>HYPERLINK("https://klasma.github.io/Logging_0685/klagomålsmail/A 50033-2024 FSC-klagomål mail.docx", "A 50033-2024")</f>
        <v/>
      </c>
      <c r="AA33">
        <f>HYPERLINK("https://klasma.github.io/Logging_0685/tillsyn/A 50033-2024 tillsynsbegäran.docx", "A 50033-2024")</f>
        <v/>
      </c>
      <c r="AB33">
        <f>HYPERLINK("https://klasma.github.io/Logging_0685/tillsynsmail/A 50033-2024 tillsynsbegäran mail.docx", "A 50033-2024")</f>
        <v/>
      </c>
    </row>
    <row r="34" ht="15" customHeight="1">
      <c r="A34" t="inlineStr">
        <is>
          <t>S 5147-2024</t>
        </is>
      </c>
      <c r="B34" t="inlineStr">
        <is>
          <t>samrådsanmälan</t>
        </is>
      </c>
      <c r="C34" t="inlineStr">
        <is>
          <t>Askåterföring</t>
        </is>
      </c>
      <c r="D34" s="1" t="n">
        <v>45646</v>
      </c>
      <c r="E34" s="1" t="n">
        <v>46217</v>
      </c>
      <c r="F34" t="inlineStr">
        <is>
          <t>JÖNKÖPINGS LÄN</t>
        </is>
      </c>
      <c r="G34" t="inlineStr">
        <is>
          <t>VETLANDA</t>
        </is>
      </c>
      <c r="I34" t="n">
        <v>8.9</v>
      </c>
      <c r="J34" t="n">
        <v>0</v>
      </c>
      <c r="K34" t="n">
        <v>0</v>
      </c>
      <c r="L34" t="n">
        <v>2</v>
      </c>
      <c r="M34" t="n">
        <v>1</v>
      </c>
      <c r="N34" t="n">
        <v>0</v>
      </c>
      <c r="O34" t="n">
        <v>0</v>
      </c>
      <c r="P34" t="n">
        <v>0</v>
      </c>
      <c r="Q34" t="n">
        <v>3</v>
      </c>
      <c r="R34" t="n">
        <v>1</v>
      </c>
      <c r="S34" t="n">
        <v>3</v>
      </c>
      <c r="T34" t="n">
        <v>4</v>
      </c>
      <c r="U34" s="2" t="inlineStr">
        <is>
          <t>Slåttergubbe
Jungfrulin
Sommarfibbla</t>
        </is>
      </c>
      <c r="V34">
        <f>HYPERLINK("https://klasma.github.io/Logging_0685/artfynd/S 5147-2024 artfynd.xlsx", "S 5147-2024")</f>
        <v/>
      </c>
      <c r="W34">
        <f>HYPERLINK("https://klasma.github.io/Logging_0685/kartor/S 5147-2024 karta.png", "S 5147-2024")</f>
        <v/>
      </c>
      <c r="Y34">
        <f>HYPERLINK("https://klasma.github.io/Logging_0685/klagomål/S 5147-2024 FSC-klagomål.docx", "S 5147-2024")</f>
        <v/>
      </c>
      <c r="Z34">
        <f>HYPERLINK("https://klasma.github.io/Logging_0685/klagomålsmail/S 5147-2024 FSC-klagomål mail.docx", "S 5147-2024")</f>
        <v/>
      </c>
      <c r="AA34">
        <f>HYPERLINK("https://klasma.github.io/Logging_0685/tillsyn/S 5147-2024 tillsynsbegäran.docx", "S 5147-2024")</f>
        <v/>
      </c>
      <c r="AB34">
        <f>HYPERLINK("https://klasma.github.io/Logging_0685/tillsynsmail/S 5147-2024 tillsynsbegäran mail.docx", "S 5147-2024")</f>
        <v/>
      </c>
    </row>
    <row r="35" ht="15" customHeight="1">
      <c r="A35" t="inlineStr">
        <is>
          <t>S 2477-2023</t>
        </is>
      </c>
      <c r="B35" t="inlineStr">
        <is>
          <t>samrådsanmälan</t>
        </is>
      </c>
      <c r="C35" t="inlineStr">
        <is>
          <t>Askåterföring</t>
        </is>
      </c>
      <c r="D35" s="1" t="n">
        <v>45131</v>
      </c>
      <c r="E35" s="1" t="n">
        <v>46217</v>
      </c>
      <c r="F35" t="inlineStr">
        <is>
          <t>JÖNKÖPINGS LÄN</t>
        </is>
      </c>
      <c r="G35" t="inlineStr">
        <is>
          <t>VETLANDA</t>
        </is>
      </c>
      <c r="H35" t="inlineStr">
        <is>
          <t>Kyrkan</t>
        </is>
      </c>
      <c r="I35" t="n">
        <v>34.2</v>
      </c>
      <c r="J35" t="n">
        <v>1</v>
      </c>
      <c r="K35" t="n">
        <v>0</v>
      </c>
      <c r="L35" t="n">
        <v>2</v>
      </c>
      <c r="M35" t="n">
        <v>0</v>
      </c>
      <c r="N35" t="n">
        <v>0</v>
      </c>
      <c r="O35" t="n">
        <v>0</v>
      </c>
      <c r="P35" t="n">
        <v>0</v>
      </c>
      <c r="Q35" t="n">
        <v>2</v>
      </c>
      <c r="R35" t="n">
        <v>0</v>
      </c>
      <c r="S35" t="n">
        <v>3</v>
      </c>
      <c r="T35" t="n">
        <v>3</v>
      </c>
      <c r="U35" s="2" t="inlineStr">
        <is>
          <t>Gullklöver
Mindre tåtelsmygare
Kopparödla</t>
        </is>
      </c>
      <c r="V35">
        <f>HYPERLINK("https://klasma.github.io/Logging_0685/artfynd/S 2477-2023 artfynd.xlsx", "S 2477-2023")</f>
        <v/>
      </c>
      <c r="W35">
        <f>HYPERLINK("https://klasma.github.io/Logging_0685/kartor/S 2477-2023 karta.png", "S 2477-2023")</f>
        <v/>
      </c>
      <c r="Y35">
        <f>HYPERLINK("https://klasma.github.io/Logging_0685/klagomål/S 2477-2023 FSC-klagomål.docx", "S 2477-2023")</f>
        <v/>
      </c>
      <c r="Z35">
        <f>HYPERLINK("https://klasma.github.io/Logging_0685/klagomålsmail/S 2477-2023 FSC-klagomål mail.docx", "S 2477-2023")</f>
        <v/>
      </c>
      <c r="AA35">
        <f>HYPERLINK("https://klasma.github.io/Logging_0685/tillsyn/S 2477-2023 tillsynsbegäran.docx", "S 2477-2023")</f>
        <v/>
      </c>
      <c r="AB35">
        <f>HYPERLINK("https://klasma.github.io/Logging_0685/tillsynsmail/S 2477-2023 tillsynsbegäran mail.docx", "S 2477-2023")</f>
        <v/>
      </c>
    </row>
    <row r="36" ht="15" customHeight="1">
      <c r="A36" t="inlineStr">
        <is>
          <t>A 65365-2021</t>
        </is>
      </c>
      <c r="B36" t="inlineStr">
        <is>
          <t>avverkningsanmälan</t>
        </is>
      </c>
      <c r="C36" t="inlineStr">
        <is>
          <t>Föryngringsavverkning</t>
        </is>
      </c>
      <c r="D36" s="1" t="n">
        <v>44515</v>
      </c>
      <c r="E36" s="1" t="n">
        <v>46217</v>
      </c>
      <c r="F36" t="inlineStr">
        <is>
          <t>JÖNKÖPINGS LÄN</t>
        </is>
      </c>
      <c r="G36" t="inlineStr">
        <is>
          <t>VETLANDA</t>
        </is>
      </c>
      <c r="I36" t="n">
        <v>1</v>
      </c>
      <c r="J36" t="n">
        <v>0</v>
      </c>
      <c r="K36" t="n">
        <v>0</v>
      </c>
      <c r="L36" t="n">
        <v>2</v>
      </c>
      <c r="M36" t="n">
        <v>0</v>
      </c>
      <c r="N36" t="n">
        <v>0</v>
      </c>
      <c r="O36" t="n">
        <v>0</v>
      </c>
      <c r="P36" t="n">
        <v>0</v>
      </c>
      <c r="Q36" t="n">
        <v>2</v>
      </c>
      <c r="R36" t="n">
        <v>0</v>
      </c>
      <c r="S36" t="n">
        <v>2</v>
      </c>
      <c r="T36" t="n">
        <v>2</v>
      </c>
      <c r="U36" s="2" t="inlineStr">
        <is>
          <t>Solvända
Spindelört</t>
        </is>
      </c>
      <c r="V36">
        <f>HYPERLINK("https://klasma.github.io/Logging_0685/artfynd/A 65365-2021 artfynd.xlsx", "A 65365-2021")</f>
        <v/>
      </c>
      <c r="W36">
        <f>HYPERLINK("https://klasma.github.io/Logging_0685/kartor/A 65365-2021 karta.png", "A 65365-2021")</f>
        <v/>
      </c>
      <c r="Y36">
        <f>HYPERLINK("https://klasma.github.io/Logging_0685/klagomål/A 65365-2021 FSC-klagomål.docx", "A 65365-2021")</f>
        <v/>
      </c>
      <c r="Z36">
        <f>HYPERLINK("https://klasma.github.io/Logging_0685/klagomålsmail/A 65365-2021 FSC-klagomål mail.docx", "A 65365-2021")</f>
        <v/>
      </c>
      <c r="AA36">
        <f>HYPERLINK("https://klasma.github.io/Logging_0685/tillsyn/A 65365-2021 tillsynsbegäran.docx", "A 65365-2021")</f>
        <v/>
      </c>
      <c r="AB36">
        <f>HYPERLINK("https://klasma.github.io/Logging_0685/tillsynsmail/A 65365-2021 tillsynsbegäran mail.docx", "A 65365-2021")</f>
        <v/>
      </c>
    </row>
    <row r="37" ht="15" customHeight="1">
      <c r="A37" t="inlineStr">
        <is>
          <t>A 54004-2021</t>
        </is>
      </c>
      <c r="B37" t="inlineStr">
        <is>
          <t>avverkningsanmälan</t>
        </is>
      </c>
      <c r="C37" t="inlineStr">
        <is>
          <t>Föryngringsavverkning</t>
        </is>
      </c>
      <c r="D37" s="1" t="n">
        <v>44470</v>
      </c>
      <c r="E37" s="1" t="n">
        <v>46217</v>
      </c>
      <c r="F37" t="inlineStr">
        <is>
          <t>JÖNKÖPINGS LÄN</t>
        </is>
      </c>
      <c r="G37" t="inlineStr">
        <is>
          <t>VETLANDA</t>
        </is>
      </c>
      <c r="I37" t="n">
        <v>1.4</v>
      </c>
      <c r="J37" t="n">
        <v>1</v>
      </c>
      <c r="K37" t="n">
        <v>0</v>
      </c>
      <c r="L37" t="n">
        <v>1</v>
      </c>
      <c r="M37" t="n">
        <v>1</v>
      </c>
      <c r="N37" t="n">
        <v>0</v>
      </c>
      <c r="O37" t="n">
        <v>0</v>
      </c>
      <c r="P37" t="n">
        <v>0</v>
      </c>
      <c r="Q37" t="n">
        <v>2</v>
      </c>
      <c r="R37" t="n">
        <v>1</v>
      </c>
      <c r="S37" t="n">
        <v>2</v>
      </c>
      <c r="T37" t="n">
        <v>2</v>
      </c>
      <c r="U37" s="2" t="inlineStr">
        <is>
          <t>Backsippa
Svinrot</t>
        </is>
      </c>
      <c r="V37">
        <f>HYPERLINK("https://klasma.github.io/Logging_0685/artfynd/A 54004-2021 artfynd.xlsx", "A 54004-2021")</f>
        <v/>
      </c>
      <c r="W37">
        <f>HYPERLINK("https://klasma.github.io/Logging_0685/kartor/A 54004-2021 karta.png", "A 54004-2021")</f>
        <v/>
      </c>
      <c r="Y37">
        <f>HYPERLINK("https://klasma.github.io/Logging_0685/klagomål/A 54004-2021 FSC-klagomål.docx", "A 54004-2021")</f>
        <v/>
      </c>
      <c r="Z37">
        <f>HYPERLINK("https://klasma.github.io/Logging_0685/klagomålsmail/A 54004-2021 FSC-klagomål mail.docx", "A 54004-2021")</f>
        <v/>
      </c>
      <c r="AA37">
        <f>HYPERLINK("https://klasma.github.io/Logging_0685/tillsyn/A 54004-2021 tillsynsbegäran.docx", "A 54004-2021")</f>
        <v/>
      </c>
      <c r="AB37">
        <f>HYPERLINK("https://klasma.github.io/Logging_0685/tillsynsmail/A 54004-2021 tillsynsbegäran mail.docx", "A 54004-2021")</f>
        <v/>
      </c>
    </row>
    <row r="38" ht="15" customHeight="1">
      <c r="A38" t="inlineStr">
        <is>
          <t>A 29428-2022</t>
        </is>
      </c>
      <c r="B38" t="inlineStr">
        <is>
          <t>avverkningsanmälan</t>
        </is>
      </c>
      <c r="C38" t="inlineStr">
        <is>
          <t>Föryngringsavverkning</t>
        </is>
      </c>
      <c r="D38" s="1" t="n">
        <v>44752</v>
      </c>
      <c r="E38" s="1" t="n">
        <v>46217</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s="2" t="inlineStr">
        <is>
          <t>Svinrot
Trådticka</t>
        </is>
      </c>
      <c r="V38">
        <f>HYPERLINK("https://klasma.github.io/Logging_0685/artfynd/A 29428-2022 artfynd.xlsx", "A 29428-2022")</f>
        <v/>
      </c>
      <c r="W38">
        <f>HYPERLINK("https://klasma.github.io/Logging_0685/kartor/A 29428-2022 karta.png", "A 29428-2022")</f>
        <v/>
      </c>
      <c r="Y38">
        <f>HYPERLINK("https://klasma.github.io/Logging_0685/klagomål/A 29428-2022 FSC-klagomål.docx", "A 29428-2022")</f>
        <v/>
      </c>
      <c r="Z38">
        <f>HYPERLINK("https://klasma.github.io/Logging_0685/klagomålsmail/A 29428-2022 FSC-klagomål mail.docx", "A 29428-2022")</f>
        <v/>
      </c>
      <c r="AA38">
        <f>HYPERLINK("https://klasma.github.io/Logging_0685/tillsyn/A 29428-2022 tillsynsbegäran.docx", "A 29428-2022")</f>
        <v/>
      </c>
      <c r="AB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46217</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s="2" t="inlineStr">
        <is>
          <t>Knärot
Grönpyrola</t>
        </is>
      </c>
      <c r="V39">
        <f>HYPERLINK("https://klasma.github.io/Logging_0685/artfynd/A 13006-2022 artfynd.xlsx", "A 13006-2022")</f>
        <v/>
      </c>
      <c r="W39">
        <f>HYPERLINK("https://klasma.github.io/Logging_0685/kartor/A 13006-2022 karta.png", "A 13006-2022")</f>
        <v/>
      </c>
      <c r="X39">
        <f>HYPERLINK("https://klasma.github.io/Logging_0685/knärot/A 13006-2022 karta knärot.png", "A 13006-2022")</f>
        <v/>
      </c>
      <c r="Y39">
        <f>HYPERLINK("https://klasma.github.io/Logging_0685/klagomål/A 13006-2022 FSC-klagomål.docx", "A 13006-2022")</f>
        <v/>
      </c>
      <c r="Z39">
        <f>HYPERLINK("https://klasma.github.io/Logging_0685/klagomålsmail/A 13006-2022 FSC-klagomål mail.docx", "A 13006-2022")</f>
        <v/>
      </c>
      <c r="AA39">
        <f>HYPERLINK("https://klasma.github.io/Logging_0685/tillsyn/A 13006-2022 tillsynsbegäran.docx", "A 13006-2022")</f>
        <v/>
      </c>
      <c r="AB39">
        <f>HYPERLINK("https://klasma.github.io/Logging_0685/tillsynsmail/A 13006-2022 tillsynsbegäran mail.docx", "A 13006-2022")</f>
        <v/>
      </c>
    </row>
    <row r="40" ht="15" customHeight="1">
      <c r="A40" t="inlineStr">
        <is>
          <t>A 15177-2024</t>
        </is>
      </c>
      <c r="B40" t="inlineStr">
        <is>
          <t>avverkningsanmälan</t>
        </is>
      </c>
      <c r="C40" t="inlineStr">
        <is>
          <t>Avverkning för annat ändamål</t>
        </is>
      </c>
      <c r="D40" s="1" t="n">
        <v>45400</v>
      </c>
      <c r="E40" s="1" t="n">
        <v>46217</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s="2" t="inlineStr">
        <is>
          <t>Knärot
Vedtrappmossa</t>
        </is>
      </c>
      <c r="V40">
        <f>HYPERLINK("https://klasma.github.io/Logging_0685/artfynd/A 15177-2024 artfynd.xlsx", "A 15177-2024")</f>
        <v/>
      </c>
      <c r="W40">
        <f>HYPERLINK("https://klasma.github.io/Logging_0685/kartor/A 15177-2024 karta.png", "A 15177-2024")</f>
        <v/>
      </c>
      <c r="X40">
        <f>HYPERLINK("https://klasma.github.io/Logging_0685/knärot/A 15177-2024 karta knärot.png", "A 15177-2024")</f>
        <v/>
      </c>
      <c r="Y40">
        <f>HYPERLINK("https://klasma.github.io/Logging_0685/klagomål/A 15177-2024 FSC-klagomål.docx", "A 15177-2024")</f>
        <v/>
      </c>
      <c r="Z40">
        <f>HYPERLINK("https://klasma.github.io/Logging_0685/klagomålsmail/A 15177-2024 FSC-klagomål mail.docx", "A 15177-2024")</f>
        <v/>
      </c>
      <c r="AA40">
        <f>HYPERLINK("https://klasma.github.io/Logging_0685/tillsyn/A 15177-2024 tillsynsbegäran.docx", "A 15177-2024")</f>
        <v/>
      </c>
      <c r="AB40">
        <f>HYPERLINK("https://klasma.github.io/Logging_0685/tillsynsmail/A 15177-2024 tillsynsbegäran mail.docx", "A 15177-2024")</f>
        <v/>
      </c>
    </row>
    <row r="41" ht="15" customHeight="1">
      <c r="A41" t="inlineStr">
        <is>
          <t>A 2323-2024</t>
        </is>
      </c>
      <c r="B41" t="inlineStr">
        <is>
          <t>avverkningsanmälan</t>
        </is>
      </c>
      <c r="C41" t="inlineStr">
        <is>
          <t>Föryngringsavverkning</t>
        </is>
      </c>
      <c r="D41" s="1" t="n">
        <v>45310</v>
      </c>
      <c r="E41" s="1" t="n">
        <v>46217</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s="2" t="inlineStr">
        <is>
          <t>Solvända
Gullviva</t>
        </is>
      </c>
      <c r="V41">
        <f>HYPERLINK("https://klasma.github.io/Logging_0685/artfynd/A 2323-2024 artfynd.xlsx", "A 2323-2024")</f>
        <v/>
      </c>
      <c r="W41">
        <f>HYPERLINK("https://klasma.github.io/Logging_0685/kartor/A 2323-2024 karta.png", "A 2323-2024")</f>
        <v/>
      </c>
      <c r="Y41">
        <f>HYPERLINK("https://klasma.github.io/Logging_0685/klagomål/A 2323-2024 FSC-klagomål.docx", "A 2323-2024")</f>
        <v/>
      </c>
      <c r="Z41">
        <f>HYPERLINK("https://klasma.github.io/Logging_0685/klagomålsmail/A 2323-2024 FSC-klagomål mail.docx", "A 2323-2024")</f>
        <v/>
      </c>
      <c r="AA41">
        <f>HYPERLINK("https://klasma.github.io/Logging_0685/tillsyn/A 2323-2024 tillsynsbegäran.docx", "A 2323-2024")</f>
        <v/>
      </c>
      <c r="AB41">
        <f>HYPERLINK("https://klasma.github.io/Logging_0685/tillsynsmail/A 2323-2024 tillsynsbegäran mail.docx", "A 2323-2024")</f>
        <v/>
      </c>
    </row>
    <row r="42" ht="15" customHeight="1">
      <c r="A42" t="inlineStr">
        <is>
          <t>A 17256-2023</t>
        </is>
      </c>
      <c r="B42" t="inlineStr">
        <is>
          <t>avverkningsanmälan</t>
        </is>
      </c>
      <c r="C42" t="inlineStr">
        <is>
          <t>Föryngringsavverkning</t>
        </is>
      </c>
      <c r="D42" s="1" t="n">
        <v>45035</v>
      </c>
      <c r="E42" s="1" t="n">
        <v>46217</v>
      </c>
      <c r="F42" t="inlineStr">
        <is>
          <t>JÖNKÖPINGS LÄN</t>
        </is>
      </c>
      <c r="G42" t="inlineStr">
        <is>
          <t>VETLANDA</t>
        </is>
      </c>
      <c r="I42" t="n">
        <v>0.8</v>
      </c>
      <c r="J42" t="n">
        <v>0</v>
      </c>
      <c r="K42" t="n">
        <v>0</v>
      </c>
      <c r="L42" t="n">
        <v>2</v>
      </c>
      <c r="M42" t="n">
        <v>0</v>
      </c>
      <c r="N42" t="n">
        <v>0</v>
      </c>
      <c r="O42" t="n">
        <v>0</v>
      </c>
      <c r="P42" t="n">
        <v>0</v>
      </c>
      <c r="Q42" t="n">
        <v>2</v>
      </c>
      <c r="R42" t="n">
        <v>0</v>
      </c>
      <c r="S42" t="n">
        <v>2</v>
      </c>
      <c r="T42" t="n">
        <v>2</v>
      </c>
      <c r="U42" s="2" t="inlineStr">
        <is>
          <t>Klasefibbla
Vårärt</t>
        </is>
      </c>
      <c r="V42">
        <f>HYPERLINK("https://klasma.github.io/Logging_0685/artfynd/A 17256-2023 artfynd.xlsx", "A 17256-2023")</f>
        <v/>
      </c>
      <c r="W42">
        <f>HYPERLINK("https://klasma.github.io/Logging_0685/kartor/A 17256-2023 karta.png", "A 17256-2023")</f>
        <v/>
      </c>
      <c r="Y42">
        <f>HYPERLINK("https://klasma.github.io/Logging_0685/klagomål/A 17256-2023 FSC-klagomål.docx", "A 17256-2023")</f>
        <v/>
      </c>
      <c r="Z42">
        <f>HYPERLINK("https://klasma.github.io/Logging_0685/klagomålsmail/A 17256-2023 FSC-klagomål mail.docx", "A 17256-2023")</f>
        <v/>
      </c>
      <c r="AA42">
        <f>HYPERLINK("https://klasma.github.io/Logging_0685/tillsyn/A 17256-2023 tillsynsbegäran.docx", "A 17256-2023")</f>
        <v/>
      </c>
      <c r="AB42">
        <f>HYPERLINK("https://klasma.github.io/Logging_0685/tillsynsmail/A 17256-2023 tillsynsbegäran mail.docx", "A 17256-2023")</f>
        <v/>
      </c>
    </row>
    <row r="43" ht="15" customHeight="1">
      <c r="A43" t="inlineStr">
        <is>
          <t>A 8976-2024</t>
        </is>
      </c>
      <c r="B43" t="inlineStr">
        <is>
          <t>avverkningsanmälan</t>
        </is>
      </c>
      <c r="C43" t="inlineStr">
        <is>
          <t>Föryngringsavverkning</t>
        </is>
      </c>
      <c r="D43" s="1" t="n">
        <v>45357</v>
      </c>
      <c r="E43" s="1" t="n">
        <v>46217</v>
      </c>
      <c r="F43" t="inlineStr">
        <is>
          <t>JÖNKÖPINGS LÄN</t>
        </is>
      </c>
      <c r="G43" t="inlineStr">
        <is>
          <t>VETLANDA</t>
        </is>
      </c>
      <c r="I43" t="n">
        <v>1.9</v>
      </c>
      <c r="J43" t="n">
        <v>1</v>
      </c>
      <c r="K43" t="n">
        <v>0</v>
      </c>
      <c r="L43" t="n">
        <v>1</v>
      </c>
      <c r="M43" t="n">
        <v>0</v>
      </c>
      <c r="N43" t="n">
        <v>0</v>
      </c>
      <c r="O43" t="n">
        <v>0</v>
      </c>
      <c r="P43" t="n">
        <v>0</v>
      </c>
      <c r="Q43" t="n">
        <v>1</v>
      </c>
      <c r="R43" t="n">
        <v>0</v>
      </c>
      <c r="S43" t="n">
        <v>2</v>
      </c>
      <c r="T43" t="n">
        <v>2</v>
      </c>
      <c r="U43" s="2" t="inlineStr">
        <is>
          <t>Loppstarr
Lopplummer (aggregat)</t>
        </is>
      </c>
      <c r="V43">
        <f>HYPERLINK("https://klasma.github.io/Logging_0685/artfynd/A 8976-2024 artfynd.xlsx", "A 8976-2024")</f>
        <v/>
      </c>
      <c r="W43">
        <f>HYPERLINK("https://klasma.github.io/Logging_0685/kartor/A 8976-2024 karta.png", "A 8976-2024")</f>
        <v/>
      </c>
      <c r="Y43">
        <f>HYPERLINK("https://klasma.github.io/Logging_0685/klagomål/A 8976-2024 FSC-klagomål.docx", "A 8976-2024")</f>
        <v/>
      </c>
      <c r="Z43">
        <f>HYPERLINK("https://klasma.github.io/Logging_0685/klagomålsmail/A 8976-2024 FSC-klagomål mail.docx", "A 8976-2024")</f>
        <v/>
      </c>
      <c r="AA43">
        <f>HYPERLINK("https://klasma.github.io/Logging_0685/tillsyn/A 8976-2024 tillsynsbegäran.docx", "A 8976-2024")</f>
        <v/>
      </c>
      <c r="AB43">
        <f>HYPERLINK("https://klasma.github.io/Logging_0685/tillsynsmail/A 8976-2024 tillsynsbegäran mail.docx", "A 8976-2024")</f>
        <v/>
      </c>
    </row>
    <row r="44" ht="15" customHeight="1">
      <c r="A44" t="inlineStr">
        <is>
          <t>A 1269-2022</t>
        </is>
      </c>
      <c r="B44" t="inlineStr">
        <is>
          <t>avverkningsanmälan</t>
        </is>
      </c>
      <c r="C44" t="inlineStr">
        <is>
          <t>Föryngringsavverkning</t>
        </is>
      </c>
      <c r="D44" s="1" t="n">
        <v>44572</v>
      </c>
      <c r="E44" s="1" t="n">
        <v>46217</v>
      </c>
      <c r="F44" t="inlineStr">
        <is>
          <t>JÖNKÖPINGS LÄN</t>
        </is>
      </c>
      <c r="G44" t="inlineStr">
        <is>
          <t>VETLANDA</t>
        </is>
      </c>
      <c r="I44" t="n">
        <v>0.7</v>
      </c>
      <c r="J44" t="n">
        <v>0</v>
      </c>
      <c r="K44" t="n">
        <v>1</v>
      </c>
      <c r="L44" t="n">
        <v>1</v>
      </c>
      <c r="M44" t="n">
        <v>0</v>
      </c>
      <c r="N44" t="n">
        <v>0</v>
      </c>
      <c r="O44" t="n">
        <v>0</v>
      </c>
      <c r="P44" t="n">
        <v>0</v>
      </c>
      <c r="Q44" t="n">
        <v>1</v>
      </c>
      <c r="R44" t="n">
        <v>0</v>
      </c>
      <c r="S44" t="n">
        <v>2</v>
      </c>
      <c r="T44" t="n">
        <v>2</v>
      </c>
      <c r="U44" s="2" t="inlineStr">
        <is>
          <t>Gullklöver
Tibast</t>
        </is>
      </c>
      <c r="V44">
        <f>HYPERLINK("https://klasma.github.io/Logging_0685/artfynd/A 1269-2022 artfynd.xlsx", "A 1269-2022")</f>
        <v/>
      </c>
      <c r="W44">
        <f>HYPERLINK("https://klasma.github.io/Logging_0685/kartor/A 1269-2022 karta.png", "A 1269-2022")</f>
        <v/>
      </c>
      <c r="Y44">
        <f>HYPERLINK("https://klasma.github.io/Logging_0685/klagomål/A 1269-2022 FSC-klagomål.docx", "A 1269-2022")</f>
        <v/>
      </c>
      <c r="Z44">
        <f>HYPERLINK("https://klasma.github.io/Logging_0685/klagomålsmail/A 1269-2022 FSC-klagomål mail.docx", "A 1269-2022")</f>
        <v/>
      </c>
      <c r="AA44">
        <f>HYPERLINK("https://klasma.github.io/Logging_0685/tillsyn/A 1269-2022 tillsynsbegäran.docx", "A 1269-2022")</f>
        <v/>
      </c>
      <c r="AB44">
        <f>HYPERLINK("https://klasma.github.io/Logging_0685/tillsynsmail/A 1269-2022 tillsynsbegäran mail.docx", "A 1269-2022")</f>
        <v/>
      </c>
    </row>
    <row r="45" ht="15" customHeight="1">
      <c r="A45" t="inlineStr">
        <is>
          <t>A 48121-2024</t>
        </is>
      </c>
      <c r="B45" t="inlineStr">
        <is>
          <t>avverkningsanmälan</t>
        </is>
      </c>
      <c r="C45" t="inlineStr">
        <is>
          <t>Föryngringsavverkning</t>
        </is>
      </c>
      <c r="D45" s="1" t="n">
        <v>45589</v>
      </c>
      <c r="E45" s="1" t="n">
        <v>46217</v>
      </c>
      <c r="F45" t="inlineStr">
        <is>
          <t>JÖNKÖPINGS LÄN</t>
        </is>
      </c>
      <c r="G45" t="inlineStr">
        <is>
          <t>VETLANDA</t>
        </is>
      </c>
      <c r="I45" t="n">
        <v>1.3</v>
      </c>
      <c r="J45" t="n">
        <v>1</v>
      </c>
      <c r="K45" t="n">
        <v>0</v>
      </c>
      <c r="L45" t="n">
        <v>1</v>
      </c>
      <c r="M45" t="n">
        <v>0</v>
      </c>
      <c r="N45" t="n">
        <v>0</v>
      </c>
      <c r="O45" t="n">
        <v>0</v>
      </c>
      <c r="P45" t="n">
        <v>0</v>
      </c>
      <c r="Q45" t="n">
        <v>1</v>
      </c>
      <c r="R45" t="n">
        <v>0</v>
      </c>
      <c r="S45" t="n">
        <v>2</v>
      </c>
      <c r="T45" t="n">
        <v>2</v>
      </c>
      <c r="U45" s="2" t="inlineStr">
        <is>
          <t>Solvända
Blåsippa</t>
        </is>
      </c>
      <c r="V45">
        <f>HYPERLINK("https://klasma.github.io/Logging_0685/artfynd/A 48121-2024 artfynd.xlsx", "A 48121-2024")</f>
        <v/>
      </c>
      <c r="W45">
        <f>HYPERLINK("https://klasma.github.io/Logging_0685/kartor/A 48121-2024 karta.png", "A 48121-2024")</f>
        <v/>
      </c>
      <c r="Y45">
        <f>HYPERLINK("https://klasma.github.io/Logging_0685/klagomål/A 48121-2024 FSC-klagomål.docx", "A 48121-2024")</f>
        <v/>
      </c>
      <c r="Z45">
        <f>HYPERLINK("https://klasma.github.io/Logging_0685/klagomålsmail/A 48121-2024 FSC-klagomål mail.docx", "A 48121-2024")</f>
        <v/>
      </c>
      <c r="AA45">
        <f>HYPERLINK("https://klasma.github.io/Logging_0685/tillsyn/A 48121-2024 tillsynsbegäran.docx", "A 48121-2024")</f>
        <v/>
      </c>
      <c r="AB45">
        <f>HYPERLINK("https://klasma.github.io/Logging_0685/tillsynsmail/A 48121-2024 tillsynsbegäran mail.docx", "A 48121-2024")</f>
        <v/>
      </c>
    </row>
    <row r="46" ht="15" customHeight="1">
      <c r="A46" t="inlineStr">
        <is>
          <t>A 53537-2021</t>
        </is>
      </c>
      <c r="B46" t="inlineStr">
        <is>
          <t>avverkningsanmälan</t>
        </is>
      </c>
      <c r="C46" t="inlineStr">
        <is>
          <t>Föryngringsavverkning</t>
        </is>
      </c>
      <c r="D46" s="1" t="n">
        <v>44468</v>
      </c>
      <c r="E46" s="1" t="n">
        <v>46217</v>
      </c>
      <c r="F46" t="inlineStr">
        <is>
          <t>JÖNKÖPINGS LÄN</t>
        </is>
      </c>
      <c r="G46" t="inlineStr">
        <is>
          <t>VETLANDA</t>
        </is>
      </c>
      <c r="I46" t="n">
        <v>2.7</v>
      </c>
      <c r="J46" t="n">
        <v>1</v>
      </c>
      <c r="K46" t="n">
        <v>0</v>
      </c>
      <c r="L46" t="n">
        <v>1</v>
      </c>
      <c r="M46" t="n">
        <v>0</v>
      </c>
      <c r="N46" t="n">
        <v>0</v>
      </c>
      <c r="O46" t="n">
        <v>0</v>
      </c>
      <c r="P46" t="n">
        <v>0</v>
      </c>
      <c r="Q46" t="n">
        <v>1</v>
      </c>
      <c r="R46" t="n">
        <v>0</v>
      </c>
      <c r="S46" t="n">
        <v>2</v>
      </c>
      <c r="T46" t="n">
        <v>2</v>
      </c>
      <c r="U46" s="2" t="inlineStr">
        <is>
          <t>Gullpudra
Blåsippa</t>
        </is>
      </c>
      <c r="V46">
        <f>HYPERLINK("https://klasma.github.io/Logging_0685/artfynd/A 53537-2021 artfynd.xlsx", "A 53537-2021")</f>
        <v/>
      </c>
      <c r="W46">
        <f>HYPERLINK("https://klasma.github.io/Logging_0685/kartor/A 53537-2021 karta.png", "A 53537-2021")</f>
        <v/>
      </c>
      <c r="Y46">
        <f>HYPERLINK("https://klasma.github.io/Logging_0685/klagomål/A 53537-2021 FSC-klagomål.docx", "A 53537-2021")</f>
        <v/>
      </c>
      <c r="Z46">
        <f>HYPERLINK("https://klasma.github.io/Logging_0685/klagomålsmail/A 53537-2021 FSC-klagomål mail.docx", "A 53537-2021")</f>
        <v/>
      </c>
      <c r="AA46">
        <f>HYPERLINK("https://klasma.github.io/Logging_0685/tillsyn/A 53537-2021 tillsynsbegäran.docx", "A 53537-2021")</f>
        <v/>
      </c>
      <c r="AB46">
        <f>HYPERLINK("https://klasma.github.io/Logging_0685/tillsynsmail/A 53537-2021 tillsynsbegäran mail.docx", "A 53537-2021")</f>
        <v/>
      </c>
    </row>
    <row r="47" ht="15" customHeight="1">
      <c r="A47" t="inlineStr">
        <is>
          <t>A 39794-2025</t>
        </is>
      </c>
      <c r="B47" t="inlineStr">
        <is>
          <t>avverkningsanmälan</t>
        </is>
      </c>
      <c r="C47" t="inlineStr">
        <is>
          <t>Föryngringsavverkning</t>
        </is>
      </c>
      <c r="D47" s="1" t="n">
        <v>45891</v>
      </c>
      <c r="E47" s="1" t="n">
        <v>46217</v>
      </c>
      <c r="F47" t="inlineStr">
        <is>
          <t>JÖNKÖPINGS LÄN</t>
        </is>
      </c>
      <c r="G47" t="inlineStr">
        <is>
          <t>VETLANDA</t>
        </is>
      </c>
      <c r="I47" t="n">
        <v>2</v>
      </c>
      <c r="J47" t="n">
        <v>0</v>
      </c>
      <c r="K47" t="n">
        <v>0</v>
      </c>
      <c r="L47" t="n">
        <v>1</v>
      </c>
      <c r="M47" t="n">
        <v>1</v>
      </c>
      <c r="N47" t="n">
        <v>0</v>
      </c>
      <c r="O47" t="n">
        <v>0</v>
      </c>
      <c r="P47" t="n">
        <v>0</v>
      </c>
      <c r="Q47" t="n">
        <v>2</v>
      </c>
      <c r="R47" t="n">
        <v>1</v>
      </c>
      <c r="S47" t="n">
        <v>2</v>
      </c>
      <c r="T47" t="n">
        <v>2</v>
      </c>
      <c r="U47" s="2" t="inlineStr">
        <is>
          <t>Slåttergubbe
Solvända</t>
        </is>
      </c>
      <c r="V47">
        <f>HYPERLINK("https://klasma.github.io/Logging_0685/artfynd/A 39794-2025 artfynd.xlsx", "A 39794-2025")</f>
        <v/>
      </c>
      <c r="W47">
        <f>HYPERLINK("https://klasma.github.io/Logging_0685/kartor/A 39794-2025 karta.png", "A 39794-2025")</f>
        <v/>
      </c>
      <c r="Y47">
        <f>HYPERLINK("https://klasma.github.io/Logging_0685/klagomål/A 39794-2025 FSC-klagomål.docx", "A 39794-2025")</f>
        <v/>
      </c>
      <c r="Z47">
        <f>HYPERLINK("https://klasma.github.io/Logging_0685/klagomålsmail/A 39794-2025 FSC-klagomål mail.docx", "A 39794-2025")</f>
        <v/>
      </c>
      <c r="AA47">
        <f>HYPERLINK("https://klasma.github.io/Logging_0685/tillsyn/A 39794-2025 tillsynsbegäran.docx", "A 39794-2025")</f>
        <v/>
      </c>
      <c r="AB47">
        <f>HYPERLINK("https://klasma.github.io/Logging_0685/tillsynsmail/A 39794-2025 tillsynsbegäran mail.docx", "A 39794-2025")</f>
        <v/>
      </c>
    </row>
    <row r="48" ht="15" customHeight="1">
      <c r="A48" t="inlineStr">
        <is>
          <t>A 35845-2023</t>
        </is>
      </c>
      <c r="B48" t="inlineStr">
        <is>
          <t>avverkningsanmälan</t>
        </is>
      </c>
      <c r="C48" t="inlineStr">
        <is>
          <t>Föryngringsavverkning</t>
        </is>
      </c>
      <c r="D48" s="1" t="n">
        <v>45148</v>
      </c>
      <c r="E48" s="1" t="n">
        <v>46217</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s="2" t="inlineStr">
        <is>
          <t>Skogsalm
Lopplummer (aggregat)</t>
        </is>
      </c>
      <c r="V48">
        <f>HYPERLINK("https://klasma.github.io/Logging_0685/artfynd/A 35845-2023 artfynd.xlsx", "A 35845-2023")</f>
        <v/>
      </c>
      <c r="W48">
        <f>HYPERLINK("https://klasma.github.io/Logging_0685/kartor/A 35845-2023 karta.png", "A 35845-2023")</f>
        <v/>
      </c>
      <c r="Y48">
        <f>HYPERLINK("https://klasma.github.io/Logging_0685/klagomål/A 35845-2023 FSC-klagomål.docx", "A 35845-2023")</f>
        <v/>
      </c>
      <c r="Z48">
        <f>HYPERLINK("https://klasma.github.io/Logging_0685/klagomålsmail/A 35845-2023 FSC-klagomål mail.docx", "A 35845-2023")</f>
        <v/>
      </c>
      <c r="AA48">
        <f>HYPERLINK("https://klasma.github.io/Logging_0685/tillsyn/A 35845-2023 tillsynsbegäran.docx", "A 35845-2023")</f>
        <v/>
      </c>
      <c r="AB48">
        <f>HYPERLINK("https://klasma.github.io/Logging_0685/tillsynsmail/A 35845-2023 tillsynsbegäran mail.docx", "A 35845-2023")</f>
        <v/>
      </c>
    </row>
    <row r="49" ht="15" customHeight="1">
      <c r="A49" t="inlineStr">
        <is>
          <t>A 1313-2024</t>
        </is>
      </c>
      <c r="B49" t="inlineStr">
        <is>
          <t>avverkningsanmälan</t>
        </is>
      </c>
      <c r="C49" t="inlineStr">
        <is>
          <t>Föryngringsavverkning</t>
        </is>
      </c>
      <c r="D49" s="1" t="n">
        <v>45303</v>
      </c>
      <c r="E49" s="1" t="n">
        <v>46217</v>
      </c>
      <c r="F49" t="inlineStr">
        <is>
          <t>JÖNKÖPINGS LÄN</t>
        </is>
      </c>
      <c r="G49" t="inlineStr">
        <is>
          <t>VETLANDA</t>
        </is>
      </c>
      <c r="I49" t="n">
        <v>0.5</v>
      </c>
      <c r="J49" t="n">
        <v>0</v>
      </c>
      <c r="K49" t="n">
        <v>0</v>
      </c>
      <c r="L49" t="n">
        <v>1</v>
      </c>
      <c r="M49" t="n">
        <v>1</v>
      </c>
      <c r="N49" t="n">
        <v>0</v>
      </c>
      <c r="O49" t="n">
        <v>0</v>
      </c>
      <c r="P49" t="n">
        <v>0</v>
      </c>
      <c r="Q49" t="n">
        <v>2</v>
      </c>
      <c r="R49" t="n">
        <v>1</v>
      </c>
      <c r="S49" t="n">
        <v>2</v>
      </c>
      <c r="T49" t="n">
        <v>3</v>
      </c>
      <c r="U49" s="2" t="inlineStr">
        <is>
          <t>Slåttergubbe
Sommarfibbla</t>
        </is>
      </c>
      <c r="V49">
        <f>HYPERLINK("https://klasma.github.io/Logging_0685/artfynd/A 1313-2024 artfynd.xlsx", "A 1313-2024")</f>
        <v/>
      </c>
      <c r="W49">
        <f>HYPERLINK("https://klasma.github.io/Logging_0685/kartor/A 1313-2024 karta.png", "A 1313-2024")</f>
        <v/>
      </c>
      <c r="Y49">
        <f>HYPERLINK("https://klasma.github.io/Logging_0685/klagomål/A 1313-2024 FSC-klagomål.docx", "A 1313-2024")</f>
        <v/>
      </c>
      <c r="Z49">
        <f>HYPERLINK("https://klasma.github.io/Logging_0685/klagomålsmail/A 1313-2024 FSC-klagomål mail.docx", "A 1313-2024")</f>
        <v/>
      </c>
      <c r="AA49">
        <f>HYPERLINK("https://klasma.github.io/Logging_0685/tillsyn/A 1313-2024 tillsynsbegäran.docx", "A 1313-2024")</f>
        <v/>
      </c>
      <c r="AB49">
        <f>HYPERLINK("https://klasma.github.io/Logging_0685/tillsynsmail/A 1313-2024 tillsynsbegäran mail.docx", "A 1313-2024")</f>
        <v/>
      </c>
    </row>
    <row r="50" ht="15" customHeight="1">
      <c r="A50" t="inlineStr">
        <is>
          <t>A 23827-2026</t>
        </is>
      </c>
      <c r="B50" t="inlineStr">
        <is>
          <t>avverkningsanmälan</t>
        </is>
      </c>
      <c r="C50" t="inlineStr">
        <is>
          <t>Föryngringsavverkning</t>
        </is>
      </c>
      <c r="D50" s="1" t="n">
        <v>46166</v>
      </c>
      <c r="E50" s="1" t="n">
        <v>46217</v>
      </c>
      <c r="F50" t="inlineStr">
        <is>
          <t>JÖNKÖPINGS LÄN</t>
        </is>
      </c>
      <c r="G50" t="inlineStr">
        <is>
          <t>VETLANDA</t>
        </is>
      </c>
      <c r="I50" t="n">
        <v>3.1</v>
      </c>
      <c r="J50" t="n">
        <v>2</v>
      </c>
      <c r="K50" t="n">
        <v>0</v>
      </c>
      <c r="L50" t="n">
        <v>0</v>
      </c>
      <c r="M50" t="n">
        <v>0</v>
      </c>
      <c r="N50" t="n">
        <v>0</v>
      </c>
      <c r="O50" t="n">
        <v>0</v>
      </c>
      <c r="P50" t="n">
        <v>0</v>
      </c>
      <c r="Q50" t="n">
        <v>0</v>
      </c>
      <c r="R50" t="n">
        <v>0</v>
      </c>
      <c r="S50" t="n">
        <v>2</v>
      </c>
      <c r="T50" t="n">
        <v>2</v>
      </c>
      <c r="U50" s="2" t="inlineStr">
        <is>
          <t>Kungsfågel
Revlummer</t>
        </is>
      </c>
      <c r="V50">
        <f>HYPERLINK("https://klasma.github.io/Logging_0685/artfynd/A 23827-2026 artfynd.xlsx", "A 23827-2026")</f>
        <v/>
      </c>
      <c r="W50">
        <f>HYPERLINK("https://klasma.github.io/Logging_0685/kartor/A 23827-2026 karta.png", "A 23827-2026")</f>
        <v/>
      </c>
      <c r="Y50">
        <f>HYPERLINK("https://klasma.github.io/Logging_0685/klagomål/A 23827-2026 FSC-klagomål.docx", "A 23827-2026")</f>
        <v/>
      </c>
      <c r="Z50">
        <f>HYPERLINK("https://klasma.github.io/Logging_0685/klagomålsmail/A 23827-2026 FSC-klagomål mail.docx", "A 23827-2026")</f>
        <v/>
      </c>
      <c r="AA50">
        <f>HYPERLINK("https://klasma.github.io/Logging_0685/tillsyn/A 23827-2026 tillsynsbegäran.docx", "A 23827-2026")</f>
        <v/>
      </c>
      <c r="AB50">
        <f>HYPERLINK("https://klasma.github.io/Logging_0685/tillsynsmail/A 23827-2026 tillsynsbegäran mail.docx", "A 23827-2026")</f>
        <v/>
      </c>
    </row>
    <row r="51" ht="15" customHeight="1">
      <c r="A51" t="inlineStr">
        <is>
          <t>A 8838-2025</t>
        </is>
      </c>
      <c r="B51" t="inlineStr">
        <is>
          <t>avverkningsanmälan</t>
        </is>
      </c>
      <c r="C51" t="inlineStr">
        <is>
          <t>Föryngringsavverkning</t>
        </is>
      </c>
      <c r="D51" s="1" t="n">
        <v>45713</v>
      </c>
      <c r="E51" s="1" t="n">
        <v>46217</v>
      </c>
      <c r="F51" t="inlineStr">
        <is>
          <t>JÖNKÖPINGS LÄN</t>
        </is>
      </c>
      <c r="G51" t="inlineStr">
        <is>
          <t>VETLANDA</t>
        </is>
      </c>
      <c r="I51" t="n">
        <v>1.8</v>
      </c>
      <c r="J51" t="n">
        <v>2</v>
      </c>
      <c r="K51" t="n">
        <v>0</v>
      </c>
      <c r="L51" t="n">
        <v>2</v>
      </c>
      <c r="M51" t="n">
        <v>0</v>
      </c>
      <c r="N51" t="n">
        <v>0</v>
      </c>
      <c r="O51" t="n">
        <v>0</v>
      </c>
      <c r="P51" t="n">
        <v>0</v>
      </c>
      <c r="Q51" t="n">
        <v>2</v>
      </c>
      <c r="R51" t="n">
        <v>0</v>
      </c>
      <c r="S51" t="n">
        <v>2</v>
      </c>
      <c r="T51" t="n">
        <v>2</v>
      </c>
      <c r="U51" s="2" t="inlineStr">
        <is>
          <t>Brunlångöra
Nordfladdermus</t>
        </is>
      </c>
      <c r="V51">
        <f>HYPERLINK("https://klasma.github.io/Logging_0685/artfynd/A 8838-2025 artfynd.xlsx", "A 8838-2025")</f>
        <v/>
      </c>
      <c r="W51">
        <f>HYPERLINK("https://klasma.github.io/Logging_0685/kartor/A 8838-2025 karta.png", "A 8838-2025")</f>
        <v/>
      </c>
      <c r="Y51">
        <f>HYPERLINK("https://klasma.github.io/Logging_0685/klagomål/A 8838-2025 FSC-klagomål.docx", "A 8838-2025")</f>
        <v/>
      </c>
      <c r="Z51">
        <f>HYPERLINK("https://klasma.github.io/Logging_0685/klagomålsmail/A 8838-2025 FSC-klagomål mail.docx", "A 8838-2025")</f>
        <v/>
      </c>
      <c r="AA51">
        <f>HYPERLINK("https://klasma.github.io/Logging_0685/tillsyn/A 8838-2025 tillsynsbegäran.docx", "A 8838-2025")</f>
        <v/>
      </c>
      <c r="AB51">
        <f>HYPERLINK("https://klasma.github.io/Logging_0685/tillsynsmail/A 8838-2025 tillsynsbegäran mail.docx", "A 8838-2025")</f>
        <v/>
      </c>
    </row>
    <row r="52" ht="15" customHeight="1">
      <c r="A52" t="inlineStr">
        <is>
          <t>A 59894-2022</t>
        </is>
      </c>
      <c r="B52" t="inlineStr">
        <is>
          <t>avverkningsanmälan</t>
        </is>
      </c>
      <c r="C52" t="inlineStr">
        <is>
          <t>Föryngringsavverkning</t>
        </is>
      </c>
      <c r="D52" s="1" t="n">
        <v>44908</v>
      </c>
      <c r="E52" s="1" t="n">
        <v>46217</v>
      </c>
      <c r="F52" t="inlineStr">
        <is>
          <t>JÖNKÖPINGS LÄN</t>
        </is>
      </c>
      <c r="G52" t="inlineStr">
        <is>
          <t>VETLANDA</t>
        </is>
      </c>
      <c r="I52" t="n">
        <v>3.8</v>
      </c>
      <c r="J52" t="n">
        <v>0</v>
      </c>
      <c r="K52" t="n">
        <v>0</v>
      </c>
      <c r="L52" t="n">
        <v>2</v>
      </c>
      <c r="M52" t="n">
        <v>0</v>
      </c>
      <c r="N52" t="n">
        <v>0</v>
      </c>
      <c r="O52" t="n">
        <v>0</v>
      </c>
      <c r="P52" t="n">
        <v>0</v>
      </c>
      <c r="Q52" t="n">
        <v>2</v>
      </c>
      <c r="R52" t="n">
        <v>0</v>
      </c>
      <c r="S52" t="n">
        <v>2</v>
      </c>
      <c r="T52" t="n">
        <v>3</v>
      </c>
      <c r="U52" s="2" t="inlineStr">
        <is>
          <t>Backklöver
Slåtterfibbla</t>
        </is>
      </c>
      <c r="V52">
        <f>HYPERLINK("https://klasma.github.io/Logging_0685/artfynd/A 59894-2022 artfynd.xlsx", "A 59894-2022")</f>
        <v/>
      </c>
      <c r="W52">
        <f>HYPERLINK("https://klasma.github.io/Logging_0685/kartor/A 59894-2022 karta.png", "A 59894-2022")</f>
        <v/>
      </c>
      <c r="Y52">
        <f>HYPERLINK("https://klasma.github.io/Logging_0685/klagomål/A 59894-2022 FSC-klagomål.docx", "A 59894-2022")</f>
        <v/>
      </c>
      <c r="Z52">
        <f>HYPERLINK("https://klasma.github.io/Logging_0685/klagomålsmail/A 59894-2022 FSC-klagomål mail.docx", "A 59894-2022")</f>
        <v/>
      </c>
      <c r="AA52">
        <f>HYPERLINK("https://klasma.github.io/Logging_0685/tillsyn/A 59894-2022 tillsynsbegäran.docx", "A 59894-2022")</f>
        <v/>
      </c>
      <c r="AB52">
        <f>HYPERLINK("https://klasma.github.io/Logging_0685/tillsynsmail/A 59894-2022 tillsynsbegäran mail.docx", "A 59894-2022")</f>
        <v/>
      </c>
    </row>
    <row r="53" ht="15" customHeight="1">
      <c r="A53" t="inlineStr">
        <is>
          <t>A 49360-2023</t>
        </is>
      </c>
      <c r="B53" t="inlineStr">
        <is>
          <t>avverkningsanmälan</t>
        </is>
      </c>
      <c r="C53" t="inlineStr">
        <is>
          <t>Föryngringsavverkning</t>
        </is>
      </c>
      <c r="D53" s="1" t="n">
        <v>45211</v>
      </c>
      <c r="E53" s="1" t="n">
        <v>46217</v>
      </c>
      <c r="F53" t="inlineStr">
        <is>
          <t>JÖNKÖPINGS LÄN</t>
        </is>
      </c>
      <c r="G53" t="inlineStr">
        <is>
          <t>VETLANDA</t>
        </is>
      </c>
      <c r="I53" t="n">
        <v>3.3</v>
      </c>
      <c r="J53" t="n">
        <v>0</v>
      </c>
      <c r="K53" t="n">
        <v>0</v>
      </c>
      <c r="L53" t="n">
        <v>1</v>
      </c>
      <c r="M53" t="n">
        <v>1</v>
      </c>
      <c r="N53" t="n">
        <v>0</v>
      </c>
      <c r="O53" t="n">
        <v>0</v>
      </c>
      <c r="P53" t="n">
        <v>0</v>
      </c>
      <c r="Q53" t="n">
        <v>2</v>
      </c>
      <c r="R53" t="n">
        <v>1</v>
      </c>
      <c r="S53" t="n">
        <v>2</v>
      </c>
      <c r="T53" t="n">
        <v>2</v>
      </c>
      <c r="U53" s="2" t="inlineStr">
        <is>
          <t>Slåttergubbe
Sommarfibbla</t>
        </is>
      </c>
      <c r="V53">
        <f>HYPERLINK("https://klasma.github.io/Logging_0685/artfynd/A 49360-2023 artfynd.xlsx", "A 49360-2023")</f>
        <v/>
      </c>
      <c r="W53">
        <f>HYPERLINK("https://klasma.github.io/Logging_0685/kartor/A 49360-2023 karta.png", "A 49360-2023")</f>
        <v/>
      </c>
      <c r="Y53">
        <f>HYPERLINK("https://klasma.github.io/Logging_0685/klagomål/A 49360-2023 FSC-klagomål.docx", "A 49360-2023")</f>
        <v/>
      </c>
      <c r="Z53">
        <f>HYPERLINK("https://klasma.github.io/Logging_0685/klagomålsmail/A 49360-2023 FSC-klagomål mail.docx", "A 49360-2023")</f>
        <v/>
      </c>
      <c r="AA53">
        <f>HYPERLINK("https://klasma.github.io/Logging_0685/tillsyn/A 49360-2023 tillsynsbegäran.docx", "A 49360-2023")</f>
        <v/>
      </c>
      <c r="AB53">
        <f>HYPERLINK("https://klasma.github.io/Logging_0685/tillsynsmail/A 49360-2023 tillsynsbegäran mail.docx", "A 49360-2023")</f>
        <v/>
      </c>
    </row>
    <row r="54" ht="15" customHeight="1">
      <c r="A54" t="inlineStr">
        <is>
          <t>A 2368-2025</t>
        </is>
      </c>
      <c r="B54" t="inlineStr">
        <is>
          <t>avverkningsanmälan</t>
        </is>
      </c>
      <c r="C54" t="inlineStr">
        <is>
          <t>Föryngringsavverkning</t>
        </is>
      </c>
      <c r="D54" s="1" t="n">
        <v>45673</v>
      </c>
      <c r="E54" s="1" t="n">
        <v>46217</v>
      </c>
      <c r="F54" t="inlineStr">
        <is>
          <t>JÖNKÖPINGS LÄN</t>
        </is>
      </c>
      <c r="G54" t="inlineStr">
        <is>
          <t>VETLANDA</t>
        </is>
      </c>
      <c r="I54" t="n">
        <v>1.9</v>
      </c>
      <c r="J54" t="n">
        <v>0</v>
      </c>
      <c r="K54" t="n">
        <v>0</v>
      </c>
      <c r="L54" t="n">
        <v>2</v>
      </c>
      <c r="M54" t="n">
        <v>0</v>
      </c>
      <c r="N54" t="n">
        <v>0</v>
      </c>
      <c r="O54" t="n">
        <v>0</v>
      </c>
      <c r="P54" t="n">
        <v>0</v>
      </c>
      <c r="Q54" t="n">
        <v>2</v>
      </c>
      <c r="R54" t="n">
        <v>0</v>
      </c>
      <c r="S54" t="n">
        <v>2</v>
      </c>
      <c r="T54" t="n">
        <v>2</v>
      </c>
      <c r="U54" s="2" t="inlineStr">
        <is>
          <t>Solvända
Sommarfibbla</t>
        </is>
      </c>
      <c r="V54">
        <f>HYPERLINK("https://klasma.github.io/Logging_0685/artfynd/A 2368-2025 artfynd.xlsx", "A 2368-2025")</f>
        <v/>
      </c>
      <c r="W54">
        <f>HYPERLINK("https://klasma.github.io/Logging_0685/kartor/A 2368-2025 karta.png", "A 2368-2025")</f>
        <v/>
      </c>
      <c r="Y54">
        <f>HYPERLINK("https://klasma.github.io/Logging_0685/klagomål/A 2368-2025 FSC-klagomål.docx", "A 2368-2025")</f>
        <v/>
      </c>
      <c r="Z54">
        <f>HYPERLINK("https://klasma.github.io/Logging_0685/klagomålsmail/A 2368-2025 FSC-klagomål mail.docx", "A 2368-2025")</f>
        <v/>
      </c>
      <c r="AA54">
        <f>HYPERLINK("https://klasma.github.io/Logging_0685/tillsyn/A 2368-2025 tillsynsbegäran.docx", "A 2368-2025")</f>
        <v/>
      </c>
      <c r="AB54">
        <f>HYPERLINK("https://klasma.github.io/Logging_0685/tillsynsmail/A 2368-2025 tillsynsbegäran mail.docx", "A 2368-2025")</f>
        <v/>
      </c>
    </row>
    <row r="55" ht="15" customHeight="1">
      <c r="A55" t="inlineStr">
        <is>
          <t>A 54188-2024</t>
        </is>
      </c>
      <c r="B55" t="inlineStr">
        <is>
          <t>avverkningsanmälan</t>
        </is>
      </c>
      <c r="C55" t="inlineStr">
        <is>
          <t>Föryngringsavverkning</t>
        </is>
      </c>
      <c r="D55" s="1" t="n">
        <v>45616</v>
      </c>
      <c r="E55" s="1" t="n">
        <v>46217</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s="2" t="inlineStr">
        <is>
          <t>Loppstarr
Korallrot</t>
        </is>
      </c>
      <c r="V55">
        <f>HYPERLINK("https://klasma.github.io/Logging_0685/artfynd/A 54188-2024 artfynd.xlsx", "A 54188-2024")</f>
        <v/>
      </c>
      <c r="W55">
        <f>HYPERLINK("https://klasma.github.io/Logging_0685/kartor/A 54188-2024 karta.png", "A 54188-2024")</f>
        <v/>
      </c>
      <c r="Y55">
        <f>HYPERLINK("https://klasma.github.io/Logging_0685/klagomål/A 54188-2024 FSC-klagomål.docx", "A 54188-2024")</f>
        <v/>
      </c>
      <c r="Z55">
        <f>HYPERLINK("https://klasma.github.io/Logging_0685/klagomålsmail/A 54188-2024 FSC-klagomål mail.docx", "A 54188-2024")</f>
        <v/>
      </c>
      <c r="AA55">
        <f>HYPERLINK("https://klasma.github.io/Logging_0685/tillsyn/A 54188-2024 tillsynsbegäran.docx", "A 54188-2024")</f>
        <v/>
      </c>
      <c r="AB55">
        <f>HYPERLINK("https://klasma.github.io/Logging_0685/tillsynsmail/A 54188-2024 tillsynsbegäran mail.docx", "A 54188-2024")</f>
        <v/>
      </c>
    </row>
    <row r="56" ht="15" customHeight="1">
      <c r="A56" t="inlineStr">
        <is>
          <t>A 23540-2025</t>
        </is>
      </c>
      <c r="B56" t="inlineStr">
        <is>
          <t>avverkningsanmälan</t>
        </is>
      </c>
      <c r="C56" t="inlineStr">
        <is>
          <t>Föryngringsavverkning</t>
        </is>
      </c>
      <c r="D56" s="1" t="n">
        <v>45792</v>
      </c>
      <c r="E56" s="1" t="n">
        <v>46217</v>
      </c>
      <c r="F56" t="inlineStr">
        <is>
          <t>JÖNKÖPINGS LÄN</t>
        </is>
      </c>
      <c r="G56" t="inlineStr">
        <is>
          <t>VETLANDA</t>
        </is>
      </c>
      <c r="I56" t="n">
        <v>6.2</v>
      </c>
      <c r="J56" t="n">
        <v>0</v>
      </c>
      <c r="K56" t="n">
        <v>0</v>
      </c>
      <c r="L56" t="n">
        <v>2</v>
      </c>
      <c r="M56" t="n">
        <v>0</v>
      </c>
      <c r="N56" t="n">
        <v>0</v>
      </c>
      <c r="O56" t="n">
        <v>0</v>
      </c>
      <c r="P56" t="n">
        <v>0</v>
      </c>
      <c r="Q56" t="n">
        <v>2</v>
      </c>
      <c r="R56" t="n">
        <v>0</v>
      </c>
      <c r="S56" t="n">
        <v>2</v>
      </c>
      <c r="T56" t="n">
        <v>2</v>
      </c>
      <c r="U56" s="2" t="inlineStr">
        <is>
          <t>Jungfrulin
Solvända</t>
        </is>
      </c>
      <c r="V56">
        <f>HYPERLINK("https://klasma.github.io/Logging_0685/artfynd/A 23540-2025 artfynd.xlsx", "A 23540-2025")</f>
        <v/>
      </c>
      <c r="W56">
        <f>HYPERLINK("https://klasma.github.io/Logging_0685/kartor/A 23540-2025 karta.png", "A 23540-2025")</f>
        <v/>
      </c>
      <c r="Y56">
        <f>HYPERLINK("https://klasma.github.io/Logging_0685/klagomål/A 23540-2025 FSC-klagomål.docx", "A 23540-2025")</f>
        <v/>
      </c>
      <c r="Z56">
        <f>HYPERLINK("https://klasma.github.io/Logging_0685/klagomålsmail/A 23540-2025 FSC-klagomål mail.docx", "A 23540-2025")</f>
        <v/>
      </c>
      <c r="AA56">
        <f>HYPERLINK("https://klasma.github.io/Logging_0685/tillsyn/A 23540-2025 tillsynsbegäran.docx", "A 23540-2025")</f>
        <v/>
      </c>
      <c r="AB56">
        <f>HYPERLINK("https://klasma.github.io/Logging_0685/tillsynsmail/A 23540-2025 tillsynsbegäran mail.docx", "A 23540-2025")</f>
        <v/>
      </c>
    </row>
    <row r="57" ht="15" customHeight="1">
      <c r="A57" t="inlineStr">
        <is>
          <t>A 31979-2025</t>
        </is>
      </c>
      <c r="B57" t="inlineStr">
        <is>
          <t>avverkningsanmälan</t>
        </is>
      </c>
      <c r="C57" t="inlineStr">
        <is>
          <t>Avverkning för att bevara och utveckla /försöksver</t>
        </is>
      </c>
      <c r="D57" s="1" t="n">
        <v>45835</v>
      </c>
      <c r="E57" s="1" t="n">
        <v>46217</v>
      </c>
      <c r="F57" t="inlineStr">
        <is>
          <t>JÖNKÖPINGS LÄN</t>
        </is>
      </c>
      <c r="G57" t="inlineStr">
        <is>
          <t>VETLANDA</t>
        </is>
      </c>
      <c r="I57" t="n">
        <v>4.9</v>
      </c>
      <c r="J57" t="n">
        <v>1</v>
      </c>
      <c r="K57" t="n">
        <v>1</v>
      </c>
      <c r="L57" t="n">
        <v>0</v>
      </c>
      <c r="M57" t="n">
        <v>0</v>
      </c>
      <c r="N57" t="n">
        <v>0</v>
      </c>
      <c r="O57" t="n">
        <v>0</v>
      </c>
      <c r="P57" t="n">
        <v>0</v>
      </c>
      <c r="Q57" t="n">
        <v>0</v>
      </c>
      <c r="R57" t="n">
        <v>0</v>
      </c>
      <c r="S57" t="n">
        <v>2</v>
      </c>
      <c r="T57" t="n">
        <v>2</v>
      </c>
      <c r="U57" s="2" t="inlineStr">
        <is>
          <t>Vätteros
Gröngöling</t>
        </is>
      </c>
      <c r="V57">
        <f>HYPERLINK("https://klasma.github.io/Logging_0685/artfynd/A 31979-2025 artfynd.xlsx", "A 31979-2025")</f>
        <v/>
      </c>
      <c r="W57">
        <f>HYPERLINK("https://klasma.github.io/Logging_0685/kartor/A 31979-2025 karta.png", "A 31979-2025")</f>
        <v/>
      </c>
      <c r="Y57">
        <f>HYPERLINK("https://klasma.github.io/Logging_0685/klagomål/A 31979-2025 FSC-klagomål.docx", "A 31979-2025")</f>
        <v/>
      </c>
      <c r="Z57">
        <f>HYPERLINK("https://klasma.github.io/Logging_0685/klagomålsmail/A 31979-2025 FSC-klagomål mail.docx", "A 31979-2025")</f>
        <v/>
      </c>
      <c r="AA57">
        <f>HYPERLINK("https://klasma.github.io/Logging_0685/tillsyn/A 31979-2025 tillsynsbegäran.docx", "A 31979-2025")</f>
        <v/>
      </c>
      <c r="AB57">
        <f>HYPERLINK("https://klasma.github.io/Logging_0685/tillsynsmail/A 31979-2025 tillsynsbegäran mail.docx", "A 31979-2025")</f>
        <v/>
      </c>
    </row>
    <row r="58" ht="15" customHeight="1">
      <c r="A58" t="inlineStr">
        <is>
          <t>A 33068-2025</t>
        </is>
      </c>
      <c r="B58" t="inlineStr">
        <is>
          <t>avverkningsanmälan</t>
        </is>
      </c>
      <c r="C58" t="inlineStr">
        <is>
          <t>Föryngringsavverkning</t>
        </is>
      </c>
      <c r="D58" s="1" t="n">
        <v>45840</v>
      </c>
      <c r="E58" s="1" t="n">
        <v>46217</v>
      </c>
      <c r="F58" t="inlineStr">
        <is>
          <t>JÖNKÖPINGS LÄN</t>
        </is>
      </c>
      <c r="G58" t="inlineStr">
        <is>
          <t>VETLANDA</t>
        </is>
      </c>
      <c r="I58" t="n">
        <v>2.1</v>
      </c>
      <c r="J58" t="n">
        <v>0</v>
      </c>
      <c r="K58" t="n">
        <v>0</v>
      </c>
      <c r="L58" t="n">
        <v>1</v>
      </c>
      <c r="M58" t="n">
        <v>1</v>
      </c>
      <c r="N58" t="n">
        <v>0</v>
      </c>
      <c r="O58" t="n">
        <v>0</v>
      </c>
      <c r="P58" t="n">
        <v>0</v>
      </c>
      <c r="Q58" t="n">
        <v>2</v>
      </c>
      <c r="R58" t="n">
        <v>1</v>
      </c>
      <c r="S58" t="n">
        <v>2</v>
      </c>
      <c r="T58" t="n">
        <v>2</v>
      </c>
      <c r="U58" s="2" t="inlineStr">
        <is>
          <t>Åkerrättika
Klofibbla</t>
        </is>
      </c>
      <c r="V58">
        <f>HYPERLINK("https://klasma.github.io/Logging_0685/artfynd/A 33068-2025 artfynd.xlsx", "A 33068-2025")</f>
        <v/>
      </c>
      <c r="W58">
        <f>HYPERLINK("https://klasma.github.io/Logging_0685/kartor/A 33068-2025 karta.png", "A 33068-2025")</f>
        <v/>
      </c>
      <c r="Y58">
        <f>HYPERLINK("https://klasma.github.io/Logging_0685/klagomål/A 33068-2025 FSC-klagomål.docx", "A 33068-2025")</f>
        <v/>
      </c>
      <c r="Z58">
        <f>HYPERLINK("https://klasma.github.io/Logging_0685/klagomålsmail/A 33068-2025 FSC-klagomål mail.docx", "A 33068-2025")</f>
        <v/>
      </c>
      <c r="AA58">
        <f>HYPERLINK("https://klasma.github.io/Logging_0685/tillsyn/A 33068-2025 tillsynsbegäran.docx", "A 33068-2025")</f>
        <v/>
      </c>
      <c r="AB58">
        <f>HYPERLINK("https://klasma.github.io/Logging_0685/tillsynsmail/A 33068-2025 tillsynsbegäran mail.docx", "A 33068-2025")</f>
        <v/>
      </c>
    </row>
    <row r="59" ht="15" customHeight="1">
      <c r="A59" t="inlineStr">
        <is>
          <t>A 35724-2025</t>
        </is>
      </c>
      <c r="B59" t="inlineStr">
        <is>
          <t>avverkningsanmälan</t>
        </is>
      </c>
      <c r="C59" t="inlineStr">
        <is>
          <t>Avverkning för annat ändamål</t>
        </is>
      </c>
      <c r="D59" s="1" t="n">
        <v>45860</v>
      </c>
      <c r="E59" s="1" t="n">
        <v>46217</v>
      </c>
      <c r="F59" t="inlineStr">
        <is>
          <t>JÖNKÖPINGS LÄN</t>
        </is>
      </c>
      <c r="G59" t="inlineStr">
        <is>
          <t>VETLANDA</t>
        </is>
      </c>
      <c r="I59" t="n">
        <v>0.3</v>
      </c>
      <c r="J59" t="n">
        <v>0</v>
      </c>
      <c r="K59" t="n">
        <v>1</v>
      </c>
      <c r="L59" t="n">
        <v>1</v>
      </c>
      <c r="M59" t="n">
        <v>0</v>
      </c>
      <c r="N59" t="n">
        <v>0</v>
      </c>
      <c r="O59" t="n">
        <v>0</v>
      </c>
      <c r="P59" t="n">
        <v>0</v>
      </c>
      <c r="Q59" t="n">
        <v>1</v>
      </c>
      <c r="R59" t="n">
        <v>0</v>
      </c>
      <c r="S59" t="n">
        <v>2</v>
      </c>
      <c r="T59" t="n">
        <v>2</v>
      </c>
      <c r="U59" s="2" t="inlineStr">
        <is>
          <t>Dynstinksvamp
Smal svampklubba</t>
        </is>
      </c>
      <c r="V59">
        <f>HYPERLINK("https://klasma.github.io/Logging_0685/artfynd/A 35724-2025 artfynd.xlsx", "A 35724-2025")</f>
        <v/>
      </c>
      <c r="W59">
        <f>HYPERLINK("https://klasma.github.io/Logging_0685/kartor/A 35724-2025 karta.png", "A 35724-2025")</f>
        <v/>
      </c>
      <c r="Y59">
        <f>HYPERLINK("https://klasma.github.io/Logging_0685/klagomål/A 35724-2025 FSC-klagomål.docx", "A 35724-2025")</f>
        <v/>
      </c>
      <c r="Z59">
        <f>HYPERLINK("https://klasma.github.io/Logging_0685/klagomålsmail/A 35724-2025 FSC-klagomål mail.docx", "A 35724-2025")</f>
        <v/>
      </c>
      <c r="AA59">
        <f>HYPERLINK("https://klasma.github.io/Logging_0685/tillsyn/A 35724-2025 tillsynsbegäran.docx", "A 35724-2025")</f>
        <v/>
      </c>
      <c r="AB59">
        <f>HYPERLINK("https://klasma.github.io/Logging_0685/tillsynsmail/A 35724-2025 tillsynsbegäran mail.docx", "A 35724-2025")</f>
        <v/>
      </c>
    </row>
    <row r="60" ht="15" customHeight="1">
      <c r="A60" t="inlineStr">
        <is>
          <t>S 2328-2023</t>
        </is>
      </c>
      <c r="B60" t="inlineStr">
        <is>
          <t>samrådsanmälan</t>
        </is>
      </c>
      <c r="C60" t="inlineStr">
        <is>
          <t>Askåterföring</t>
        </is>
      </c>
      <c r="D60" s="1" t="n">
        <v>45106</v>
      </c>
      <c r="E60" s="1" t="n">
        <v>46217</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Y60">
        <f>HYPERLINK("https://klasma.github.io/Logging_0685/klagomål/S 2328-2023 FSC-klagomål.docx", "S 2328-2023")</f>
        <v/>
      </c>
      <c r="Z60">
        <f>HYPERLINK("https://klasma.github.io/Logging_0685/klagomålsmail/S 2328-2023 FSC-klagomål mail.docx", "S 2328-2023")</f>
        <v/>
      </c>
      <c r="AA60">
        <f>HYPERLINK("https://klasma.github.io/Logging_0685/tillsyn/S 2328-2023 tillsynsbegäran.docx", "S 2328-2023")</f>
        <v/>
      </c>
      <c r="AB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46217</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Y61">
        <f>HYPERLINK("https://klasma.github.io/Logging_0685/klagomål/S 2957-2024 FSC-klagomål.docx", "S 2957-2024")</f>
        <v/>
      </c>
      <c r="Z61">
        <f>HYPERLINK("https://klasma.github.io/Logging_0685/klagomålsmail/S 2957-2024 FSC-klagomål mail.docx", "S 2957-2024")</f>
        <v/>
      </c>
      <c r="AA61">
        <f>HYPERLINK("https://klasma.github.io/Logging_0685/tillsyn/S 2957-2024 tillsynsbegäran.docx", "S 2957-2024")</f>
        <v/>
      </c>
      <c r="AB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46217</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Y62">
        <f>HYPERLINK("https://klasma.github.io/Logging_0685/klagomål/S 2864-2024 FSC-klagomål.docx", "S 2864-2024")</f>
        <v/>
      </c>
      <c r="Z62">
        <f>HYPERLINK("https://klasma.github.io/Logging_0685/klagomålsmail/S 2864-2024 FSC-klagomål mail.docx", "S 2864-2024")</f>
        <v/>
      </c>
      <c r="AA62">
        <f>HYPERLINK("https://klasma.github.io/Logging_0685/tillsyn/S 2864-2024 tillsynsbegäran.docx", "S 2864-2024")</f>
        <v/>
      </c>
      <c r="AB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46217</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Y63">
        <f>HYPERLINK("https://klasma.github.io/Logging_0685/klagomål/S 3436-2023 FSC-klagomål.docx", "S 3436-2023")</f>
        <v/>
      </c>
      <c r="Z63">
        <f>HYPERLINK("https://klasma.github.io/Logging_0685/klagomålsmail/S 3436-2023 FSC-klagomål mail.docx", "S 3436-2023")</f>
        <v/>
      </c>
      <c r="AA63">
        <f>HYPERLINK("https://klasma.github.io/Logging_0685/tillsyn/S 3436-2023 tillsynsbegäran.docx", "S 3436-2023")</f>
        <v/>
      </c>
      <c r="AB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46217</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Y64">
        <f>HYPERLINK("https://klasma.github.io/Logging_0685/klagomål/S 3478-2024 FSC-klagomål.docx", "S 3478-2024")</f>
        <v/>
      </c>
      <c r="Z64">
        <f>HYPERLINK("https://klasma.github.io/Logging_0685/klagomålsmail/S 3478-2024 FSC-klagomål mail.docx", "S 3478-2024")</f>
        <v/>
      </c>
      <c r="AA64">
        <f>HYPERLINK("https://klasma.github.io/Logging_0685/tillsyn/S 3478-2024 tillsynsbegäran.docx", "S 3478-2024")</f>
        <v/>
      </c>
      <c r="AB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46217</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Y65">
        <f>HYPERLINK("https://klasma.github.io/Logging_0685/klagomål/S 224-2026 FSC-klagomål.docx", "S 224-2026")</f>
        <v/>
      </c>
      <c r="Z65">
        <f>HYPERLINK("https://klasma.github.io/Logging_0685/klagomålsmail/S 224-2026 FSC-klagomål mail.docx", "S 224-2026")</f>
        <v/>
      </c>
      <c r="AA65">
        <f>HYPERLINK("https://klasma.github.io/Logging_0685/tillsyn/S 224-2026 tillsynsbegäran.docx", "S 224-2026")</f>
        <v/>
      </c>
      <c r="AB65">
        <f>HYPERLINK("https://klasma.github.io/Logging_0685/tillsynsmail/S 224-2026 tillsynsbegäran mail.docx", "S 224-2026")</f>
        <v/>
      </c>
      <c r="AC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46217</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Y66">
        <f>HYPERLINK("https://klasma.github.io/Logging_0685/klagomål/A 43385-2022 FSC-klagomål.docx", "A 43385-2022")</f>
        <v/>
      </c>
      <c r="Z66">
        <f>HYPERLINK("https://klasma.github.io/Logging_0685/klagomålsmail/A 43385-2022 FSC-klagomål mail.docx", "A 43385-2022")</f>
        <v/>
      </c>
      <c r="AA66">
        <f>HYPERLINK("https://klasma.github.io/Logging_0685/tillsyn/A 43385-2022 tillsynsbegäran.docx", "A 43385-2022")</f>
        <v/>
      </c>
      <c r="AB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46217</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Y67">
        <f>HYPERLINK("https://klasma.github.io/Logging_0685/klagomål/A 51852-2021 FSC-klagomål.docx", "A 51852-2021")</f>
        <v/>
      </c>
      <c r="Z67">
        <f>HYPERLINK("https://klasma.github.io/Logging_0685/klagomålsmail/A 51852-2021 FSC-klagomål mail.docx", "A 51852-2021")</f>
        <v/>
      </c>
      <c r="AA67">
        <f>HYPERLINK("https://klasma.github.io/Logging_0685/tillsyn/A 51852-2021 tillsynsbegäran.docx", "A 51852-2021")</f>
        <v/>
      </c>
      <c r="AB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46217</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Y68">
        <f>HYPERLINK("https://klasma.github.io/Logging_0685/klagomål/A 25771-2022 FSC-klagomål.docx", "A 25771-2022")</f>
        <v/>
      </c>
      <c r="Z68">
        <f>HYPERLINK("https://klasma.github.io/Logging_0685/klagomålsmail/A 25771-2022 FSC-klagomål mail.docx", "A 25771-2022")</f>
        <v/>
      </c>
      <c r="AA68">
        <f>HYPERLINK("https://klasma.github.io/Logging_0685/tillsyn/A 25771-2022 tillsynsbegäran.docx", "A 25771-2022")</f>
        <v/>
      </c>
      <c r="AB68">
        <f>HYPERLINK("https://klasma.github.io/Logging_0685/tillsynsmail/A 25771-2022 tillsynsbegäran mail.docx", "A 25771-2022")</f>
        <v/>
      </c>
    </row>
    <row r="69" ht="15" customHeight="1">
      <c r="A69" t="inlineStr">
        <is>
          <t>A 37205-2021</t>
        </is>
      </c>
      <c r="B69" t="inlineStr">
        <is>
          <t>avverkningsanmälan</t>
        </is>
      </c>
      <c r="C69" t="inlineStr">
        <is>
          <t>Föryngringsavverkning</t>
        </is>
      </c>
      <c r="D69" s="1" t="n">
        <v>44396</v>
      </c>
      <c r="E69" s="1" t="n">
        <v>46217</v>
      </c>
      <c r="F69" t="inlineStr">
        <is>
          <t>JÖNKÖPINGS LÄN</t>
        </is>
      </c>
      <c r="G69" t="inlineStr">
        <is>
          <t>VETLANDA</t>
        </is>
      </c>
      <c r="I69" t="n">
        <v>1.4</v>
      </c>
      <c r="J69" t="n">
        <v>1</v>
      </c>
      <c r="K69" t="n">
        <v>0</v>
      </c>
      <c r="L69" t="n">
        <v>1</v>
      </c>
      <c r="M69" t="n">
        <v>0</v>
      </c>
      <c r="N69" t="n">
        <v>0</v>
      </c>
      <c r="O69" t="n">
        <v>0</v>
      </c>
      <c r="P69" t="n">
        <v>0</v>
      </c>
      <c r="Q69" t="n">
        <v>1</v>
      </c>
      <c r="R69" t="n">
        <v>0</v>
      </c>
      <c r="S69" t="n">
        <v>1</v>
      </c>
      <c r="T69" t="n">
        <v>1</v>
      </c>
      <c r="U69" s="2" t="inlineStr">
        <is>
          <t>Nordfladdermus</t>
        </is>
      </c>
      <c r="V69">
        <f>HYPERLINK("https://klasma.github.io/Logging_0685/artfynd/A 37205-2021 artfynd.xlsx", "A 37205-2021")</f>
        <v/>
      </c>
      <c r="W69">
        <f>HYPERLINK("https://klasma.github.io/Logging_0685/kartor/A 37205-2021 karta.png", "A 37205-2021")</f>
        <v/>
      </c>
      <c r="Y69">
        <f>HYPERLINK("https://klasma.github.io/Logging_0685/klagomål/A 37205-2021 FSC-klagomål.docx", "A 37205-2021")</f>
        <v/>
      </c>
      <c r="Z69">
        <f>HYPERLINK("https://klasma.github.io/Logging_0685/klagomålsmail/A 37205-2021 FSC-klagomål mail.docx", "A 37205-2021")</f>
        <v/>
      </c>
      <c r="AA69">
        <f>HYPERLINK("https://klasma.github.io/Logging_0685/tillsyn/A 37205-2021 tillsynsbegäran.docx", "A 37205-2021")</f>
        <v/>
      </c>
      <c r="AB69">
        <f>HYPERLINK("https://klasma.github.io/Logging_0685/tillsynsmail/A 37205-2021 tillsynsbegäran mail.docx", "A 37205-2021")</f>
        <v/>
      </c>
    </row>
    <row r="70" ht="15" customHeight="1">
      <c r="A70" t="inlineStr">
        <is>
          <t>A 28349-2022</t>
        </is>
      </c>
      <c r="B70" t="inlineStr">
        <is>
          <t>avverkningsanmälan</t>
        </is>
      </c>
      <c r="C70" t="inlineStr">
        <is>
          <t>Föryngringsavverkning</t>
        </is>
      </c>
      <c r="D70" s="1" t="n">
        <v>44747</v>
      </c>
      <c r="E70" s="1" t="n">
        <v>46217</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s="2" t="inlineStr">
        <is>
          <t>Grönvit nattviol</t>
        </is>
      </c>
      <c r="V70">
        <f>HYPERLINK("https://klasma.github.io/Logging_0685/artfynd/A 28349-2022 artfynd.xlsx", "A 28349-2022")</f>
        <v/>
      </c>
      <c r="W70">
        <f>HYPERLINK("https://klasma.github.io/Logging_0685/kartor/A 28349-2022 karta.png", "A 28349-2022")</f>
        <v/>
      </c>
      <c r="Y70">
        <f>HYPERLINK("https://klasma.github.io/Logging_0685/klagomål/A 28349-2022 FSC-klagomål.docx", "A 28349-2022")</f>
        <v/>
      </c>
      <c r="Z70">
        <f>HYPERLINK("https://klasma.github.io/Logging_0685/klagomålsmail/A 28349-2022 FSC-klagomål mail.docx", "A 28349-2022")</f>
        <v/>
      </c>
      <c r="AA70">
        <f>HYPERLINK("https://klasma.github.io/Logging_0685/tillsyn/A 28349-2022 tillsynsbegäran.docx", "A 28349-2022")</f>
        <v/>
      </c>
      <c r="AB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46217</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s="2" t="inlineStr">
        <is>
          <t>Ask</t>
        </is>
      </c>
      <c r="V71">
        <f>HYPERLINK("https://klasma.github.io/Logging_0685/artfynd/A 49388-2021 artfynd.xlsx", "A 49388-2021")</f>
        <v/>
      </c>
      <c r="W71">
        <f>HYPERLINK("https://klasma.github.io/Logging_0685/kartor/A 49388-2021 karta.png", "A 49388-2021")</f>
        <v/>
      </c>
      <c r="Y71">
        <f>HYPERLINK("https://klasma.github.io/Logging_0685/klagomål/A 49388-2021 FSC-klagomål.docx", "A 49388-2021")</f>
        <v/>
      </c>
      <c r="Z71">
        <f>HYPERLINK("https://klasma.github.io/Logging_0685/klagomålsmail/A 49388-2021 FSC-klagomål mail.docx", "A 49388-2021")</f>
        <v/>
      </c>
      <c r="AA71">
        <f>HYPERLINK("https://klasma.github.io/Logging_0685/tillsyn/A 49388-2021 tillsynsbegäran.docx", "A 49388-2021")</f>
        <v/>
      </c>
      <c r="AB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46217</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4672-2022 artfynd.xlsx", "A 4672-2022")</f>
        <v/>
      </c>
      <c r="W72">
        <f>HYPERLINK("https://klasma.github.io/Logging_0685/kartor/A 4672-2022 karta.png", "A 4672-2022")</f>
        <v/>
      </c>
      <c r="Y72">
        <f>HYPERLINK("https://klasma.github.io/Logging_0685/klagomål/A 4672-2022 FSC-klagomål.docx", "A 4672-2022")</f>
        <v/>
      </c>
      <c r="Z72">
        <f>HYPERLINK("https://klasma.github.io/Logging_0685/klagomålsmail/A 4672-2022 FSC-klagomål mail.docx", "A 4672-2022")</f>
        <v/>
      </c>
      <c r="AA72">
        <f>HYPERLINK("https://klasma.github.io/Logging_0685/tillsyn/A 4672-2022 tillsynsbegäran.docx", "A 4672-2022")</f>
        <v/>
      </c>
      <c r="AB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46217</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s="2" t="inlineStr">
        <is>
          <t>Adam och eva</t>
        </is>
      </c>
      <c r="V73">
        <f>HYPERLINK("https://klasma.github.io/Logging_0685/artfynd/A 26920-2022 artfynd.xlsx", "A 26920-2022")</f>
        <v/>
      </c>
      <c r="W73">
        <f>HYPERLINK("https://klasma.github.io/Logging_0685/kartor/A 26920-2022 karta.png", "A 26920-2022")</f>
        <v/>
      </c>
      <c r="Y73">
        <f>HYPERLINK("https://klasma.github.io/Logging_0685/klagomål/A 26920-2022 FSC-klagomål.docx", "A 26920-2022")</f>
        <v/>
      </c>
      <c r="Z73">
        <f>HYPERLINK("https://klasma.github.io/Logging_0685/klagomålsmail/A 26920-2022 FSC-klagomål mail.docx", "A 26920-2022")</f>
        <v/>
      </c>
      <c r="AA73">
        <f>HYPERLINK("https://klasma.github.io/Logging_0685/tillsyn/A 26920-2022 tillsynsbegäran.docx", "A 26920-2022")</f>
        <v/>
      </c>
      <c r="AB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46217</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s="2" t="inlineStr">
        <is>
          <t>Vanlig padda</t>
        </is>
      </c>
      <c r="V74">
        <f>HYPERLINK("https://klasma.github.io/Logging_0685/artfynd/A 40737-2022 artfynd.xlsx", "A 40737-2022")</f>
        <v/>
      </c>
      <c r="W74">
        <f>HYPERLINK("https://klasma.github.io/Logging_0685/kartor/A 40737-2022 karta.png", "A 40737-2022")</f>
        <v/>
      </c>
      <c r="Y74">
        <f>HYPERLINK("https://klasma.github.io/Logging_0685/klagomål/A 40737-2022 FSC-klagomål.docx", "A 40737-2022")</f>
        <v/>
      </c>
      <c r="Z74">
        <f>HYPERLINK("https://klasma.github.io/Logging_0685/klagomålsmail/A 40737-2022 FSC-klagomål mail.docx", "A 40737-2022")</f>
        <v/>
      </c>
      <c r="AA74">
        <f>HYPERLINK("https://klasma.github.io/Logging_0685/tillsyn/A 40737-2022 tillsynsbegäran.docx", "A 40737-2022")</f>
        <v/>
      </c>
      <c r="AB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46217</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s="2" t="inlineStr">
        <is>
          <t>Ask</t>
        </is>
      </c>
      <c r="V75">
        <f>HYPERLINK("https://klasma.github.io/Logging_0685/artfynd/A 12349-2024 artfynd.xlsx", "A 12349-2024")</f>
        <v/>
      </c>
      <c r="W75">
        <f>HYPERLINK("https://klasma.github.io/Logging_0685/kartor/A 12349-2024 karta.png", "A 12349-2024")</f>
        <v/>
      </c>
      <c r="Y75">
        <f>HYPERLINK("https://klasma.github.io/Logging_0685/klagomål/A 12349-2024 FSC-klagomål.docx", "A 12349-2024")</f>
        <v/>
      </c>
      <c r="Z75">
        <f>HYPERLINK("https://klasma.github.io/Logging_0685/klagomålsmail/A 12349-2024 FSC-klagomål mail.docx", "A 12349-2024")</f>
        <v/>
      </c>
      <c r="AA75">
        <f>HYPERLINK("https://klasma.github.io/Logging_0685/tillsyn/A 12349-2024 tillsynsbegäran.docx", "A 12349-2024")</f>
        <v/>
      </c>
      <c r="AB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46217</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s="2" t="inlineStr">
        <is>
          <t>Strutbräken</t>
        </is>
      </c>
      <c r="V76">
        <f>HYPERLINK("https://klasma.github.io/Logging_0685/artfynd/A 6777-2024 artfynd.xlsx", "A 6777-2024")</f>
        <v/>
      </c>
      <c r="W76">
        <f>HYPERLINK("https://klasma.github.io/Logging_0685/kartor/A 6777-2024 karta.png", "A 6777-2024")</f>
        <v/>
      </c>
      <c r="Y76">
        <f>HYPERLINK("https://klasma.github.io/Logging_0685/klagomål/A 6777-2024 FSC-klagomål.docx", "A 6777-2024")</f>
        <v/>
      </c>
      <c r="Z76">
        <f>HYPERLINK("https://klasma.github.io/Logging_0685/klagomålsmail/A 6777-2024 FSC-klagomål mail.docx", "A 6777-2024")</f>
        <v/>
      </c>
      <c r="AA76">
        <f>HYPERLINK("https://klasma.github.io/Logging_0685/tillsyn/A 6777-2024 tillsynsbegäran.docx", "A 6777-2024")</f>
        <v/>
      </c>
      <c r="AB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46217</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s="2" t="inlineStr">
        <is>
          <t>Slåttergubbe</t>
        </is>
      </c>
      <c r="V77">
        <f>HYPERLINK("https://klasma.github.io/Logging_0685/artfynd/A 32142-2023 artfynd.xlsx", "A 32142-2023")</f>
        <v/>
      </c>
      <c r="W77">
        <f>HYPERLINK("https://klasma.github.io/Logging_0685/kartor/A 32142-2023 karta.png", "A 32142-2023")</f>
        <v/>
      </c>
      <c r="Y77">
        <f>HYPERLINK("https://klasma.github.io/Logging_0685/klagomål/A 32142-2023 FSC-klagomål.docx", "A 32142-2023")</f>
        <v/>
      </c>
      <c r="Z77">
        <f>HYPERLINK("https://klasma.github.io/Logging_0685/klagomålsmail/A 32142-2023 FSC-klagomål mail.docx", "A 32142-2023")</f>
        <v/>
      </c>
      <c r="AA77">
        <f>HYPERLINK("https://klasma.github.io/Logging_0685/tillsyn/A 32142-2023 tillsynsbegäran.docx", "A 32142-2023")</f>
        <v/>
      </c>
      <c r="AB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46217</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s="2" t="inlineStr">
        <is>
          <t>Trubbfjädermossa</t>
        </is>
      </c>
      <c r="V78">
        <f>HYPERLINK("https://klasma.github.io/Logging_0685/artfynd/A 43100-2022 artfynd.xlsx", "A 43100-2022")</f>
        <v/>
      </c>
      <c r="W78">
        <f>HYPERLINK("https://klasma.github.io/Logging_0685/kartor/A 43100-2022 karta.png", "A 43100-2022")</f>
        <v/>
      </c>
      <c r="Y78">
        <f>HYPERLINK("https://klasma.github.io/Logging_0685/klagomål/A 43100-2022 FSC-klagomål.docx", "A 43100-2022")</f>
        <v/>
      </c>
      <c r="Z78">
        <f>HYPERLINK("https://klasma.github.io/Logging_0685/klagomålsmail/A 43100-2022 FSC-klagomål mail.docx", "A 43100-2022")</f>
        <v/>
      </c>
      <c r="AA78">
        <f>HYPERLINK("https://klasma.github.io/Logging_0685/tillsyn/A 43100-2022 tillsynsbegäran.docx", "A 43100-2022")</f>
        <v/>
      </c>
      <c r="AB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46217</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s="2" t="inlineStr">
        <is>
          <t>Blåsippa</t>
        </is>
      </c>
      <c r="V79">
        <f>HYPERLINK("https://klasma.github.io/Logging_0685/artfynd/A 15666-2023 artfynd.xlsx", "A 15666-2023")</f>
        <v/>
      </c>
      <c r="W79">
        <f>HYPERLINK("https://klasma.github.io/Logging_0685/kartor/A 15666-2023 karta.png", "A 15666-2023")</f>
        <v/>
      </c>
      <c r="Y79">
        <f>HYPERLINK("https://klasma.github.io/Logging_0685/klagomål/A 15666-2023 FSC-klagomål.docx", "A 15666-2023")</f>
        <v/>
      </c>
      <c r="Z79">
        <f>HYPERLINK("https://klasma.github.io/Logging_0685/klagomålsmail/A 15666-2023 FSC-klagomål mail.docx", "A 15666-2023")</f>
        <v/>
      </c>
      <c r="AA79">
        <f>HYPERLINK("https://klasma.github.io/Logging_0685/tillsyn/A 15666-2023 tillsynsbegäran.docx", "A 15666-2023")</f>
        <v/>
      </c>
      <c r="AB79">
        <f>HYPERLINK("https://klasma.github.io/Logging_0685/tillsynsmail/A 15666-2023 tillsynsbegäran mail.docx", "A 15666-2023")</f>
        <v/>
      </c>
    </row>
    <row r="80" ht="15" customHeight="1">
      <c r="A80" t="inlineStr">
        <is>
          <t>A 24945-2023</t>
        </is>
      </c>
      <c r="B80" t="inlineStr">
        <is>
          <t>avverkningsanmälan</t>
        </is>
      </c>
      <c r="C80" t="inlineStr">
        <is>
          <t>Föryngringsavverkning</t>
        </is>
      </c>
      <c r="D80" s="1" t="n">
        <v>45085</v>
      </c>
      <c r="E80" s="1" t="n">
        <v>46217</v>
      </c>
      <c r="F80" t="inlineStr">
        <is>
          <t>JÖNKÖPINGS LÄN</t>
        </is>
      </c>
      <c r="G80" t="inlineStr">
        <is>
          <t>VETLANDA</t>
        </is>
      </c>
      <c r="I80" t="n">
        <v>0.5</v>
      </c>
      <c r="J80" t="n">
        <v>0</v>
      </c>
      <c r="K80" t="n">
        <v>0</v>
      </c>
      <c r="L80" t="n">
        <v>1</v>
      </c>
      <c r="M80" t="n">
        <v>0</v>
      </c>
      <c r="N80" t="n">
        <v>0</v>
      </c>
      <c r="O80" t="n">
        <v>0</v>
      </c>
      <c r="P80" t="n">
        <v>0</v>
      </c>
      <c r="Q80" t="n">
        <v>1</v>
      </c>
      <c r="R80" t="n">
        <v>0</v>
      </c>
      <c r="S80" t="n">
        <v>1</v>
      </c>
      <c r="T80" t="n">
        <v>1</v>
      </c>
      <c r="U80" s="2" t="inlineStr">
        <is>
          <t>Skarp dropptaggsvamp</t>
        </is>
      </c>
      <c r="V80">
        <f>HYPERLINK("https://klasma.github.io/Logging_0685/artfynd/A 24945-2023 artfynd.xlsx", "A 24945-2023")</f>
        <v/>
      </c>
      <c r="W80">
        <f>HYPERLINK("https://klasma.github.io/Logging_0685/kartor/A 24945-2023 karta.png", "A 24945-2023")</f>
        <v/>
      </c>
      <c r="Y80">
        <f>HYPERLINK("https://klasma.github.io/Logging_0685/klagomål/A 24945-2023 FSC-klagomål.docx", "A 24945-2023")</f>
        <v/>
      </c>
      <c r="Z80">
        <f>HYPERLINK("https://klasma.github.io/Logging_0685/klagomålsmail/A 24945-2023 FSC-klagomål mail.docx", "A 24945-2023")</f>
        <v/>
      </c>
      <c r="AA80">
        <f>HYPERLINK("https://klasma.github.io/Logging_0685/tillsyn/A 24945-2023 tillsynsbegäran.docx", "A 24945-2023")</f>
        <v/>
      </c>
      <c r="AB80">
        <f>HYPERLINK("https://klasma.github.io/Logging_0685/tillsynsmail/A 24945-2023 tillsynsbegäran mail.docx", "A 24945-2023")</f>
        <v/>
      </c>
    </row>
    <row r="81" ht="15" customHeight="1">
      <c r="A81" t="inlineStr">
        <is>
          <t>A 47071-2024</t>
        </is>
      </c>
      <c r="B81" t="inlineStr">
        <is>
          <t>avverkningsanmälan</t>
        </is>
      </c>
      <c r="C81" t="inlineStr">
        <is>
          <t>Föryngringsavverkning</t>
        </is>
      </c>
      <c r="D81" s="1" t="n">
        <v>45586</v>
      </c>
      <c r="E81" s="1" t="n">
        <v>46217</v>
      </c>
      <c r="F81" t="inlineStr">
        <is>
          <t>JÖNKÖPINGS LÄN</t>
        </is>
      </c>
      <c r="G81" t="inlineStr">
        <is>
          <t>VETLANDA</t>
        </is>
      </c>
      <c r="I81" t="n">
        <v>3.6</v>
      </c>
      <c r="J81" t="n">
        <v>0</v>
      </c>
      <c r="K81" t="n">
        <v>0</v>
      </c>
      <c r="L81" t="n">
        <v>1</v>
      </c>
      <c r="M81" t="n">
        <v>0</v>
      </c>
      <c r="N81" t="n">
        <v>0</v>
      </c>
      <c r="O81" t="n">
        <v>0</v>
      </c>
      <c r="P81" t="n">
        <v>0</v>
      </c>
      <c r="Q81" t="n">
        <v>1</v>
      </c>
      <c r="R81" t="n">
        <v>0</v>
      </c>
      <c r="S81" t="n">
        <v>1</v>
      </c>
      <c r="T81" t="n">
        <v>1</v>
      </c>
      <c r="U81" s="2" t="inlineStr">
        <is>
          <t>Etternässla</t>
        </is>
      </c>
      <c r="V81">
        <f>HYPERLINK("https://klasma.github.io/Logging_0685/artfynd/A 47071-2024 artfynd.xlsx", "A 47071-2024")</f>
        <v/>
      </c>
      <c r="W81">
        <f>HYPERLINK("https://klasma.github.io/Logging_0685/kartor/A 47071-2024 karta.png", "A 47071-2024")</f>
        <v/>
      </c>
      <c r="Y81">
        <f>HYPERLINK("https://klasma.github.io/Logging_0685/klagomål/A 47071-2024 FSC-klagomål.docx", "A 47071-2024")</f>
        <v/>
      </c>
      <c r="Z81">
        <f>HYPERLINK("https://klasma.github.io/Logging_0685/klagomålsmail/A 47071-2024 FSC-klagomål mail.docx", "A 47071-2024")</f>
        <v/>
      </c>
      <c r="AA81">
        <f>HYPERLINK("https://klasma.github.io/Logging_0685/tillsyn/A 47071-2024 tillsynsbegäran.docx", "A 47071-2024")</f>
        <v/>
      </c>
      <c r="AB81">
        <f>HYPERLINK("https://klasma.github.io/Logging_0685/tillsynsmail/A 47071-2024 tillsynsbegäran mail.docx", "A 47071-2024")</f>
        <v/>
      </c>
    </row>
    <row r="82" ht="15" customHeight="1">
      <c r="A82" t="inlineStr">
        <is>
          <t>A 32318-2022</t>
        </is>
      </c>
      <c r="B82" t="inlineStr">
        <is>
          <t>avverkningsanmälan</t>
        </is>
      </c>
      <c r="C82" t="inlineStr">
        <is>
          <t>Föryngringsavverkning</t>
        </is>
      </c>
      <c r="D82" s="1" t="n">
        <v>44781</v>
      </c>
      <c r="E82" s="1" t="n">
        <v>46217</v>
      </c>
      <c r="F82" t="inlineStr">
        <is>
          <t>JÖNKÖPINGS LÄN</t>
        </is>
      </c>
      <c r="G82" t="inlineStr">
        <is>
          <t>VETLANDA</t>
        </is>
      </c>
      <c r="I82" t="n">
        <v>2.2</v>
      </c>
      <c r="J82" t="n">
        <v>1</v>
      </c>
      <c r="K82" t="n">
        <v>0</v>
      </c>
      <c r="L82" t="n">
        <v>0</v>
      </c>
      <c r="M82" t="n">
        <v>0</v>
      </c>
      <c r="N82" t="n">
        <v>0</v>
      </c>
      <c r="O82" t="n">
        <v>0</v>
      </c>
      <c r="P82" t="n">
        <v>0</v>
      </c>
      <c r="Q82" t="n">
        <v>0</v>
      </c>
      <c r="R82" t="n">
        <v>0</v>
      </c>
      <c r="S82" t="n">
        <v>1</v>
      </c>
      <c r="T82" t="n">
        <v>1</v>
      </c>
      <c r="U82" s="2" t="inlineStr">
        <is>
          <t>Mattlummer</t>
        </is>
      </c>
      <c r="V82">
        <f>HYPERLINK("https://klasma.github.io/Logging_0685/artfynd/A 32318-2022 artfynd.xlsx", "A 32318-2022")</f>
        <v/>
      </c>
      <c r="W82">
        <f>HYPERLINK("https://klasma.github.io/Logging_0685/kartor/A 32318-2022 karta.png", "A 32318-2022")</f>
        <v/>
      </c>
      <c r="Y82">
        <f>HYPERLINK("https://klasma.github.io/Logging_0685/klagomål/A 32318-2022 FSC-klagomål.docx", "A 32318-2022")</f>
        <v/>
      </c>
      <c r="Z82">
        <f>HYPERLINK("https://klasma.github.io/Logging_0685/klagomålsmail/A 32318-2022 FSC-klagomål mail.docx", "A 32318-2022")</f>
        <v/>
      </c>
      <c r="AA82">
        <f>HYPERLINK("https://klasma.github.io/Logging_0685/tillsyn/A 32318-2022 tillsynsbegäran.docx", "A 32318-2022")</f>
        <v/>
      </c>
      <c r="AB82">
        <f>HYPERLINK("https://klasma.github.io/Logging_0685/tillsynsmail/A 32318-2022 tillsynsbegäran mail.docx", "A 32318-2022")</f>
        <v/>
      </c>
    </row>
    <row r="83" ht="15" customHeight="1">
      <c r="A83" t="inlineStr">
        <is>
          <t>A 32193-2025</t>
        </is>
      </c>
      <c r="B83" t="inlineStr">
        <is>
          <t>avverkningsanmälan</t>
        </is>
      </c>
      <c r="C83" t="inlineStr">
        <is>
          <t>Föryngringsavverkning</t>
        </is>
      </c>
      <c r="D83" s="1" t="n">
        <v>45835</v>
      </c>
      <c r="E83" s="1" t="n">
        <v>46217</v>
      </c>
      <c r="F83" t="inlineStr">
        <is>
          <t>JÖNKÖPINGS LÄN</t>
        </is>
      </c>
      <c r="G83" t="inlineStr">
        <is>
          <t>VETLANDA</t>
        </is>
      </c>
      <c r="I83" t="n">
        <v>1</v>
      </c>
      <c r="J83" t="n">
        <v>0</v>
      </c>
      <c r="K83" t="n">
        <v>0</v>
      </c>
      <c r="L83" t="n">
        <v>1</v>
      </c>
      <c r="M83" t="n">
        <v>0</v>
      </c>
      <c r="N83" t="n">
        <v>0</v>
      </c>
      <c r="O83" t="n">
        <v>0</v>
      </c>
      <c r="P83" t="n">
        <v>0</v>
      </c>
      <c r="Q83" t="n">
        <v>1</v>
      </c>
      <c r="R83" t="n">
        <v>0</v>
      </c>
      <c r="S83" t="n">
        <v>1</v>
      </c>
      <c r="T83" t="n">
        <v>1</v>
      </c>
      <c r="U83" s="2" t="inlineStr">
        <is>
          <t>Gullklöver</t>
        </is>
      </c>
      <c r="V83">
        <f>HYPERLINK("https://klasma.github.io/Logging_0685/artfynd/A 32193-2025 artfynd.xlsx", "A 32193-2025")</f>
        <v/>
      </c>
      <c r="W83">
        <f>HYPERLINK("https://klasma.github.io/Logging_0685/kartor/A 32193-2025 karta.png", "A 32193-2025")</f>
        <v/>
      </c>
      <c r="Y83">
        <f>HYPERLINK("https://klasma.github.io/Logging_0685/klagomål/A 32193-2025 FSC-klagomål.docx", "A 32193-2025")</f>
        <v/>
      </c>
      <c r="Z83">
        <f>HYPERLINK("https://klasma.github.io/Logging_0685/klagomålsmail/A 32193-2025 FSC-klagomål mail.docx", "A 32193-2025")</f>
        <v/>
      </c>
      <c r="AA83">
        <f>HYPERLINK("https://klasma.github.io/Logging_0685/tillsyn/A 32193-2025 tillsynsbegäran.docx", "A 32193-2025")</f>
        <v/>
      </c>
      <c r="AB83">
        <f>HYPERLINK("https://klasma.github.io/Logging_0685/tillsynsmail/A 32193-2025 tillsynsbegäran mail.docx", "A 32193-2025")</f>
        <v/>
      </c>
    </row>
    <row r="84" ht="15" customHeight="1">
      <c r="A84" t="inlineStr">
        <is>
          <t>A 1953-2025</t>
        </is>
      </c>
      <c r="B84" t="inlineStr">
        <is>
          <t>avverkningsanmälan</t>
        </is>
      </c>
      <c r="C84" t="inlineStr">
        <is>
          <t>Föryngringsavverkning</t>
        </is>
      </c>
      <c r="D84" s="1" t="n">
        <v>45672</v>
      </c>
      <c r="E84" s="1" t="n">
        <v>46217</v>
      </c>
      <c r="F84" t="inlineStr">
        <is>
          <t>JÖNKÖPINGS LÄN</t>
        </is>
      </c>
      <c r="G84" t="inlineStr">
        <is>
          <t>VETLANDA</t>
        </is>
      </c>
      <c r="I84" t="n">
        <v>2.2</v>
      </c>
      <c r="J84" t="n">
        <v>1</v>
      </c>
      <c r="K84" t="n">
        <v>0</v>
      </c>
      <c r="L84" t="n">
        <v>0</v>
      </c>
      <c r="M84" t="n">
        <v>1</v>
      </c>
      <c r="N84" t="n">
        <v>0</v>
      </c>
      <c r="O84" t="n">
        <v>0</v>
      </c>
      <c r="P84" t="n">
        <v>0</v>
      </c>
      <c r="Q84" t="n">
        <v>1</v>
      </c>
      <c r="R84" t="n">
        <v>1</v>
      </c>
      <c r="S84" t="n">
        <v>1</v>
      </c>
      <c r="T84" t="n">
        <v>1</v>
      </c>
      <c r="U84" s="2" t="inlineStr">
        <is>
          <t>Knärot</t>
        </is>
      </c>
      <c r="V84">
        <f>HYPERLINK("https://klasma.github.io/Logging_0685/artfynd/A 1953-2025 artfynd.xlsx", "A 1953-2025")</f>
        <v/>
      </c>
      <c r="W84">
        <f>HYPERLINK("https://klasma.github.io/Logging_0685/kartor/A 1953-2025 karta.png", "A 1953-2025")</f>
        <v/>
      </c>
      <c r="X84">
        <f>HYPERLINK("https://klasma.github.io/Logging_0685/knärot/A 1953-2025 karta knärot.png", "A 1953-2025")</f>
        <v/>
      </c>
      <c r="Y84">
        <f>HYPERLINK("https://klasma.github.io/Logging_0685/klagomål/A 1953-2025 FSC-klagomål.docx", "A 1953-2025")</f>
        <v/>
      </c>
      <c r="Z84">
        <f>HYPERLINK("https://klasma.github.io/Logging_0685/klagomålsmail/A 1953-2025 FSC-klagomål mail.docx", "A 1953-2025")</f>
        <v/>
      </c>
      <c r="AA84">
        <f>HYPERLINK("https://klasma.github.io/Logging_0685/tillsyn/A 1953-2025 tillsynsbegäran.docx", "A 1953-2025")</f>
        <v/>
      </c>
      <c r="AB84">
        <f>HYPERLINK("https://klasma.github.io/Logging_0685/tillsynsmail/A 1953-2025 tillsynsbegäran mail.docx", "A 1953-2025")</f>
        <v/>
      </c>
    </row>
    <row r="85" ht="15" customHeight="1">
      <c r="A85" t="inlineStr">
        <is>
          <t>A 44177-2021</t>
        </is>
      </c>
      <c r="B85" t="inlineStr">
        <is>
          <t>avverkningsanmälan</t>
        </is>
      </c>
      <c r="C85" t="inlineStr">
        <is>
          <t>Föryngringsavverkning</t>
        </is>
      </c>
      <c r="D85" s="1" t="n">
        <v>44434</v>
      </c>
      <c r="E85" s="1" t="n">
        <v>46217</v>
      </c>
      <c r="F85" t="inlineStr">
        <is>
          <t>JÖNKÖPINGS LÄN</t>
        </is>
      </c>
      <c r="G85" t="inlineStr">
        <is>
          <t>VETLANDA</t>
        </is>
      </c>
      <c r="I85" t="n">
        <v>2.6</v>
      </c>
      <c r="J85" t="n">
        <v>0</v>
      </c>
      <c r="K85" t="n">
        <v>0</v>
      </c>
      <c r="L85" t="n">
        <v>1</v>
      </c>
      <c r="M85" t="n">
        <v>0</v>
      </c>
      <c r="N85" t="n">
        <v>0</v>
      </c>
      <c r="O85" t="n">
        <v>0</v>
      </c>
      <c r="P85" t="n">
        <v>0</v>
      </c>
      <c r="Q85" t="n">
        <v>1</v>
      </c>
      <c r="R85" t="n">
        <v>0</v>
      </c>
      <c r="S85" t="n">
        <v>1</v>
      </c>
      <c r="T85" t="n">
        <v>1</v>
      </c>
      <c r="U85" s="2" t="inlineStr">
        <is>
          <t>Solvända</t>
        </is>
      </c>
      <c r="V85">
        <f>HYPERLINK("https://klasma.github.io/Logging_0685/artfynd/A 44177-2021 artfynd.xlsx", "A 44177-2021")</f>
        <v/>
      </c>
      <c r="W85">
        <f>HYPERLINK("https://klasma.github.io/Logging_0685/kartor/A 44177-2021 karta.png", "A 44177-2021")</f>
        <v/>
      </c>
      <c r="Y85">
        <f>HYPERLINK("https://klasma.github.io/Logging_0685/klagomål/A 44177-2021 FSC-klagomål.docx", "A 44177-2021")</f>
        <v/>
      </c>
      <c r="Z85">
        <f>HYPERLINK("https://klasma.github.io/Logging_0685/klagomålsmail/A 44177-2021 FSC-klagomål mail.docx", "A 44177-2021")</f>
        <v/>
      </c>
      <c r="AA85">
        <f>HYPERLINK("https://klasma.github.io/Logging_0685/tillsyn/A 44177-2021 tillsynsbegäran.docx", "A 44177-2021")</f>
        <v/>
      </c>
      <c r="AB85">
        <f>HYPERLINK("https://klasma.github.io/Logging_0685/tillsynsmail/A 44177-2021 tillsynsbegäran mail.docx", "A 44177-2021")</f>
        <v/>
      </c>
    </row>
    <row r="86" ht="15" customHeight="1">
      <c r="A86" t="inlineStr">
        <is>
          <t>A 42185-2025</t>
        </is>
      </c>
      <c r="B86" t="inlineStr">
        <is>
          <t>avverkningsanmälan</t>
        </is>
      </c>
      <c r="C86" t="inlineStr">
        <is>
          <t>Föryngringsavverkning</t>
        </is>
      </c>
      <c r="D86" s="1" t="n">
        <v>45904</v>
      </c>
      <c r="E86" s="1" t="n">
        <v>46217</v>
      </c>
      <c r="F86" t="inlineStr">
        <is>
          <t>JÖNKÖPINGS LÄN</t>
        </is>
      </c>
      <c r="G86" t="inlineStr">
        <is>
          <t>VETLANDA</t>
        </is>
      </c>
      <c r="I86" t="n">
        <v>4</v>
      </c>
      <c r="J86" t="n">
        <v>0</v>
      </c>
      <c r="K86" t="n">
        <v>0</v>
      </c>
      <c r="L86" t="n">
        <v>1</v>
      </c>
      <c r="M86" t="n">
        <v>0</v>
      </c>
      <c r="N86" t="n">
        <v>0</v>
      </c>
      <c r="O86" t="n">
        <v>0</v>
      </c>
      <c r="P86" t="n">
        <v>0</v>
      </c>
      <c r="Q86" t="n">
        <v>1</v>
      </c>
      <c r="R86" t="n">
        <v>0</v>
      </c>
      <c r="S86" t="n">
        <v>1</v>
      </c>
      <c r="T86" t="n">
        <v>1</v>
      </c>
      <c r="U86" s="2" t="inlineStr">
        <is>
          <t>Sydspärgel</t>
        </is>
      </c>
      <c r="V86">
        <f>HYPERLINK("https://klasma.github.io/Logging_0685/artfynd/A 42185-2025 artfynd.xlsx", "A 42185-2025")</f>
        <v/>
      </c>
      <c r="W86">
        <f>HYPERLINK("https://klasma.github.io/Logging_0685/kartor/A 42185-2025 karta.png", "A 42185-2025")</f>
        <v/>
      </c>
      <c r="Y86">
        <f>HYPERLINK("https://klasma.github.io/Logging_0685/klagomål/A 42185-2025 FSC-klagomål.docx", "A 42185-2025")</f>
        <v/>
      </c>
      <c r="Z86">
        <f>HYPERLINK("https://klasma.github.io/Logging_0685/klagomålsmail/A 42185-2025 FSC-klagomål mail.docx", "A 42185-2025")</f>
        <v/>
      </c>
      <c r="AA86">
        <f>HYPERLINK("https://klasma.github.io/Logging_0685/tillsyn/A 42185-2025 tillsynsbegäran.docx", "A 42185-2025")</f>
        <v/>
      </c>
      <c r="AB86">
        <f>HYPERLINK("https://klasma.github.io/Logging_0685/tillsynsmail/A 42185-2025 tillsynsbegäran mail.docx", "A 42185-2025")</f>
        <v/>
      </c>
    </row>
    <row r="87" ht="15" customHeight="1">
      <c r="A87" t="inlineStr">
        <is>
          <t>A 38887-2022</t>
        </is>
      </c>
      <c r="B87" t="inlineStr">
        <is>
          <t>avverkningsanmälan</t>
        </is>
      </c>
      <c r="C87" t="inlineStr">
        <is>
          <t>Föryngringsavverkning</t>
        </is>
      </c>
      <c r="D87" s="1" t="n">
        <v>44816</v>
      </c>
      <c r="E87" s="1" t="n">
        <v>46217</v>
      </c>
      <c r="F87" t="inlineStr">
        <is>
          <t>JÖNKÖPINGS LÄN</t>
        </is>
      </c>
      <c r="G87" t="inlineStr">
        <is>
          <t>VETLANDA</t>
        </is>
      </c>
      <c r="I87" t="n">
        <v>1</v>
      </c>
      <c r="J87" t="n">
        <v>0</v>
      </c>
      <c r="K87" t="n">
        <v>0</v>
      </c>
      <c r="L87" t="n">
        <v>0</v>
      </c>
      <c r="M87" t="n">
        <v>0</v>
      </c>
      <c r="N87" t="n">
        <v>1</v>
      </c>
      <c r="O87" t="n">
        <v>0</v>
      </c>
      <c r="P87" t="n">
        <v>0</v>
      </c>
      <c r="Q87" t="n">
        <v>1</v>
      </c>
      <c r="R87" t="n">
        <v>1</v>
      </c>
      <c r="S87" t="n">
        <v>1</v>
      </c>
      <c r="T87" t="n">
        <v>1</v>
      </c>
      <c r="U87" s="2" t="inlineStr">
        <is>
          <t>Ask</t>
        </is>
      </c>
      <c r="V87">
        <f>HYPERLINK("https://klasma.github.io/Logging_0685/artfynd/A 38887-2022 artfynd.xlsx", "A 38887-2022")</f>
        <v/>
      </c>
      <c r="W87">
        <f>HYPERLINK("https://klasma.github.io/Logging_0685/kartor/A 38887-2022 karta.png", "A 38887-2022")</f>
        <v/>
      </c>
      <c r="Y87">
        <f>HYPERLINK("https://klasma.github.io/Logging_0685/klagomål/A 38887-2022 FSC-klagomål.docx", "A 38887-2022")</f>
        <v/>
      </c>
      <c r="Z87">
        <f>HYPERLINK("https://klasma.github.io/Logging_0685/klagomålsmail/A 38887-2022 FSC-klagomål mail.docx", "A 38887-2022")</f>
        <v/>
      </c>
      <c r="AA87">
        <f>HYPERLINK("https://klasma.github.io/Logging_0685/tillsyn/A 38887-2022 tillsynsbegäran.docx", "A 38887-2022")</f>
        <v/>
      </c>
      <c r="AB87">
        <f>HYPERLINK("https://klasma.github.io/Logging_0685/tillsynsmail/A 38887-2022 tillsynsbegäran mail.docx", "A 38887-2022")</f>
        <v/>
      </c>
    </row>
    <row r="88" ht="15" customHeight="1">
      <c r="A88" t="inlineStr">
        <is>
          <t>A 61258-2024</t>
        </is>
      </c>
      <c r="B88" t="inlineStr">
        <is>
          <t>avverkningsanmälan</t>
        </is>
      </c>
      <c r="C88" t="inlineStr">
        <is>
          <t>Föryngringsavverkning</t>
        </is>
      </c>
      <c r="D88" s="1" t="n">
        <v>45645</v>
      </c>
      <c r="E88" s="1" t="n">
        <v>46217</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s="2" t="inlineStr">
        <is>
          <t>Slåttergubbe</t>
        </is>
      </c>
      <c r="V88">
        <f>HYPERLINK("https://klasma.github.io/Logging_0685/artfynd/A 61258-2024 artfynd.xlsx", "A 61258-2024")</f>
        <v/>
      </c>
      <c r="W88">
        <f>HYPERLINK("https://klasma.github.io/Logging_0685/kartor/A 61258-2024 karta.png", "A 61258-2024")</f>
        <v/>
      </c>
      <c r="Y88">
        <f>HYPERLINK("https://klasma.github.io/Logging_0685/klagomål/A 61258-2024 FSC-klagomål.docx", "A 61258-2024")</f>
        <v/>
      </c>
      <c r="Z88">
        <f>HYPERLINK("https://klasma.github.io/Logging_0685/klagomålsmail/A 61258-2024 FSC-klagomål mail.docx", "A 61258-2024")</f>
        <v/>
      </c>
      <c r="AA88">
        <f>HYPERLINK("https://klasma.github.io/Logging_0685/tillsyn/A 61258-2024 tillsynsbegäran.docx", "A 61258-2024")</f>
        <v/>
      </c>
      <c r="AB88">
        <f>HYPERLINK("https://klasma.github.io/Logging_0685/tillsynsmail/A 61258-2024 tillsynsbegäran mail.docx", "A 61258-2024")</f>
        <v/>
      </c>
    </row>
    <row r="89" ht="15" customHeight="1">
      <c r="A89" t="inlineStr">
        <is>
          <t>A 37565-2025</t>
        </is>
      </c>
      <c r="B89" t="inlineStr">
        <is>
          <t>avverkningsanmälan</t>
        </is>
      </c>
      <c r="C89" t="inlineStr">
        <is>
          <t>Föryngringsavverkning</t>
        </is>
      </c>
      <c r="D89" s="1" t="n">
        <v>45880</v>
      </c>
      <c r="E89" s="1" t="n">
        <v>46217</v>
      </c>
      <c r="F89" t="inlineStr">
        <is>
          <t>JÖNKÖPINGS LÄN</t>
        </is>
      </c>
      <c r="G89" t="inlineStr">
        <is>
          <t>VETLANDA</t>
        </is>
      </c>
      <c r="I89" t="n">
        <v>2</v>
      </c>
      <c r="J89" t="n">
        <v>0</v>
      </c>
      <c r="K89" t="n">
        <v>0</v>
      </c>
      <c r="L89" t="n">
        <v>0</v>
      </c>
      <c r="M89" t="n">
        <v>1</v>
      </c>
      <c r="N89" t="n">
        <v>0</v>
      </c>
      <c r="O89" t="n">
        <v>0</v>
      </c>
      <c r="P89" t="n">
        <v>0</v>
      </c>
      <c r="Q89" t="n">
        <v>1</v>
      </c>
      <c r="R89" t="n">
        <v>1</v>
      </c>
      <c r="S89" t="n">
        <v>1</v>
      </c>
      <c r="T89" t="n">
        <v>1</v>
      </c>
      <c r="U89" s="2" t="inlineStr">
        <is>
          <t>Ryl</t>
        </is>
      </c>
      <c r="V89">
        <f>HYPERLINK("https://klasma.github.io/Logging_0685/artfynd/A 37565-2025 artfynd.xlsx", "A 37565-2025")</f>
        <v/>
      </c>
      <c r="W89">
        <f>HYPERLINK("https://klasma.github.io/Logging_0685/kartor/A 37565-2025 karta.png", "A 37565-2025")</f>
        <v/>
      </c>
      <c r="Y89">
        <f>HYPERLINK("https://klasma.github.io/Logging_0685/klagomål/A 37565-2025 FSC-klagomål.docx", "A 37565-2025")</f>
        <v/>
      </c>
      <c r="Z89">
        <f>HYPERLINK("https://klasma.github.io/Logging_0685/klagomålsmail/A 37565-2025 FSC-klagomål mail.docx", "A 37565-2025")</f>
        <v/>
      </c>
      <c r="AA89">
        <f>HYPERLINK("https://klasma.github.io/Logging_0685/tillsyn/A 37565-2025 tillsynsbegäran.docx", "A 37565-2025")</f>
        <v/>
      </c>
      <c r="AB89">
        <f>HYPERLINK("https://klasma.github.io/Logging_0685/tillsynsmail/A 37565-2025 tillsynsbegäran mail.docx", "A 37565-2025")</f>
        <v/>
      </c>
    </row>
    <row r="90" ht="15" customHeight="1">
      <c r="A90" t="inlineStr">
        <is>
          <t>A 20542-2025</t>
        </is>
      </c>
      <c r="B90" t="inlineStr">
        <is>
          <t>avverkningsanmälan</t>
        </is>
      </c>
      <c r="C90" t="inlineStr">
        <is>
          <t>Föryngringsavverkning</t>
        </is>
      </c>
      <c r="D90" s="1" t="n">
        <v>45775</v>
      </c>
      <c r="E90" s="1" t="n">
        <v>46217</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s="2" t="inlineStr">
        <is>
          <t>Ryl</t>
        </is>
      </c>
      <c r="V90">
        <f>HYPERLINK("https://klasma.github.io/Logging_0685/artfynd/A 20542-2025 artfynd.xlsx", "A 20542-2025")</f>
        <v/>
      </c>
      <c r="W90">
        <f>HYPERLINK("https://klasma.github.io/Logging_0685/kartor/A 20542-2025 karta.png", "A 20542-2025")</f>
        <v/>
      </c>
      <c r="Y90">
        <f>HYPERLINK("https://klasma.github.io/Logging_0685/klagomål/A 20542-2025 FSC-klagomål.docx", "A 20542-2025")</f>
        <v/>
      </c>
      <c r="Z90">
        <f>HYPERLINK("https://klasma.github.io/Logging_0685/klagomålsmail/A 20542-2025 FSC-klagomål mail.docx", "A 20542-2025")</f>
        <v/>
      </c>
      <c r="AA90">
        <f>HYPERLINK("https://klasma.github.io/Logging_0685/tillsyn/A 20542-2025 tillsynsbegäran.docx", "A 20542-2025")</f>
        <v/>
      </c>
      <c r="AB90">
        <f>HYPERLINK("https://klasma.github.io/Logging_0685/tillsynsmail/A 20542-2025 tillsynsbegäran mail.docx", "A 20542-2025")</f>
        <v/>
      </c>
    </row>
    <row r="91" ht="15" customHeight="1">
      <c r="A91" t="inlineStr">
        <is>
          <t>A 14083-2023</t>
        </is>
      </c>
      <c r="B91" t="inlineStr">
        <is>
          <t>avverkningsanmälan</t>
        </is>
      </c>
      <c r="C91" t="inlineStr">
        <is>
          <t>Föryngringsavverkning</t>
        </is>
      </c>
      <c r="D91" s="1" t="n">
        <v>45009</v>
      </c>
      <c r="E91" s="1" t="n">
        <v>46217</v>
      </c>
      <c r="F91" t="inlineStr">
        <is>
          <t>JÖNKÖPINGS LÄN</t>
        </is>
      </c>
      <c r="G91" t="inlineStr">
        <is>
          <t>VETLANDA</t>
        </is>
      </c>
      <c r="I91" t="n">
        <v>2.2</v>
      </c>
      <c r="J91" t="n">
        <v>0</v>
      </c>
      <c r="K91" t="n">
        <v>0</v>
      </c>
      <c r="L91" t="n">
        <v>1</v>
      </c>
      <c r="M91" t="n">
        <v>0</v>
      </c>
      <c r="N91" t="n">
        <v>0</v>
      </c>
      <c r="O91" t="n">
        <v>0</v>
      </c>
      <c r="P91" t="n">
        <v>0</v>
      </c>
      <c r="Q91" t="n">
        <v>1</v>
      </c>
      <c r="R91" t="n">
        <v>0</v>
      </c>
      <c r="S91" t="n">
        <v>1</v>
      </c>
      <c r="T91" t="n">
        <v>1</v>
      </c>
      <c r="U91" s="2" t="inlineStr">
        <is>
          <t>Spindelört</t>
        </is>
      </c>
      <c r="V91">
        <f>HYPERLINK("https://klasma.github.io/Logging_0685/artfynd/A 14083-2023 artfynd.xlsx", "A 14083-2023")</f>
        <v/>
      </c>
      <c r="W91">
        <f>HYPERLINK("https://klasma.github.io/Logging_0685/kartor/A 14083-2023 karta.png", "A 14083-2023")</f>
        <v/>
      </c>
      <c r="Y91">
        <f>HYPERLINK("https://klasma.github.io/Logging_0685/klagomål/A 14083-2023 FSC-klagomål.docx", "A 14083-2023")</f>
        <v/>
      </c>
      <c r="Z91">
        <f>HYPERLINK("https://klasma.github.io/Logging_0685/klagomålsmail/A 14083-2023 FSC-klagomål mail.docx", "A 14083-2023")</f>
        <v/>
      </c>
      <c r="AA91">
        <f>HYPERLINK("https://klasma.github.io/Logging_0685/tillsyn/A 14083-2023 tillsynsbegäran.docx", "A 14083-2023")</f>
        <v/>
      </c>
      <c r="AB91">
        <f>HYPERLINK("https://klasma.github.io/Logging_0685/tillsynsmail/A 14083-2023 tillsynsbegäran mail.docx", "A 14083-2023")</f>
        <v/>
      </c>
    </row>
    <row r="92" ht="15" customHeight="1">
      <c r="A92" t="inlineStr">
        <is>
          <t>A 20783-2026</t>
        </is>
      </c>
      <c r="B92" t="inlineStr">
        <is>
          <t>avverkningsanmälan</t>
        </is>
      </c>
      <c r="C92" t="inlineStr">
        <is>
          <t>Föryngringsavverkning</t>
        </is>
      </c>
      <c r="D92" s="1" t="n">
        <v>46141</v>
      </c>
      <c r="E92" s="1" t="n">
        <v>46217</v>
      </c>
      <c r="F92" t="inlineStr">
        <is>
          <t>JÖNKÖPINGS LÄN</t>
        </is>
      </c>
      <c r="G92" t="inlineStr">
        <is>
          <t>VETLANDA</t>
        </is>
      </c>
      <c r="I92" t="n">
        <v>8.300000000000001</v>
      </c>
      <c r="J92" t="n">
        <v>1</v>
      </c>
      <c r="K92" t="n">
        <v>0</v>
      </c>
      <c r="L92" t="n">
        <v>1</v>
      </c>
      <c r="M92" t="n">
        <v>0</v>
      </c>
      <c r="N92" t="n">
        <v>0</v>
      </c>
      <c r="O92" t="n">
        <v>0</v>
      </c>
      <c r="P92" t="n">
        <v>0</v>
      </c>
      <c r="Q92" t="n">
        <v>1</v>
      </c>
      <c r="R92" t="n">
        <v>0</v>
      </c>
      <c r="S92" t="n">
        <v>1</v>
      </c>
      <c r="T92" t="n">
        <v>1</v>
      </c>
      <c r="U92" s="2" t="inlineStr">
        <is>
          <t>Mindre hackspett</t>
        </is>
      </c>
      <c r="V92">
        <f>HYPERLINK("https://klasma.github.io/Logging_0685/artfynd/A 20783-2026 artfynd.xlsx", "A 20783-2026")</f>
        <v/>
      </c>
      <c r="W92">
        <f>HYPERLINK("https://klasma.github.io/Logging_0685/kartor/A 20783-2026 karta.png", "A 20783-2026")</f>
        <v/>
      </c>
      <c r="Y92">
        <f>HYPERLINK("https://klasma.github.io/Logging_0685/klagomål/A 20783-2026 FSC-klagomål.docx", "A 20783-2026")</f>
        <v/>
      </c>
      <c r="Z92">
        <f>HYPERLINK("https://klasma.github.io/Logging_0685/klagomålsmail/A 20783-2026 FSC-klagomål mail.docx", "A 20783-2026")</f>
        <v/>
      </c>
      <c r="AA92">
        <f>HYPERLINK("https://klasma.github.io/Logging_0685/tillsyn/A 20783-2026 tillsynsbegäran.docx", "A 20783-2026")</f>
        <v/>
      </c>
      <c r="AB92">
        <f>HYPERLINK("https://klasma.github.io/Logging_0685/tillsynsmail/A 20783-2026 tillsynsbegäran mail.docx", "A 20783-2026")</f>
        <v/>
      </c>
      <c r="AC92">
        <f>HYPERLINK("https://klasma.github.io/Logging_0685/fåglar/A 20783-2026 prioriterade fågelarter.docx", "A 20783-2026")</f>
        <v/>
      </c>
    </row>
    <row r="93" ht="15" customHeight="1">
      <c r="A93" t="inlineStr">
        <is>
          <t>A 27224-2026</t>
        </is>
      </c>
      <c r="B93" t="inlineStr">
        <is>
          <t>avverkningsanmälan</t>
        </is>
      </c>
      <c r="C93" t="inlineStr">
        <is>
          <t>Föryngringsavverkning</t>
        </is>
      </c>
      <c r="D93" s="1" t="n">
        <v>46188</v>
      </c>
      <c r="E93" s="1" t="n">
        <v>46217</v>
      </c>
      <c r="F93" t="inlineStr">
        <is>
          <t>JÖNKÖPINGS LÄN</t>
        </is>
      </c>
      <c r="G93" t="inlineStr">
        <is>
          <t>VETLANDA</t>
        </is>
      </c>
      <c r="I93" t="n">
        <v>4.1</v>
      </c>
      <c r="J93" t="n">
        <v>0</v>
      </c>
      <c r="K93" t="n">
        <v>1</v>
      </c>
      <c r="L93" t="n">
        <v>0</v>
      </c>
      <c r="M93" t="n">
        <v>0</v>
      </c>
      <c r="N93" t="n">
        <v>0</v>
      </c>
      <c r="O93" t="n">
        <v>0</v>
      </c>
      <c r="P93" t="n">
        <v>0</v>
      </c>
      <c r="Q93" t="n">
        <v>0</v>
      </c>
      <c r="R93" t="n">
        <v>0</v>
      </c>
      <c r="S93" t="n">
        <v>1</v>
      </c>
      <c r="T93" t="n">
        <v>1</v>
      </c>
      <c r="U93" s="2" t="inlineStr">
        <is>
          <t>Dvärgkällmossa</t>
        </is>
      </c>
      <c r="V93">
        <f>HYPERLINK("https://klasma.github.io/Logging_0685/artfynd/A 27224-2026 artfynd.xlsx", "A 27224-2026")</f>
        <v/>
      </c>
      <c r="W93">
        <f>HYPERLINK("https://klasma.github.io/Logging_0685/kartor/A 27224-2026 karta.png", "A 27224-2026")</f>
        <v/>
      </c>
      <c r="Y93">
        <f>HYPERLINK("https://klasma.github.io/Logging_0685/klagomål/A 27224-2026 FSC-klagomål.docx", "A 27224-2026")</f>
        <v/>
      </c>
      <c r="Z93">
        <f>HYPERLINK("https://klasma.github.io/Logging_0685/klagomålsmail/A 27224-2026 FSC-klagomål mail.docx", "A 27224-2026")</f>
        <v/>
      </c>
      <c r="AA93">
        <f>HYPERLINK("https://klasma.github.io/Logging_0685/tillsyn/A 27224-2026 tillsynsbegäran.docx", "A 27224-2026")</f>
        <v/>
      </c>
      <c r="AB93">
        <f>HYPERLINK("https://klasma.github.io/Logging_0685/tillsynsmail/A 27224-2026 tillsynsbegäran mail.docx", "A 27224-2026")</f>
        <v/>
      </c>
    </row>
    <row r="94" ht="15" customHeight="1">
      <c r="A94" t="inlineStr">
        <is>
          <t>A 56147-2023</t>
        </is>
      </c>
      <c r="B94" t="inlineStr">
        <is>
          <t>avverkningsanmälan</t>
        </is>
      </c>
      <c r="C94" t="inlineStr">
        <is>
          <t>Föryngringsavverkning</t>
        </is>
      </c>
      <c r="D94" s="1" t="n">
        <v>45240</v>
      </c>
      <c r="E94" s="1" t="n">
        <v>46217</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s="2" t="inlineStr">
        <is>
          <t>Gräsull</t>
        </is>
      </c>
      <c r="V94">
        <f>HYPERLINK("https://klasma.github.io/Logging_0685/artfynd/A 56147-2023 artfynd.xlsx", "A 56147-2023")</f>
        <v/>
      </c>
      <c r="W94">
        <f>HYPERLINK("https://klasma.github.io/Logging_0685/kartor/A 56147-2023 karta.png", "A 56147-2023")</f>
        <v/>
      </c>
      <c r="Y94">
        <f>HYPERLINK("https://klasma.github.io/Logging_0685/klagomål/A 56147-2023 FSC-klagomål.docx", "A 56147-2023")</f>
        <v/>
      </c>
      <c r="Z94">
        <f>HYPERLINK("https://klasma.github.io/Logging_0685/klagomålsmail/A 56147-2023 FSC-klagomål mail.docx", "A 56147-2023")</f>
        <v/>
      </c>
      <c r="AA94">
        <f>HYPERLINK("https://klasma.github.io/Logging_0685/tillsyn/A 56147-2023 tillsynsbegäran.docx", "A 56147-2023")</f>
        <v/>
      </c>
      <c r="AB94">
        <f>HYPERLINK("https://klasma.github.io/Logging_0685/tillsynsmail/A 56147-2023 tillsynsbegäran mail.docx", "A 56147-2023")</f>
        <v/>
      </c>
    </row>
    <row r="95" ht="15" customHeight="1">
      <c r="A95" t="inlineStr">
        <is>
          <t>A 17874-2024</t>
        </is>
      </c>
      <c r="B95" t="inlineStr">
        <is>
          <t>avverkningsanmälan</t>
        </is>
      </c>
      <c r="C95" t="inlineStr">
        <is>
          <t>Föryngringsavverkning</t>
        </is>
      </c>
      <c r="D95" s="1" t="n">
        <v>45419</v>
      </c>
      <c r="E95" s="1" t="n">
        <v>46217</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s="2" t="inlineStr">
        <is>
          <t>Dvärghäxört</t>
        </is>
      </c>
      <c r="V95">
        <f>HYPERLINK("https://klasma.github.io/Logging_0685/artfynd/A 17874-2024 artfynd.xlsx", "A 17874-2024")</f>
        <v/>
      </c>
      <c r="W95">
        <f>HYPERLINK("https://klasma.github.io/Logging_0685/kartor/A 17874-2024 karta.png", "A 17874-2024")</f>
        <v/>
      </c>
      <c r="Y95">
        <f>HYPERLINK("https://klasma.github.io/Logging_0685/klagomål/A 17874-2024 FSC-klagomål.docx", "A 17874-2024")</f>
        <v/>
      </c>
      <c r="Z95">
        <f>HYPERLINK("https://klasma.github.io/Logging_0685/klagomålsmail/A 17874-2024 FSC-klagomål mail.docx", "A 17874-2024")</f>
        <v/>
      </c>
      <c r="AA95">
        <f>HYPERLINK("https://klasma.github.io/Logging_0685/tillsyn/A 17874-2024 tillsynsbegäran.docx", "A 17874-2024")</f>
        <v/>
      </c>
      <c r="AB95">
        <f>HYPERLINK("https://klasma.github.io/Logging_0685/tillsynsmail/A 17874-2024 tillsynsbegäran mail.docx", "A 17874-2024")</f>
        <v/>
      </c>
    </row>
    <row r="96" ht="15" customHeight="1">
      <c r="A96" t="inlineStr">
        <is>
          <t>A 53741-2022</t>
        </is>
      </c>
      <c r="B96" t="inlineStr">
        <is>
          <t>avverkningsanmälan</t>
        </is>
      </c>
      <c r="C96" t="inlineStr">
        <is>
          <t>Föryngringsavverkning</t>
        </is>
      </c>
      <c r="D96" s="1" t="n">
        <v>44880</v>
      </c>
      <c r="E96" s="1" t="n">
        <v>46217</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s="2" t="inlineStr">
        <is>
          <t>Sommarfibbla</t>
        </is>
      </c>
      <c r="V96">
        <f>HYPERLINK("https://klasma.github.io/Logging_0685/artfynd/A 53741-2022 artfynd.xlsx", "A 53741-2022")</f>
        <v/>
      </c>
      <c r="W96">
        <f>HYPERLINK("https://klasma.github.io/Logging_0685/kartor/A 53741-2022 karta.png", "A 53741-2022")</f>
        <v/>
      </c>
      <c r="Y96">
        <f>HYPERLINK("https://klasma.github.io/Logging_0685/klagomål/A 53741-2022 FSC-klagomål.docx", "A 53741-2022")</f>
        <v/>
      </c>
      <c r="Z96">
        <f>HYPERLINK("https://klasma.github.io/Logging_0685/klagomålsmail/A 53741-2022 FSC-klagomål mail.docx", "A 53741-2022")</f>
        <v/>
      </c>
      <c r="AA96">
        <f>HYPERLINK("https://klasma.github.io/Logging_0685/tillsyn/A 53741-2022 tillsynsbegäran.docx", "A 53741-2022")</f>
        <v/>
      </c>
      <c r="AB96">
        <f>HYPERLINK("https://klasma.github.io/Logging_0685/tillsynsmail/A 53741-2022 tillsynsbegäran mail.docx", "A 53741-2022")</f>
        <v/>
      </c>
    </row>
    <row r="97" ht="15" customHeight="1">
      <c r="A97" t="inlineStr">
        <is>
          <t>A 42637-2024</t>
        </is>
      </c>
      <c r="B97" t="inlineStr">
        <is>
          <t>avverkningsanmälan</t>
        </is>
      </c>
      <c r="C97" t="inlineStr">
        <is>
          <t>Avverkning för annat ändamål</t>
        </is>
      </c>
      <c r="D97" s="1" t="n">
        <v>45565</v>
      </c>
      <c r="E97" s="1" t="n">
        <v>46217</v>
      </c>
      <c r="F97" t="inlineStr">
        <is>
          <t>JÖNKÖPINGS LÄN</t>
        </is>
      </c>
      <c r="G97" t="inlineStr">
        <is>
          <t>VETLANDA</t>
        </is>
      </c>
      <c r="I97" t="n">
        <v>2</v>
      </c>
      <c r="J97" t="n">
        <v>0</v>
      </c>
      <c r="K97" t="n">
        <v>0</v>
      </c>
      <c r="L97" t="n">
        <v>0</v>
      </c>
      <c r="M97" t="n">
        <v>0</v>
      </c>
      <c r="N97" t="n">
        <v>1</v>
      </c>
      <c r="O97" t="n">
        <v>0</v>
      </c>
      <c r="P97" t="n">
        <v>0</v>
      </c>
      <c r="Q97" t="n">
        <v>1</v>
      </c>
      <c r="R97" t="n">
        <v>1</v>
      </c>
      <c r="S97" t="n">
        <v>1</v>
      </c>
      <c r="T97" t="n">
        <v>8</v>
      </c>
      <c r="U97" s="2" t="inlineStr">
        <is>
          <t>Ask</t>
        </is>
      </c>
      <c r="V97">
        <f>HYPERLINK("https://klasma.github.io/Logging_0685/artfynd/A 42637-2024 artfynd.xlsx", "A 42637-2024")</f>
        <v/>
      </c>
      <c r="W97">
        <f>HYPERLINK("https://klasma.github.io/Logging_0685/kartor/A 42637-2024 karta.png", "A 42637-2024")</f>
        <v/>
      </c>
      <c r="Y97">
        <f>HYPERLINK("https://klasma.github.io/Logging_0685/klagomål/A 42637-2024 FSC-klagomål.docx", "A 42637-2024")</f>
        <v/>
      </c>
      <c r="Z97">
        <f>HYPERLINK("https://klasma.github.io/Logging_0685/klagomålsmail/A 42637-2024 FSC-klagomål mail.docx", "A 42637-2024")</f>
        <v/>
      </c>
      <c r="AA97">
        <f>HYPERLINK("https://klasma.github.io/Logging_0685/tillsyn/A 42637-2024 tillsynsbegäran.docx", "A 42637-2024")</f>
        <v/>
      </c>
      <c r="AB97">
        <f>HYPERLINK("https://klasma.github.io/Logging_0685/tillsynsmail/A 42637-2024 tillsynsbegäran mail.docx", "A 42637-2024")</f>
        <v/>
      </c>
    </row>
    <row r="98" ht="15" customHeight="1">
      <c r="A98" t="inlineStr">
        <is>
          <t>A 49575-2024</t>
        </is>
      </c>
      <c r="B98" t="inlineStr">
        <is>
          <t>avverkningsanmälan</t>
        </is>
      </c>
      <c r="C98" t="inlineStr">
        <is>
          <t>Föryngringsavverkning</t>
        </is>
      </c>
      <c r="D98" s="1" t="n">
        <v>45596</v>
      </c>
      <c r="E98" s="1" t="n">
        <v>46217</v>
      </c>
      <c r="F98" t="inlineStr">
        <is>
          <t>JÖNKÖPINGS LÄN</t>
        </is>
      </c>
      <c r="G98" t="inlineStr">
        <is>
          <t>VETLANDA</t>
        </is>
      </c>
      <c r="I98" t="n">
        <v>2.5</v>
      </c>
      <c r="J98" t="n">
        <v>0</v>
      </c>
      <c r="K98" t="n">
        <v>1</v>
      </c>
      <c r="L98" t="n">
        <v>0</v>
      </c>
      <c r="M98" t="n">
        <v>0</v>
      </c>
      <c r="N98" t="n">
        <v>0</v>
      </c>
      <c r="O98" t="n">
        <v>0</v>
      </c>
      <c r="P98" t="n">
        <v>0</v>
      </c>
      <c r="Q98" t="n">
        <v>0</v>
      </c>
      <c r="R98" t="n">
        <v>0</v>
      </c>
      <c r="S98" t="n">
        <v>1</v>
      </c>
      <c r="T98" t="n">
        <v>1</v>
      </c>
      <c r="U98" s="2" t="inlineStr">
        <is>
          <t>Björksplintborre</t>
        </is>
      </c>
      <c r="V98">
        <f>HYPERLINK("https://klasma.github.io/Logging_0685/artfynd/A 49575-2024 artfynd.xlsx", "A 49575-2024")</f>
        <v/>
      </c>
      <c r="W98">
        <f>HYPERLINK("https://klasma.github.io/Logging_0685/kartor/A 49575-2024 karta.png", "A 49575-2024")</f>
        <v/>
      </c>
      <c r="Y98">
        <f>HYPERLINK("https://klasma.github.io/Logging_0685/klagomål/A 49575-2024 FSC-klagomål.docx", "A 49575-2024")</f>
        <v/>
      </c>
      <c r="Z98">
        <f>HYPERLINK("https://klasma.github.io/Logging_0685/klagomålsmail/A 49575-2024 FSC-klagomål mail.docx", "A 49575-2024")</f>
        <v/>
      </c>
      <c r="AA98">
        <f>HYPERLINK("https://klasma.github.io/Logging_0685/tillsyn/A 49575-2024 tillsynsbegäran.docx", "A 49575-2024")</f>
        <v/>
      </c>
      <c r="AB98">
        <f>HYPERLINK("https://klasma.github.io/Logging_0685/tillsynsmail/A 49575-2024 tillsynsbegäran mail.docx", "A 49575-2024")</f>
        <v/>
      </c>
    </row>
    <row r="99" ht="15" customHeight="1">
      <c r="A99" t="inlineStr">
        <is>
          <t>A 49945-2024</t>
        </is>
      </c>
      <c r="B99" t="inlineStr">
        <is>
          <t>avverkningsanmälan</t>
        </is>
      </c>
      <c r="C99" t="inlineStr">
        <is>
          <t>Föryngringsavverkning</t>
        </is>
      </c>
      <c r="D99" s="1" t="n">
        <v>45597</v>
      </c>
      <c r="E99" s="1" t="n">
        <v>46217</v>
      </c>
      <c r="F99" t="inlineStr">
        <is>
          <t>JÖNKÖPINGS LÄN</t>
        </is>
      </c>
      <c r="G99" t="inlineStr">
        <is>
          <t>VETLANDA</t>
        </is>
      </c>
      <c r="I99" t="n">
        <v>4</v>
      </c>
      <c r="J99" t="n">
        <v>0</v>
      </c>
      <c r="K99" t="n">
        <v>0</v>
      </c>
      <c r="L99" t="n">
        <v>0</v>
      </c>
      <c r="M99" t="n">
        <v>0</v>
      </c>
      <c r="N99" t="n">
        <v>1</v>
      </c>
      <c r="O99" t="n">
        <v>0</v>
      </c>
      <c r="P99" t="n">
        <v>0</v>
      </c>
      <c r="Q99" t="n">
        <v>1</v>
      </c>
      <c r="R99" t="n">
        <v>1</v>
      </c>
      <c r="S99" t="n">
        <v>1</v>
      </c>
      <c r="T99" t="n">
        <v>1</v>
      </c>
      <c r="U99" s="2" t="inlineStr">
        <is>
          <t>Ask</t>
        </is>
      </c>
      <c r="V99">
        <f>HYPERLINK("https://klasma.github.io/Logging_0685/artfynd/A 49945-2024 artfynd.xlsx", "A 49945-2024")</f>
        <v/>
      </c>
      <c r="W99">
        <f>HYPERLINK("https://klasma.github.io/Logging_0685/kartor/A 49945-2024 karta.png", "A 49945-2024")</f>
        <v/>
      </c>
      <c r="Y99">
        <f>HYPERLINK("https://klasma.github.io/Logging_0685/klagomål/A 49945-2024 FSC-klagomål.docx", "A 49945-2024")</f>
        <v/>
      </c>
      <c r="Z99">
        <f>HYPERLINK("https://klasma.github.io/Logging_0685/klagomålsmail/A 49945-2024 FSC-klagomål mail.docx", "A 49945-2024")</f>
        <v/>
      </c>
      <c r="AA99">
        <f>HYPERLINK("https://klasma.github.io/Logging_0685/tillsyn/A 49945-2024 tillsynsbegäran.docx", "A 49945-2024")</f>
        <v/>
      </c>
      <c r="AB99">
        <f>HYPERLINK("https://klasma.github.io/Logging_0685/tillsynsmail/A 49945-2024 tillsynsbegäran mail.docx", "A 49945-2024")</f>
        <v/>
      </c>
    </row>
    <row r="100" ht="15" customHeight="1">
      <c r="A100" t="inlineStr">
        <is>
          <t>A 40417-2024</t>
        </is>
      </c>
      <c r="B100" t="inlineStr">
        <is>
          <t>avverkningsanmälan</t>
        </is>
      </c>
      <c r="C100" t="inlineStr">
        <is>
          <t>Föryngringsavverkning</t>
        </is>
      </c>
      <c r="D100" s="1" t="n">
        <v>45555</v>
      </c>
      <c r="E100" s="1" t="n">
        <v>46217</v>
      </c>
      <c r="F100" t="inlineStr">
        <is>
          <t>JÖNKÖPINGS LÄN</t>
        </is>
      </c>
      <c r="G100" t="inlineStr">
        <is>
          <t>VETLANDA</t>
        </is>
      </c>
      <c r="I100" t="n">
        <v>2.8</v>
      </c>
      <c r="J100" t="n">
        <v>0</v>
      </c>
      <c r="K100" t="n">
        <v>1</v>
      </c>
      <c r="L100" t="n">
        <v>0</v>
      </c>
      <c r="M100" t="n">
        <v>0</v>
      </c>
      <c r="N100" t="n">
        <v>0</v>
      </c>
      <c r="O100" t="n">
        <v>0</v>
      </c>
      <c r="P100" t="n">
        <v>0</v>
      </c>
      <c r="Q100" t="n">
        <v>0</v>
      </c>
      <c r="R100" t="n">
        <v>0</v>
      </c>
      <c r="S100" t="n">
        <v>1</v>
      </c>
      <c r="T100" t="n">
        <v>1</v>
      </c>
      <c r="U100" s="2" t="inlineStr">
        <is>
          <t>Tibast</t>
        </is>
      </c>
      <c r="V100">
        <f>HYPERLINK("https://klasma.github.io/Logging_0685/artfynd/A 40417-2024 artfynd.xlsx", "A 40417-2024")</f>
        <v/>
      </c>
      <c r="W100">
        <f>HYPERLINK("https://klasma.github.io/Logging_0685/kartor/A 40417-2024 karta.png", "A 40417-2024")</f>
        <v/>
      </c>
      <c r="Y100">
        <f>HYPERLINK("https://klasma.github.io/Logging_0685/klagomål/A 40417-2024 FSC-klagomål.docx", "A 40417-2024")</f>
        <v/>
      </c>
      <c r="Z100">
        <f>HYPERLINK("https://klasma.github.io/Logging_0685/klagomålsmail/A 40417-2024 FSC-klagomål mail.docx", "A 40417-2024")</f>
        <v/>
      </c>
      <c r="AA100">
        <f>HYPERLINK("https://klasma.github.io/Logging_0685/tillsyn/A 40417-2024 tillsynsbegäran.docx", "A 40417-2024")</f>
        <v/>
      </c>
      <c r="AB100">
        <f>HYPERLINK("https://klasma.github.io/Logging_0685/tillsynsmail/A 40417-2024 tillsynsbegäran mail.docx", "A 40417-2024")</f>
        <v/>
      </c>
    </row>
    <row r="101" ht="15" customHeight="1">
      <c r="A101" t="inlineStr">
        <is>
          <t>A 16508-2024</t>
        </is>
      </c>
      <c r="B101" t="inlineStr">
        <is>
          <t>avverkningsanmälan</t>
        </is>
      </c>
      <c r="C101" t="inlineStr">
        <is>
          <t>Föryngringsavverkning</t>
        </is>
      </c>
      <c r="D101" s="1" t="n">
        <v>45408</v>
      </c>
      <c r="E101" s="1" t="n">
        <v>46217</v>
      </c>
      <c r="F101" t="inlineStr">
        <is>
          <t>JÖNKÖPINGS LÄN</t>
        </is>
      </c>
      <c r="G101" t="inlineStr">
        <is>
          <t>VETLANDA</t>
        </is>
      </c>
      <c r="I101" t="n">
        <v>4.4</v>
      </c>
      <c r="J101" t="n">
        <v>0</v>
      </c>
      <c r="K101" t="n">
        <v>1</v>
      </c>
      <c r="L101" t="n">
        <v>0</v>
      </c>
      <c r="M101" t="n">
        <v>0</v>
      </c>
      <c r="N101" t="n">
        <v>0</v>
      </c>
      <c r="O101" t="n">
        <v>0</v>
      </c>
      <c r="P101" t="n">
        <v>0</v>
      </c>
      <c r="Q101" t="n">
        <v>0</v>
      </c>
      <c r="R101" t="n">
        <v>0</v>
      </c>
      <c r="S101" t="n">
        <v>1</v>
      </c>
      <c r="T101" t="n">
        <v>1</v>
      </c>
      <c r="U101" s="2" t="inlineStr">
        <is>
          <t>Tibast</t>
        </is>
      </c>
      <c r="V101">
        <f>HYPERLINK("https://klasma.github.io/Logging_0685/artfynd/A 16508-2024 artfynd.xlsx", "A 16508-2024")</f>
        <v/>
      </c>
      <c r="W101">
        <f>HYPERLINK("https://klasma.github.io/Logging_0685/kartor/A 16508-2024 karta.png", "A 16508-2024")</f>
        <v/>
      </c>
      <c r="Y101">
        <f>HYPERLINK("https://klasma.github.io/Logging_0685/klagomål/A 16508-2024 FSC-klagomål.docx", "A 16508-2024")</f>
        <v/>
      </c>
      <c r="Z101">
        <f>HYPERLINK("https://klasma.github.io/Logging_0685/klagomålsmail/A 16508-2024 FSC-klagomål mail.docx", "A 16508-2024")</f>
        <v/>
      </c>
      <c r="AA101">
        <f>HYPERLINK("https://klasma.github.io/Logging_0685/tillsyn/A 16508-2024 tillsynsbegäran.docx", "A 16508-2024")</f>
        <v/>
      </c>
      <c r="AB101">
        <f>HYPERLINK("https://klasma.github.io/Logging_0685/tillsynsmail/A 16508-2024 tillsynsbegäran mail.docx", "A 16508-2024")</f>
        <v/>
      </c>
    </row>
    <row r="102" ht="15" customHeight="1">
      <c r="A102" t="inlineStr">
        <is>
          <t>A 47327-2025</t>
        </is>
      </c>
      <c r="B102" t="inlineStr">
        <is>
          <t>avverkningsanmälan</t>
        </is>
      </c>
      <c r="C102" t="inlineStr">
        <is>
          <t>Föryngringsavverkning</t>
        </is>
      </c>
      <c r="D102" s="1" t="n">
        <v>45930</v>
      </c>
      <c r="E102" s="1" t="n">
        <v>46217</v>
      </c>
      <c r="F102" t="inlineStr">
        <is>
          <t>JÖNKÖPINGS LÄN</t>
        </is>
      </c>
      <c r="G102" t="inlineStr">
        <is>
          <t>VETLANDA</t>
        </is>
      </c>
      <c r="H102" t="inlineStr">
        <is>
          <t>Kyrkan</t>
        </is>
      </c>
      <c r="I102" t="n">
        <v>7.2</v>
      </c>
      <c r="J102" t="n">
        <v>1</v>
      </c>
      <c r="K102" t="n">
        <v>0</v>
      </c>
      <c r="L102" t="n">
        <v>0</v>
      </c>
      <c r="M102" t="n">
        <v>1</v>
      </c>
      <c r="N102" t="n">
        <v>0</v>
      </c>
      <c r="O102" t="n">
        <v>0</v>
      </c>
      <c r="P102" t="n">
        <v>0</v>
      </c>
      <c r="Q102" t="n">
        <v>1</v>
      </c>
      <c r="R102" t="n">
        <v>1</v>
      </c>
      <c r="S102" t="n">
        <v>1</v>
      </c>
      <c r="T102" t="n">
        <v>2</v>
      </c>
      <c r="U102" s="2" t="inlineStr">
        <is>
          <t>Knärot</t>
        </is>
      </c>
      <c r="V102">
        <f>HYPERLINK("https://klasma.github.io/Logging_0685/artfynd/A 47327-2025 artfynd.xlsx", "A 47327-2025")</f>
        <v/>
      </c>
      <c r="W102">
        <f>HYPERLINK("https://klasma.github.io/Logging_0685/kartor/A 47327-2025 karta.png", "A 47327-2025")</f>
        <v/>
      </c>
      <c r="X102">
        <f>HYPERLINK("https://klasma.github.io/Logging_0685/knärot/A 47327-2025 karta knärot.png", "A 47327-2025")</f>
        <v/>
      </c>
      <c r="Y102">
        <f>HYPERLINK("https://klasma.github.io/Logging_0685/klagomål/A 47327-2025 FSC-klagomål.docx", "A 47327-2025")</f>
        <v/>
      </c>
      <c r="Z102">
        <f>HYPERLINK("https://klasma.github.io/Logging_0685/klagomålsmail/A 47327-2025 FSC-klagomål mail.docx", "A 47327-2025")</f>
        <v/>
      </c>
      <c r="AA102">
        <f>HYPERLINK("https://klasma.github.io/Logging_0685/tillsyn/A 47327-2025 tillsynsbegäran.docx", "A 47327-2025")</f>
        <v/>
      </c>
      <c r="AB102">
        <f>HYPERLINK("https://klasma.github.io/Logging_0685/tillsynsmail/A 47327-2025 tillsynsbegäran mail.docx", "A 47327-2025")</f>
        <v/>
      </c>
    </row>
    <row r="103" ht="15" customHeight="1">
      <c r="A103" t="inlineStr">
        <is>
          <t>A 8932-2026</t>
        </is>
      </c>
      <c r="B103" t="inlineStr">
        <is>
          <t>avverkningsanmälan</t>
        </is>
      </c>
      <c r="C103" t="inlineStr">
        <is>
          <t>Föryngringsavverkning</t>
        </is>
      </c>
      <c r="D103" s="1" t="n">
        <v>46069</v>
      </c>
      <c r="E103" s="1" t="n">
        <v>46217</v>
      </c>
      <c r="F103" t="inlineStr">
        <is>
          <t>JÖNKÖPINGS LÄN</t>
        </is>
      </c>
      <c r="G103" t="inlineStr">
        <is>
          <t>VETLANDA</t>
        </is>
      </c>
      <c r="I103" t="n">
        <v>2.2</v>
      </c>
      <c r="J103" t="n">
        <v>0</v>
      </c>
      <c r="K103" t="n">
        <v>1</v>
      </c>
      <c r="L103" t="n">
        <v>0</v>
      </c>
      <c r="M103" t="n">
        <v>0</v>
      </c>
      <c r="N103" t="n">
        <v>0</v>
      </c>
      <c r="O103" t="n">
        <v>0</v>
      </c>
      <c r="P103" t="n">
        <v>0</v>
      </c>
      <c r="Q103" t="n">
        <v>0</v>
      </c>
      <c r="R103" t="n">
        <v>0</v>
      </c>
      <c r="S103" t="n">
        <v>1</v>
      </c>
      <c r="T103" t="n">
        <v>1</v>
      </c>
      <c r="U103" s="2" t="inlineStr">
        <is>
          <t>Tibast</t>
        </is>
      </c>
      <c r="V103">
        <f>HYPERLINK("https://klasma.github.io/Logging_0685/artfynd/A 8932-2026 artfynd.xlsx", "A 8932-2026")</f>
        <v/>
      </c>
      <c r="W103">
        <f>HYPERLINK("https://klasma.github.io/Logging_0685/kartor/A 8932-2026 karta.png", "A 8932-2026")</f>
        <v/>
      </c>
      <c r="Y103">
        <f>HYPERLINK("https://klasma.github.io/Logging_0685/klagomål/A 8932-2026 FSC-klagomål.docx", "A 8932-2026")</f>
        <v/>
      </c>
      <c r="Z103">
        <f>HYPERLINK("https://klasma.github.io/Logging_0685/klagomålsmail/A 8932-2026 FSC-klagomål mail.docx", "A 8932-2026")</f>
        <v/>
      </c>
      <c r="AA103">
        <f>HYPERLINK("https://klasma.github.io/Logging_0685/tillsyn/A 8932-2026 tillsynsbegäran.docx", "A 8932-2026")</f>
        <v/>
      </c>
      <c r="AB103">
        <f>HYPERLINK("https://klasma.github.io/Logging_0685/tillsynsmail/A 8932-2026 tillsynsbegäran mail.docx", "A 8932-2026")</f>
        <v/>
      </c>
    </row>
    <row r="104" ht="15" customHeight="1">
      <c r="A104" t="inlineStr">
        <is>
          <t>A 9551-2026</t>
        </is>
      </c>
      <c r="B104" t="inlineStr">
        <is>
          <t>avverkningsanmälan</t>
        </is>
      </c>
      <c r="C104" t="inlineStr">
        <is>
          <t>Avverkning för att bevara och utveckla /försöksver</t>
        </is>
      </c>
      <c r="D104" s="1" t="n">
        <v>46071</v>
      </c>
      <c r="E104" s="1" t="n">
        <v>46217</v>
      </c>
      <c r="F104" t="inlineStr">
        <is>
          <t>JÖNKÖPINGS LÄN</t>
        </is>
      </c>
      <c r="G104" t="inlineStr">
        <is>
          <t>VETLANDA</t>
        </is>
      </c>
      <c r="I104" t="n">
        <v>3</v>
      </c>
      <c r="J104" t="n">
        <v>0</v>
      </c>
      <c r="K104" t="n">
        <v>1</v>
      </c>
      <c r="L104" t="n">
        <v>0</v>
      </c>
      <c r="M104" t="n">
        <v>0</v>
      </c>
      <c r="N104" t="n">
        <v>0</v>
      </c>
      <c r="O104" t="n">
        <v>0</v>
      </c>
      <c r="P104" t="n">
        <v>0</v>
      </c>
      <c r="Q104" t="n">
        <v>0</v>
      </c>
      <c r="R104" t="n">
        <v>0</v>
      </c>
      <c r="S104" t="n">
        <v>1</v>
      </c>
      <c r="T104" t="n">
        <v>1</v>
      </c>
      <c r="U104" s="2" t="inlineStr">
        <is>
          <t>Bårdlav</t>
        </is>
      </c>
      <c r="V104">
        <f>HYPERLINK("https://klasma.github.io/Logging_0685/artfynd/A 9551-2026 artfynd.xlsx", "A 9551-2026")</f>
        <v/>
      </c>
      <c r="W104">
        <f>HYPERLINK("https://klasma.github.io/Logging_0685/kartor/A 9551-2026 karta.png", "A 9551-2026")</f>
        <v/>
      </c>
      <c r="Y104">
        <f>HYPERLINK("https://klasma.github.io/Logging_0685/klagomål/A 9551-2026 FSC-klagomål.docx", "A 9551-2026")</f>
        <v/>
      </c>
      <c r="Z104">
        <f>HYPERLINK("https://klasma.github.io/Logging_0685/klagomålsmail/A 9551-2026 FSC-klagomål mail.docx", "A 9551-2026")</f>
        <v/>
      </c>
      <c r="AA104">
        <f>HYPERLINK("https://klasma.github.io/Logging_0685/tillsyn/A 9551-2026 tillsynsbegäran.docx", "A 9551-2026")</f>
        <v/>
      </c>
      <c r="AB104">
        <f>HYPERLINK("https://klasma.github.io/Logging_0685/tillsynsmail/A 9551-2026 tillsynsbegäran mail.docx", "A 9551-2026")</f>
        <v/>
      </c>
    </row>
    <row r="105" ht="15" customHeight="1">
      <c r="A105" t="inlineStr">
        <is>
          <t>A 60971-2023</t>
        </is>
      </c>
      <c r="B105" t="inlineStr">
        <is>
          <t>avverkningsanmälan</t>
        </is>
      </c>
      <c r="C105" t="inlineStr">
        <is>
          <t>Föryngringsavverkning</t>
        </is>
      </c>
      <c r="D105" s="1" t="n">
        <v>45261</v>
      </c>
      <c r="E105" s="1" t="n">
        <v>46217</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s="2" t="inlineStr">
        <is>
          <t>Blåsippa</t>
        </is>
      </c>
      <c r="V105">
        <f>HYPERLINK("https://klasma.github.io/Logging_0685/artfynd/A 60971-2023 artfynd.xlsx", "A 60971-2023")</f>
        <v/>
      </c>
      <c r="W105">
        <f>HYPERLINK("https://klasma.github.io/Logging_0685/kartor/A 60971-2023 karta.png", "A 60971-2023")</f>
        <v/>
      </c>
      <c r="Y105">
        <f>HYPERLINK("https://klasma.github.io/Logging_0685/klagomål/A 60971-2023 FSC-klagomål.docx", "A 60971-2023")</f>
        <v/>
      </c>
      <c r="Z105">
        <f>HYPERLINK("https://klasma.github.io/Logging_0685/klagomålsmail/A 60971-2023 FSC-klagomål mail.docx", "A 60971-2023")</f>
        <v/>
      </c>
      <c r="AA105">
        <f>HYPERLINK("https://klasma.github.io/Logging_0685/tillsyn/A 60971-2023 tillsynsbegäran.docx", "A 60971-2023")</f>
        <v/>
      </c>
      <c r="AB105">
        <f>HYPERLINK("https://klasma.github.io/Logging_0685/tillsynsmail/A 60971-2023 tillsynsbegäran mail.docx", "A 60971-2023")</f>
        <v/>
      </c>
    </row>
    <row r="106" ht="15" customHeight="1">
      <c r="A106" t="inlineStr">
        <is>
          <t>A 28655-2022</t>
        </is>
      </c>
      <c r="B106" t="inlineStr">
        <is>
          <t>avverkningsanmälan</t>
        </is>
      </c>
      <c r="C106" t="inlineStr">
        <is>
          <t>Föryngringsavverkning</t>
        </is>
      </c>
      <c r="D106" s="1" t="n">
        <v>44748</v>
      </c>
      <c r="E106" s="1" t="n">
        <v>46217</v>
      </c>
      <c r="F106" t="inlineStr">
        <is>
          <t>JÖNKÖPINGS LÄN</t>
        </is>
      </c>
      <c r="G106" t="inlineStr">
        <is>
          <t>VETLANDA</t>
        </is>
      </c>
      <c r="I106" t="n">
        <v>3.2</v>
      </c>
      <c r="J106" t="n">
        <v>0</v>
      </c>
      <c r="K106" t="n">
        <v>0</v>
      </c>
      <c r="L106" t="n">
        <v>0</v>
      </c>
      <c r="M106" t="n">
        <v>0</v>
      </c>
      <c r="N106" t="n">
        <v>1</v>
      </c>
      <c r="O106" t="n">
        <v>0</v>
      </c>
      <c r="P106" t="n">
        <v>0</v>
      </c>
      <c r="Q106" t="n">
        <v>1</v>
      </c>
      <c r="R106" t="n">
        <v>1</v>
      </c>
      <c r="S106" t="n">
        <v>1</v>
      </c>
      <c r="T106" t="n">
        <v>1</v>
      </c>
      <c r="U106" s="2" t="inlineStr">
        <is>
          <t>Ask</t>
        </is>
      </c>
      <c r="V106">
        <f>HYPERLINK("https://klasma.github.io/Logging_0685/artfynd/A 28655-2022 artfynd.xlsx", "A 28655-2022")</f>
        <v/>
      </c>
      <c r="W106">
        <f>HYPERLINK("https://klasma.github.io/Logging_0685/kartor/A 28655-2022 karta.png", "A 28655-2022")</f>
        <v/>
      </c>
      <c r="Y106">
        <f>HYPERLINK("https://klasma.github.io/Logging_0685/klagomål/A 28655-2022 FSC-klagomål.docx", "A 28655-2022")</f>
        <v/>
      </c>
      <c r="Z106">
        <f>HYPERLINK("https://klasma.github.io/Logging_0685/klagomålsmail/A 28655-2022 FSC-klagomål mail.docx", "A 28655-2022")</f>
        <v/>
      </c>
      <c r="AA106">
        <f>HYPERLINK("https://klasma.github.io/Logging_0685/tillsyn/A 28655-2022 tillsynsbegäran.docx", "A 28655-2022")</f>
        <v/>
      </c>
      <c r="AB106">
        <f>HYPERLINK("https://klasma.github.io/Logging_0685/tillsynsmail/A 28655-2022 tillsynsbegäran mail.docx", "A 28655-2022")</f>
        <v/>
      </c>
    </row>
    <row r="107" ht="15" customHeight="1">
      <c r="A107" t="inlineStr">
        <is>
          <t>A 42142-2022</t>
        </is>
      </c>
      <c r="B107" t="inlineStr">
        <is>
          <t>avverkningsanmälan</t>
        </is>
      </c>
      <c r="C107" t="inlineStr">
        <is>
          <t>Föryngringsavverkning</t>
        </is>
      </c>
      <c r="D107" s="1" t="n">
        <v>44830</v>
      </c>
      <c r="E107" s="1" t="n">
        <v>46217</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s="2" t="inlineStr">
        <is>
          <t>Senfibbla</t>
        </is>
      </c>
      <c r="V107">
        <f>HYPERLINK("https://klasma.github.io/Logging_0685/artfynd/A 42142-2022 artfynd.xlsx", "A 42142-2022")</f>
        <v/>
      </c>
      <c r="W107">
        <f>HYPERLINK("https://klasma.github.io/Logging_0685/kartor/A 42142-2022 karta.png", "A 42142-2022")</f>
        <v/>
      </c>
      <c r="Y107">
        <f>HYPERLINK("https://klasma.github.io/Logging_0685/klagomål/A 42142-2022 FSC-klagomål.docx", "A 42142-2022")</f>
        <v/>
      </c>
      <c r="Z107">
        <f>HYPERLINK("https://klasma.github.io/Logging_0685/klagomålsmail/A 42142-2022 FSC-klagomål mail.docx", "A 42142-2022")</f>
        <v/>
      </c>
      <c r="AA107">
        <f>HYPERLINK("https://klasma.github.io/Logging_0685/tillsyn/A 42142-2022 tillsynsbegäran.docx", "A 42142-2022")</f>
        <v/>
      </c>
      <c r="AB107">
        <f>HYPERLINK("https://klasma.github.io/Logging_0685/tillsynsmail/A 42142-2022 tillsynsbegäran mail.docx", "A 42142-2022")</f>
        <v/>
      </c>
    </row>
    <row r="108" ht="15" customHeight="1">
      <c r="A108" t="inlineStr">
        <is>
          <t>A 61446-2022</t>
        </is>
      </c>
      <c r="B108" t="inlineStr">
        <is>
          <t>avverkningsanmälan</t>
        </is>
      </c>
      <c r="C108" t="inlineStr">
        <is>
          <t>Föryngringsavverkning</t>
        </is>
      </c>
      <c r="D108" s="1" t="n">
        <v>44916</v>
      </c>
      <c r="E108" s="1" t="n">
        <v>46217</v>
      </c>
      <c r="F108" t="inlineStr">
        <is>
          <t>JÖNKÖPINGS LÄN</t>
        </is>
      </c>
      <c r="G108" t="inlineStr">
        <is>
          <t>VETLANDA</t>
        </is>
      </c>
      <c r="I108" t="n">
        <v>8.199999999999999</v>
      </c>
      <c r="J108" t="n">
        <v>0</v>
      </c>
      <c r="K108" t="n">
        <v>0</v>
      </c>
      <c r="L108" t="n">
        <v>0</v>
      </c>
      <c r="M108" t="n">
        <v>1</v>
      </c>
      <c r="N108" t="n">
        <v>0</v>
      </c>
      <c r="O108" t="n">
        <v>0</v>
      </c>
      <c r="P108" t="n">
        <v>0</v>
      </c>
      <c r="Q108" t="n">
        <v>1</v>
      </c>
      <c r="R108" t="n">
        <v>1</v>
      </c>
      <c r="S108" t="n">
        <v>1</v>
      </c>
      <c r="T108" t="n">
        <v>1</v>
      </c>
      <c r="U108" s="2" t="inlineStr">
        <is>
          <t>Krokfibbla</t>
        </is>
      </c>
      <c r="V108">
        <f>HYPERLINK("https://klasma.github.io/Logging_0685/artfynd/A 61446-2022 artfynd.xlsx", "A 61446-2022")</f>
        <v/>
      </c>
      <c r="W108">
        <f>HYPERLINK("https://klasma.github.io/Logging_0685/kartor/A 61446-2022 karta.png", "A 61446-2022")</f>
        <v/>
      </c>
      <c r="Y108">
        <f>HYPERLINK("https://klasma.github.io/Logging_0685/klagomål/A 61446-2022 FSC-klagomål.docx", "A 61446-2022")</f>
        <v/>
      </c>
      <c r="Z108">
        <f>HYPERLINK("https://klasma.github.io/Logging_0685/klagomålsmail/A 61446-2022 FSC-klagomål mail.docx", "A 61446-2022")</f>
        <v/>
      </c>
      <c r="AA108">
        <f>HYPERLINK("https://klasma.github.io/Logging_0685/tillsyn/A 61446-2022 tillsynsbegäran.docx", "A 61446-2022")</f>
        <v/>
      </c>
      <c r="AB108">
        <f>HYPERLINK("https://klasma.github.io/Logging_0685/tillsynsmail/A 61446-2022 tillsynsbegäran mail.docx", "A 61446-2022")</f>
        <v/>
      </c>
    </row>
    <row r="109" ht="15" customHeight="1">
      <c r="A109" t="inlineStr">
        <is>
          <t>A 57111-2023</t>
        </is>
      </c>
      <c r="B109" t="inlineStr">
        <is>
          <t>avverkningsanmälan</t>
        </is>
      </c>
      <c r="C109" t="inlineStr">
        <is>
          <t>Föryngringsavverkning</t>
        </is>
      </c>
      <c r="D109" s="1" t="n">
        <v>45239</v>
      </c>
      <c r="E109" s="1" t="n">
        <v>46217</v>
      </c>
      <c r="F109" t="inlineStr">
        <is>
          <t>JÖNKÖPINGS LÄN</t>
        </is>
      </c>
      <c r="G109" t="inlineStr">
        <is>
          <t>VETLANDA</t>
        </is>
      </c>
      <c r="H109" t="inlineStr">
        <is>
          <t>Kyrkan</t>
        </is>
      </c>
      <c r="I109" t="n">
        <v>2.1</v>
      </c>
      <c r="J109" t="n">
        <v>1</v>
      </c>
      <c r="K109" t="n">
        <v>0</v>
      </c>
      <c r="L109" t="n">
        <v>0</v>
      </c>
      <c r="M109" t="n">
        <v>0</v>
      </c>
      <c r="N109" t="n">
        <v>0</v>
      </c>
      <c r="O109" t="n">
        <v>0</v>
      </c>
      <c r="P109" t="n">
        <v>0</v>
      </c>
      <c r="Q109" t="n">
        <v>0</v>
      </c>
      <c r="R109" t="n">
        <v>0</v>
      </c>
      <c r="S109" t="n">
        <v>1</v>
      </c>
      <c r="T109" t="n">
        <v>2</v>
      </c>
      <c r="U109" s="2" t="inlineStr">
        <is>
          <t>Blåsippa</t>
        </is>
      </c>
      <c r="V109">
        <f>HYPERLINK("https://klasma.github.io/Logging_0685/artfynd/A 57111-2023 artfynd.xlsx", "A 57111-2023")</f>
        <v/>
      </c>
      <c r="W109">
        <f>HYPERLINK("https://klasma.github.io/Logging_0685/kartor/A 57111-2023 karta.png", "A 57111-2023")</f>
        <v/>
      </c>
      <c r="Y109">
        <f>HYPERLINK("https://klasma.github.io/Logging_0685/klagomål/A 57111-2023 FSC-klagomål.docx", "A 57111-2023")</f>
        <v/>
      </c>
      <c r="Z109">
        <f>HYPERLINK("https://klasma.github.io/Logging_0685/klagomålsmail/A 57111-2023 FSC-klagomål mail.docx", "A 57111-2023")</f>
        <v/>
      </c>
      <c r="AA109">
        <f>HYPERLINK("https://klasma.github.io/Logging_0685/tillsyn/A 57111-2023 tillsynsbegäran.docx", "A 57111-2023")</f>
        <v/>
      </c>
      <c r="AB109">
        <f>HYPERLINK("https://klasma.github.io/Logging_0685/tillsynsmail/A 57111-2023 tillsynsbegäran mail.docx", "A 57111-2023")</f>
        <v/>
      </c>
    </row>
    <row r="110" ht="15" customHeight="1">
      <c r="A110" t="inlineStr">
        <is>
          <t>A 29027-2023</t>
        </is>
      </c>
      <c r="B110" t="inlineStr">
        <is>
          <t>avverkningsanmälan</t>
        </is>
      </c>
      <c r="C110" t="inlineStr">
        <is>
          <t>Föryngringsavverkning</t>
        </is>
      </c>
      <c r="D110" s="1" t="n">
        <v>45104</v>
      </c>
      <c r="E110" s="1" t="n">
        <v>46217</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s="2" t="inlineStr">
        <is>
          <t>Knärot</t>
        </is>
      </c>
      <c r="V110">
        <f>HYPERLINK("https://klasma.github.io/Logging_0685/artfynd/A 29027-2023 artfynd.xlsx", "A 29027-2023")</f>
        <v/>
      </c>
      <c r="W110">
        <f>HYPERLINK("https://klasma.github.io/Logging_0685/kartor/A 29027-2023 karta.png", "A 29027-2023")</f>
        <v/>
      </c>
      <c r="X110">
        <f>HYPERLINK("https://klasma.github.io/Logging_0685/knärot/A 29027-2023 karta knärot.png", "A 29027-2023")</f>
        <v/>
      </c>
      <c r="Y110">
        <f>HYPERLINK("https://klasma.github.io/Logging_0685/klagomål/A 29027-2023 FSC-klagomål.docx", "A 29027-2023")</f>
        <v/>
      </c>
      <c r="Z110">
        <f>HYPERLINK("https://klasma.github.io/Logging_0685/klagomålsmail/A 29027-2023 FSC-klagomål mail.docx", "A 29027-2023")</f>
        <v/>
      </c>
      <c r="AA110">
        <f>HYPERLINK("https://klasma.github.io/Logging_0685/tillsyn/A 29027-2023 tillsynsbegäran.docx", "A 29027-2023")</f>
        <v/>
      </c>
      <c r="AB110">
        <f>HYPERLINK("https://klasma.github.io/Logging_0685/tillsynsmail/A 29027-2023 tillsynsbegäran mail.docx", "A 29027-2023")</f>
        <v/>
      </c>
    </row>
    <row r="111" ht="15" customHeight="1">
      <c r="A111" t="inlineStr">
        <is>
          <t>A 24905-2022</t>
        </is>
      </c>
      <c r="B111" t="inlineStr">
        <is>
          <t>avverkningsanmälan</t>
        </is>
      </c>
      <c r="C111" t="inlineStr">
        <is>
          <t>Föryngringsavverkning</t>
        </is>
      </c>
      <c r="D111" s="1" t="n">
        <v>44728</v>
      </c>
      <c r="E111" s="1" t="n">
        <v>46217</v>
      </c>
      <c r="F111" t="inlineStr">
        <is>
          <t>JÖNKÖPINGS LÄN</t>
        </is>
      </c>
      <c r="G111" t="inlineStr">
        <is>
          <t>VETLANDA</t>
        </is>
      </c>
      <c r="I111" t="n">
        <v>0.8</v>
      </c>
      <c r="J111" t="n">
        <v>1</v>
      </c>
      <c r="K111" t="n">
        <v>0</v>
      </c>
      <c r="L111" t="n">
        <v>0</v>
      </c>
      <c r="M111" t="n">
        <v>0</v>
      </c>
      <c r="N111" t="n">
        <v>0</v>
      </c>
      <c r="O111" t="n">
        <v>0</v>
      </c>
      <c r="P111" t="n">
        <v>0</v>
      </c>
      <c r="Q111" t="n">
        <v>0</v>
      </c>
      <c r="R111" t="n">
        <v>0</v>
      </c>
      <c r="S111" t="n">
        <v>1</v>
      </c>
      <c r="T111" t="n">
        <v>1</v>
      </c>
      <c r="U111" s="2" t="inlineStr">
        <is>
          <t>Röd glada</t>
        </is>
      </c>
      <c r="V111">
        <f>HYPERLINK("https://klasma.github.io/Logging_0685/artfynd/A 24905-2022 artfynd.xlsx", "A 24905-2022")</f>
        <v/>
      </c>
      <c r="W111">
        <f>HYPERLINK("https://klasma.github.io/Logging_0685/kartor/A 24905-2022 karta.png", "A 24905-2022")</f>
        <v/>
      </c>
      <c r="Y111">
        <f>HYPERLINK("https://klasma.github.io/Logging_0685/klagomål/A 24905-2022 FSC-klagomål.docx", "A 24905-2022")</f>
        <v/>
      </c>
      <c r="Z111">
        <f>HYPERLINK("https://klasma.github.io/Logging_0685/klagomålsmail/A 24905-2022 FSC-klagomål mail.docx", "A 24905-2022")</f>
        <v/>
      </c>
      <c r="AA111">
        <f>HYPERLINK("https://klasma.github.io/Logging_0685/tillsyn/A 24905-2022 tillsynsbegäran.docx", "A 24905-2022")</f>
        <v/>
      </c>
      <c r="AB111">
        <f>HYPERLINK("https://klasma.github.io/Logging_0685/tillsynsmail/A 24905-2022 tillsynsbegäran mail.docx", "A 24905-2022")</f>
        <v/>
      </c>
      <c r="AC111">
        <f>HYPERLINK("https://klasma.github.io/Logging_0685/fåglar/A 24905-2022 prioriterade fågelarter.docx", "A 24905-2022")</f>
        <v/>
      </c>
    </row>
    <row r="112" ht="15" customHeight="1">
      <c r="A112" t="inlineStr">
        <is>
          <t>A 39857-2022</t>
        </is>
      </c>
      <c r="B112" t="inlineStr">
        <is>
          <t>avverkningsanmälan</t>
        </is>
      </c>
      <c r="C112" t="inlineStr">
        <is>
          <t>Föryngringsavverkning</t>
        </is>
      </c>
      <c r="D112" s="1" t="n">
        <v>44819</v>
      </c>
      <c r="E112" s="1" t="n">
        <v>46217</v>
      </c>
      <c r="F112" t="inlineStr">
        <is>
          <t>JÖNKÖPINGS LÄN</t>
        </is>
      </c>
      <c r="G112" t="inlineStr">
        <is>
          <t>VETLANDA</t>
        </is>
      </c>
      <c r="I112" t="n">
        <v>11.8</v>
      </c>
      <c r="J112" t="n">
        <v>0</v>
      </c>
      <c r="K112" t="n">
        <v>1</v>
      </c>
      <c r="L112" t="n">
        <v>0</v>
      </c>
      <c r="M112" t="n">
        <v>0</v>
      </c>
      <c r="N112" t="n">
        <v>0</v>
      </c>
      <c r="O112" t="n">
        <v>0</v>
      </c>
      <c r="P112" t="n">
        <v>0</v>
      </c>
      <c r="Q112" t="n">
        <v>0</v>
      </c>
      <c r="R112" t="n">
        <v>0</v>
      </c>
      <c r="S112" t="n">
        <v>1</v>
      </c>
      <c r="T112" t="n">
        <v>1</v>
      </c>
      <c r="U112" s="2" t="inlineStr">
        <is>
          <t>Grönpyrola</t>
        </is>
      </c>
      <c r="V112">
        <f>HYPERLINK("https://klasma.github.io/Logging_0685/artfynd/A 39857-2022 artfynd.xlsx", "A 39857-2022")</f>
        <v/>
      </c>
      <c r="W112">
        <f>HYPERLINK("https://klasma.github.io/Logging_0685/kartor/A 39857-2022 karta.png", "A 39857-2022")</f>
        <v/>
      </c>
      <c r="Y112">
        <f>HYPERLINK("https://klasma.github.io/Logging_0685/klagomål/A 39857-2022 FSC-klagomål.docx", "A 39857-2022")</f>
        <v/>
      </c>
      <c r="Z112">
        <f>HYPERLINK("https://klasma.github.io/Logging_0685/klagomålsmail/A 39857-2022 FSC-klagomål mail.docx", "A 39857-2022")</f>
        <v/>
      </c>
      <c r="AA112">
        <f>HYPERLINK("https://klasma.github.io/Logging_0685/tillsyn/A 39857-2022 tillsynsbegäran.docx", "A 39857-2022")</f>
        <v/>
      </c>
      <c r="AB112">
        <f>HYPERLINK("https://klasma.github.io/Logging_0685/tillsynsmail/A 39857-2022 tillsynsbegäran mail.docx", "A 39857-2022")</f>
        <v/>
      </c>
    </row>
    <row r="113" ht="15" customHeight="1">
      <c r="A113" t="inlineStr">
        <is>
          <t>A 6208-2024</t>
        </is>
      </c>
      <c r="B113" t="inlineStr">
        <is>
          <t>avverkningsanmälan</t>
        </is>
      </c>
      <c r="C113" t="inlineStr">
        <is>
          <t>Föryngringsavverkning</t>
        </is>
      </c>
      <c r="D113" s="1" t="n">
        <v>45337</v>
      </c>
      <c r="E113" s="1" t="n">
        <v>46217</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s="2" t="inlineStr">
        <is>
          <t>Ask</t>
        </is>
      </c>
      <c r="V113">
        <f>HYPERLINK("https://klasma.github.io/Logging_0685/artfynd/A 6208-2024 artfynd.xlsx", "A 6208-2024")</f>
        <v/>
      </c>
      <c r="W113">
        <f>HYPERLINK("https://klasma.github.io/Logging_0685/kartor/A 6208-2024 karta.png", "A 6208-2024")</f>
        <v/>
      </c>
      <c r="Y113">
        <f>HYPERLINK("https://klasma.github.io/Logging_0685/klagomål/A 6208-2024 FSC-klagomål.docx", "A 6208-2024")</f>
        <v/>
      </c>
      <c r="Z113">
        <f>HYPERLINK("https://klasma.github.io/Logging_0685/klagomålsmail/A 6208-2024 FSC-klagomål mail.docx", "A 6208-2024")</f>
        <v/>
      </c>
      <c r="AA113">
        <f>HYPERLINK("https://klasma.github.io/Logging_0685/tillsyn/A 6208-2024 tillsynsbegäran.docx", "A 6208-2024")</f>
        <v/>
      </c>
      <c r="AB113">
        <f>HYPERLINK("https://klasma.github.io/Logging_0685/tillsynsmail/A 6208-2024 tillsynsbegäran mail.docx", "A 6208-2024")</f>
        <v/>
      </c>
    </row>
    <row r="114" ht="15" customHeight="1">
      <c r="A114" t="inlineStr">
        <is>
          <t>A 35657-2024</t>
        </is>
      </c>
      <c r="B114" t="inlineStr">
        <is>
          <t>avverkningsanmälan</t>
        </is>
      </c>
      <c r="C114" t="inlineStr">
        <is>
          <t>Föryngringsavverkning</t>
        </is>
      </c>
      <c r="D114" s="1" t="n">
        <v>45532</v>
      </c>
      <c r="E114" s="1" t="n">
        <v>46217</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s="2" t="inlineStr">
        <is>
          <t>Åkerkål</t>
        </is>
      </c>
      <c r="V114">
        <f>HYPERLINK("https://klasma.github.io/Logging_0685/artfynd/A 35657-2024 artfynd.xlsx", "A 35657-2024")</f>
        <v/>
      </c>
      <c r="W114">
        <f>HYPERLINK("https://klasma.github.io/Logging_0685/kartor/A 35657-2024 karta.png", "A 35657-2024")</f>
        <v/>
      </c>
      <c r="Y114">
        <f>HYPERLINK("https://klasma.github.io/Logging_0685/klagomål/A 35657-2024 FSC-klagomål.docx", "A 35657-2024")</f>
        <v/>
      </c>
      <c r="Z114">
        <f>HYPERLINK("https://klasma.github.io/Logging_0685/klagomålsmail/A 35657-2024 FSC-klagomål mail.docx", "A 35657-2024")</f>
        <v/>
      </c>
      <c r="AA114">
        <f>HYPERLINK("https://klasma.github.io/Logging_0685/tillsyn/A 35657-2024 tillsynsbegäran.docx", "A 35657-2024")</f>
        <v/>
      </c>
      <c r="AB114">
        <f>HYPERLINK("https://klasma.github.io/Logging_0685/tillsynsmail/A 35657-2024 tillsynsbegäran mail.docx", "A 35657-2024")</f>
        <v/>
      </c>
    </row>
    <row r="115" ht="15" customHeight="1">
      <c r="A115" t="inlineStr">
        <is>
          <t>A 12223-2023</t>
        </is>
      </c>
      <c r="B115" t="inlineStr">
        <is>
          <t>avverkningsanmälan</t>
        </is>
      </c>
      <c r="C115" t="inlineStr">
        <is>
          <t>Föryngringsavverkning</t>
        </is>
      </c>
      <c r="D115" s="1" t="n">
        <v>44998</v>
      </c>
      <c r="E115" s="1" t="n">
        <v>46217</v>
      </c>
      <c r="F115" t="inlineStr">
        <is>
          <t>JÖNKÖPINGS LÄN</t>
        </is>
      </c>
      <c r="G115" t="inlineStr">
        <is>
          <t>VETLANDA</t>
        </is>
      </c>
      <c r="I115" t="n">
        <v>8.800000000000001</v>
      </c>
      <c r="J115" t="n">
        <v>1</v>
      </c>
      <c r="K115" t="n">
        <v>0</v>
      </c>
      <c r="L115" t="n">
        <v>0</v>
      </c>
      <c r="M115" t="n">
        <v>0</v>
      </c>
      <c r="N115" t="n">
        <v>0</v>
      </c>
      <c r="O115" t="n">
        <v>0</v>
      </c>
      <c r="P115" t="n">
        <v>0</v>
      </c>
      <c r="Q115" t="n">
        <v>0</v>
      </c>
      <c r="R115" t="n">
        <v>0</v>
      </c>
      <c r="S115" t="n">
        <v>1</v>
      </c>
      <c r="T115" t="n">
        <v>1</v>
      </c>
      <c r="U115" s="2" t="inlineStr">
        <is>
          <t>Lopplummer (aggregat)</t>
        </is>
      </c>
      <c r="V115">
        <f>HYPERLINK("https://klasma.github.io/Logging_0685/artfynd/A 12223-2023 artfynd.xlsx", "A 12223-2023")</f>
        <v/>
      </c>
      <c r="W115">
        <f>HYPERLINK("https://klasma.github.io/Logging_0685/kartor/A 12223-2023 karta.png", "A 12223-2023")</f>
        <v/>
      </c>
      <c r="Y115">
        <f>HYPERLINK("https://klasma.github.io/Logging_0685/klagomål/A 12223-2023 FSC-klagomål.docx", "A 12223-2023")</f>
        <v/>
      </c>
      <c r="Z115">
        <f>HYPERLINK("https://klasma.github.io/Logging_0685/klagomålsmail/A 12223-2023 FSC-klagomål mail.docx", "A 12223-2023")</f>
        <v/>
      </c>
      <c r="AA115">
        <f>HYPERLINK("https://klasma.github.io/Logging_0685/tillsyn/A 12223-2023 tillsynsbegäran.docx", "A 12223-2023")</f>
        <v/>
      </c>
      <c r="AB115">
        <f>HYPERLINK("https://klasma.github.io/Logging_0685/tillsynsmail/A 12223-2023 tillsynsbegäran mail.docx", "A 12223-2023")</f>
        <v/>
      </c>
    </row>
    <row r="116" ht="15" customHeight="1">
      <c r="A116" t="inlineStr">
        <is>
          <t>A 60327-2024</t>
        </is>
      </c>
      <c r="B116" t="inlineStr">
        <is>
          <t>avverkningsanmälan</t>
        </is>
      </c>
      <c r="C116" t="inlineStr">
        <is>
          <t>Föryngringsavverkning</t>
        </is>
      </c>
      <c r="D116" s="1" t="n">
        <v>45643</v>
      </c>
      <c r="E116" s="1" t="n">
        <v>46217</v>
      </c>
      <c r="F116" t="inlineStr">
        <is>
          <t>JÖNKÖPINGS LÄN</t>
        </is>
      </c>
      <c r="G116" t="inlineStr">
        <is>
          <t>VETLANDA</t>
        </is>
      </c>
      <c r="I116" t="n">
        <v>7</v>
      </c>
      <c r="J116" t="n">
        <v>1</v>
      </c>
      <c r="K116" t="n">
        <v>0</v>
      </c>
      <c r="L116" t="n">
        <v>0</v>
      </c>
      <c r="M116" t="n">
        <v>0</v>
      </c>
      <c r="N116" t="n">
        <v>0</v>
      </c>
      <c r="O116" t="n">
        <v>0</v>
      </c>
      <c r="P116" t="n">
        <v>0</v>
      </c>
      <c r="Q116" t="n">
        <v>0</v>
      </c>
      <c r="R116" t="n">
        <v>0</v>
      </c>
      <c r="S116" t="n">
        <v>1</v>
      </c>
      <c r="T116" t="n">
        <v>1</v>
      </c>
      <c r="U116" s="2" t="inlineStr">
        <is>
          <t>Kungsfågel</t>
        </is>
      </c>
      <c r="V116">
        <f>HYPERLINK("https://klasma.github.io/Logging_0685/artfynd/A 60327-2024 artfynd.xlsx", "A 60327-2024")</f>
        <v/>
      </c>
      <c r="W116">
        <f>HYPERLINK("https://klasma.github.io/Logging_0685/kartor/A 60327-2024 karta.png", "A 60327-2024")</f>
        <v/>
      </c>
      <c r="Y116">
        <f>HYPERLINK("https://klasma.github.io/Logging_0685/klagomål/A 60327-2024 FSC-klagomål.docx", "A 60327-2024")</f>
        <v/>
      </c>
      <c r="Z116">
        <f>HYPERLINK("https://klasma.github.io/Logging_0685/klagomålsmail/A 60327-2024 FSC-klagomål mail.docx", "A 60327-2024")</f>
        <v/>
      </c>
      <c r="AA116">
        <f>HYPERLINK("https://klasma.github.io/Logging_0685/tillsyn/A 60327-2024 tillsynsbegäran.docx", "A 60327-2024")</f>
        <v/>
      </c>
      <c r="AB116">
        <f>HYPERLINK("https://klasma.github.io/Logging_0685/tillsynsmail/A 60327-2024 tillsynsbegäran mail.docx", "A 60327-2024")</f>
        <v/>
      </c>
    </row>
    <row r="117" ht="15" customHeight="1">
      <c r="A117" t="inlineStr">
        <is>
          <t>A 8677-2024</t>
        </is>
      </c>
      <c r="B117" t="inlineStr">
        <is>
          <t>avverkningsanmälan</t>
        </is>
      </c>
      <c r="C117" t="inlineStr">
        <is>
          <t>Föryngringsavverkning</t>
        </is>
      </c>
      <c r="D117" s="1" t="n">
        <v>45352</v>
      </c>
      <c r="E117" s="1" t="n">
        <v>46217</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3</v>
      </c>
      <c r="U117" s="2" t="inlineStr">
        <is>
          <t>Ask</t>
        </is>
      </c>
      <c r="V117">
        <f>HYPERLINK("https://klasma.github.io/Logging_0685/artfynd/A 8677-2024 artfynd.xlsx", "A 8677-2024")</f>
        <v/>
      </c>
      <c r="W117">
        <f>HYPERLINK("https://klasma.github.io/Logging_0685/kartor/A 8677-2024 karta.png", "A 8677-2024")</f>
        <v/>
      </c>
      <c r="Y117">
        <f>HYPERLINK("https://klasma.github.io/Logging_0685/klagomål/A 8677-2024 FSC-klagomål.docx", "A 8677-2024")</f>
        <v/>
      </c>
      <c r="Z117">
        <f>HYPERLINK("https://klasma.github.io/Logging_0685/klagomålsmail/A 8677-2024 FSC-klagomål mail.docx", "A 8677-2024")</f>
        <v/>
      </c>
      <c r="AA117">
        <f>HYPERLINK("https://klasma.github.io/Logging_0685/tillsyn/A 8677-2024 tillsynsbegäran.docx", "A 8677-2024")</f>
        <v/>
      </c>
      <c r="AB117">
        <f>HYPERLINK("https://klasma.github.io/Logging_0685/tillsynsmail/A 8677-2024 tillsynsbegäran mail.docx", "A 8677-2024")</f>
        <v/>
      </c>
    </row>
    <row r="118" ht="15" customHeight="1">
      <c r="A118" t="inlineStr">
        <is>
          <t>A 23335-2025</t>
        </is>
      </c>
      <c r="B118" t="inlineStr">
        <is>
          <t>avverkningsanmälan</t>
        </is>
      </c>
      <c r="C118" t="inlineStr">
        <is>
          <t>Föryngringsavverkning</t>
        </is>
      </c>
      <c r="D118" s="1" t="n">
        <v>45791</v>
      </c>
      <c r="E118" s="1" t="n">
        <v>46217</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s="2" t="inlineStr">
        <is>
          <t>Kopparödla</t>
        </is>
      </c>
      <c r="V118">
        <f>HYPERLINK("https://klasma.github.io/Logging_0685/artfynd/A 23335-2025 artfynd.xlsx", "A 23335-2025")</f>
        <v/>
      </c>
      <c r="W118">
        <f>HYPERLINK("https://klasma.github.io/Logging_0685/kartor/A 23335-2025 karta.png", "A 23335-2025")</f>
        <v/>
      </c>
      <c r="Y118">
        <f>HYPERLINK("https://klasma.github.io/Logging_0685/klagomål/A 23335-2025 FSC-klagomål.docx", "A 23335-2025")</f>
        <v/>
      </c>
      <c r="Z118">
        <f>HYPERLINK("https://klasma.github.io/Logging_0685/klagomålsmail/A 23335-2025 FSC-klagomål mail.docx", "A 23335-2025")</f>
        <v/>
      </c>
      <c r="AA118">
        <f>HYPERLINK("https://klasma.github.io/Logging_0685/tillsyn/A 23335-2025 tillsynsbegäran.docx", "A 23335-2025")</f>
        <v/>
      </c>
      <c r="AB118">
        <f>HYPERLINK("https://klasma.github.io/Logging_0685/tillsynsmail/A 23335-2025 tillsynsbegäran mail.docx", "A 23335-2025")</f>
        <v/>
      </c>
    </row>
    <row r="119" ht="15" customHeight="1">
      <c r="A119" t="inlineStr">
        <is>
          <t>A 13587-2025</t>
        </is>
      </c>
      <c r="B119" t="inlineStr">
        <is>
          <t>avverkningsanmälan</t>
        </is>
      </c>
      <c r="C119" t="inlineStr">
        <is>
          <t>Föryngringsavverkning</t>
        </is>
      </c>
      <c r="D119" s="1" t="n">
        <v>45736</v>
      </c>
      <c r="E119" s="1" t="n">
        <v>46217</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s="2" t="inlineStr">
        <is>
          <t>Knärot</t>
        </is>
      </c>
      <c r="V119">
        <f>HYPERLINK("https://klasma.github.io/Logging_0685/artfynd/A 13587-2025 artfynd.xlsx", "A 13587-2025")</f>
        <v/>
      </c>
      <c r="W119">
        <f>HYPERLINK("https://klasma.github.io/Logging_0685/kartor/A 13587-2025 karta.png", "A 13587-2025")</f>
        <v/>
      </c>
      <c r="X119">
        <f>HYPERLINK("https://klasma.github.io/Logging_0685/knärot/A 13587-2025 karta knärot.png", "A 13587-2025")</f>
        <v/>
      </c>
      <c r="Y119">
        <f>HYPERLINK("https://klasma.github.io/Logging_0685/klagomål/A 13587-2025 FSC-klagomål.docx", "A 13587-2025")</f>
        <v/>
      </c>
      <c r="Z119">
        <f>HYPERLINK("https://klasma.github.io/Logging_0685/klagomålsmail/A 13587-2025 FSC-klagomål mail.docx", "A 13587-2025")</f>
        <v/>
      </c>
      <c r="AA119">
        <f>HYPERLINK("https://klasma.github.io/Logging_0685/tillsyn/A 13587-2025 tillsynsbegäran.docx", "A 13587-2025")</f>
        <v/>
      </c>
      <c r="AB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46217</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s="2" t="inlineStr">
        <is>
          <t>Brun nållav</t>
        </is>
      </c>
      <c r="V120">
        <f>HYPERLINK("https://klasma.github.io/Logging_0685/artfynd/A 28747-2025 artfynd.xlsx", "A 28747-2025")</f>
        <v/>
      </c>
      <c r="W120">
        <f>HYPERLINK("https://klasma.github.io/Logging_0685/kartor/A 28747-2025 karta.png", "A 28747-2025")</f>
        <v/>
      </c>
      <c r="Y120">
        <f>HYPERLINK("https://klasma.github.io/Logging_0685/klagomål/A 28747-2025 FSC-klagomål.docx", "A 28747-2025")</f>
        <v/>
      </c>
      <c r="Z120">
        <f>HYPERLINK("https://klasma.github.io/Logging_0685/klagomålsmail/A 28747-2025 FSC-klagomål mail.docx", "A 28747-2025")</f>
        <v/>
      </c>
      <c r="AA120">
        <f>HYPERLINK("https://klasma.github.io/Logging_0685/tillsyn/A 28747-2025 tillsynsbegäran.docx", "A 28747-2025")</f>
        <v/>
      </c>
      <c r="AB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46217</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s="2" t="inlineStr">
        <is>
          <t>Mörkstiftig hällfibbla</t>
        </is>
      </c>
      <c r="V121">
        <f>HYPERLINK("https://klasma.github.io/Logging_0685/artfynd/A 32782-2025 artfynd.xlsx", "A 32782-2025")</f>
        <v/>
      </c>
      <c r="W121">
        <f>HYPERLINK("https://klasma.github.io/Logging_0685/kartor/A 32782-2025 karta.png", "A 32782-2025")</f>
        <v/>
      </c>
      <c r="Y121">
        <f>HYPERLINK("https://klasma.github.io/Logging_0685/klagomål/A 32782-2025 FSC-klagomål.docx", "A 32782-2025")</f>
        <v/>
      </c>
      <c r="Z121">
        <f>HYPERLINK("https://klasma.github.io/Logging_0685/klagomålsmail/A 32782-2025 FSC-klagomål mail.docx", "A 32782-2025")</f>
        <v/>
      </c>
      <c r="AA121">
        <f>HYPERLINK("https://klasma.github.io/Logging_0685/tillsyn/A 32782-2025 tillsynsbegäran.docx", "A 32782-2025")</f>
        <v/>
      </c>
      <c r="AB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46217</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s="2" t="inlineStr">
        <is>
          <t>Spillkråka</t>
        </is>
      </c>
      <c r="V122">
        <f>HYPERLINK("https://klasma.github.io/Logging_0685/artfynd/A 9122-2025 artfynd.xlsx", "A 9122-2025")</f>
        <v/>
      </c>
      <c r="W122">
        <f>HYPERLINK("https://klasma.github.io/Logging_0685/kartor/A 9122-2025 karta.png", "A 9122-2025")</f>
        <v/>
      </c>
      <c r="Y122">
        <f>HYPERLINK("https://klasma.github.io/Logging_0685/klagomål/A 9122-2025 FSC-klagomål.docx", "A 9122-2025")</f>
        <v/>
      </c>
      <c r="Z122">
        <f>HYPERLINK("https://klasma.github.io/Logging_0685/klagomålsmail/A 9122-2025 FSC-klagomål mail.docx", "A 9122-2025")</f>
        <v/>
      </c>
      <c r="AA122">
        <f>HYPERLINK("https://klasma.github.io/Logging_0685/tillsyn/A 9122-2025 tillsynsbegäran.docx", "A 9122-2025")</f>
        <v/>
      </c>
      <c r="AB122">
        <f>HYPERLINK("https://klasma.github.io/Logging_0685/tillsynsmail/A 9122-2025 tillsynsbegäran mail.docx", "A 9122-2025")</f>
        <v/>
      </c>
      <c r="AC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46217</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Y123">
        <f>HYPERLINK("https://klasma.github.io/Logging_0685/klagomål/S 4653-2024 FSC-klagomål.docx", "S 4653-2024")</f>
        <v/>
      </c>
      <c r="Z123">
        <f>HYPERLINK("https://klasma.github.io/Logging_0685/klagomålsmail/S 4653-2024 FSC-klagomål mail.docx", "S 4653-2024")</f>
        <v/>
      </c>
      <c r="AA123">
        <f>HYPERLINK("https://klasma.github.io/Logging_0685/tillsyn/S 4653-2024 tillsynsbegäran.docx", "S 4653-2024")</f>
        <v/>
      </c>
      <c r="AB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46217</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Y124">
        <f>HYPERLINK("https://klasma.github.io/Logging_0685/klagomål/S 2866-2024 FSC-klagomål.docx", "S 2866-2024")</f>
        <v/>
      </c>
      <c r="Z124">
        <f>HYPERLINK("https://klasma.github.io/Logging_0685/klagomålsmail/S 2866-2024 FSC-klagomål mail.docx", "S 2866-2024")</f>
        <v/>
      </c>
      <c r="AA124">
        <f>HYPERLINK("https://klasma.github.io/Logging_0685/tillsyn/S 2866-2024 tillsynsbegäran.docx", "S 2866-2024")</f>
        <v/>
      </c>
      <c r="AB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46217</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Y125">
        <f>HYPERLINK("https://klasma.github.io/Logging_0685/klagomål/S 4820-2024 FSC-klagomål.docx", "S 4820-2024")</f>
        <v/>
      </c>
      <c r="Z125">
        <f>HYPERLINK("https://klasma.github.io/Logging_0685/klagomålsmail/S 4820-2024 FSC-klagomål mail.docx", "S 4820-2024")</f>
        <v/>
      </c>
      <c r="AA125">
        <f>HYPERLINK("https://klasma.github.io/Logging_0685/tillsyn/S 4820-2024 tillsynsbegäran.docx", "S 4820-2024")</f>
        <v/>
      </c>
      <c r="AB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46217</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HYPERLINK("https://klasma.github.io/Logging_0685/knärot/S 956-2025 karta knärot.png", "S 956-2025")</f>
        <v/>
      </c>
      <c r="Y126">
        <f>HYPERLINK("https://klasma.github.io/Logging_0685/klagomål/S 956-2025 FSC-klagomål.docx", "S 956-2025")</f>
        <v/>
      </c>
      <c r="Z126">
        <f>HYPERLINK("https://klasma.github.io/Logging_0685/klagomålsmail/S 956-2025 FSC-klagomål mail.docx", "S 956-2025")</f>
        <v/>
      </c>
      <c r="AA126">
        <f>HYPERLINK("https://klasma.github.io/Logging_0685/tillsyn/S 956-2025 tillsynsbegäran.docx", "S 956-2025")</f>
        <v/>
      </c>
      <c r="AB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46217</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42058-2021</t>
        </is>
      </c>
      <c r="B128" t="inlineStr">
        <is>
          <t>avverkningsanmälan</t>
        </is>
      </c>
      <c r="C128" t="inlineStr">
        <is>
          <t>Föryngringsavverkning</t>
        </is>
      </c>
      <c r="D128" s="1" t="n">
        <v>44426</v>
      </c>
      <c r="E128" s="1" t="n">
        <v>46217</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59259-2021</t>
        </is>
      </c>
      <c r="B129" t="inlineStr">
        <is>
          <t>avverkningsanmälan</t>
        </is>
      </c>
      <c r="C129" t="inlineStr">
        <is>
          <t>Föryngringsavverkning</t>
        </is>
      </c>
      <c r="D129" s="1" t="n">
        <v>44490</v>
      </c>
      <c r="E129" s="1" t="n">
        <v>46217</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s="2" t="inlineStr"/>
    </row>
    <row r="130" ht="15" customHeight="1">
      <c r="A130" t="inlineStr">
        <is>
          <t>A 44987-2021</t>
        </is>
      </c>
      <c r="B130" t="inlineStr">
        <is>
          <t>avverkningsanmälan</t>
        </is>
      </c>
      <c r="C130" t="inlineStr">
        <is>
          <t>Föryngringsavverkning</t>
        </is>
      </c>
      <c r="D130" s="1" t="n">
        <v>44438</v>
      </c>
      <c r="E130" s="1" t="n">
        <v>46217</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48212-2022</t>
        </is>
      </c>
      <c r="B131" t="inlineStr">
        <is>
          <t>avverkningsanmälan</t>
        </is>
      </c>
      <c r="C131" t="inlineStr">
        <is>
          <t>Föryngringsavverkning</t>
        </is>
      </c>
      <c r="D131" s="1" t="n">
        <v>44858</v>
      </c>
      <c r="E131" s="1" t="n">
        <v>46217</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38080-2021</t>
        </is>
      </c>
      <c r="B132" t="inlineStr">
        <is>
          <t>avverkningsanmälan</t>
        </is>
      </c>
      <c r="C132" t="inlineStr">
        <is>
          <t>Föryngringsavverkning</t>
        </is>
      </c>
      <c r="D132" s="1" t="n">
        <v>44404</v>
      </c>
      <c r="E132" s="1" t="n">
        <v>46217</v>
      </c>
      <c r="F132" t="inlineStr">
        <is>
          <t>JÖNKÖPINGS LÄN</t>
        </is>
      </c>
      <c r="G132" t="inlineStr">
        <is>
          <t>VETLANDA</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43901-2022</t>
        </is>
      </c>
      <c r="B133" t="inlineStr">
        <is>
          <t>avverkningsanmälan</t>
        </is>
      </c>
      <c r="C133" t="inlineStr">
        <is>
          <t>Föryngringsavverkning</t>
        </is>
      </c>
      <c r="D133" s="1" t="n">
        <v>44838</v>
      </c>
      <c r="E133" s="1" t="n">
        <v>46217</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32270-2022</t>
        </is>
      </c>
      <c r="B134" t="inlineStr">
        <is>
          <t>avverkningsanmälan</t>
        </is>
      </c>
      <c r="C134" t="inlineStr">
        <is>
          <t>Föryngringsavverkning</t>
        </is>
      </c>
      <c r="D134" s="1" t="n">
        <v>44781</v>
      </c>
      <c r="E134" s="1" t="n">
        <v>46217</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25599-2022</t>
        </is>
      </c>
      <c r="B135" t="inlineStr">
        <is>
          <t>avverkningsanmälan</t>
        </is>
      </c>
      <c r="C135" t="inlineStr">
        <is>
          <t>Föryngringsavverkning</t>
        </is>
      </c>
      <c r="D135" s="1" t="n">
        <v>44732</v>
      </c>
      <c r="E135" s="1" t="n">
        <v>46217</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32372-2022</t>
        </is>
      </c>
      <c r="B136" t="inlineStr">
        <is>
          <t>avverkningsanmälan</t>
        </is>
      </c>
      <c r="C136" t="inlineStr">
        <is>
          <t>Föryngringsavverkning</t>
        </is>
      </c>
      <c r="D136" s="1" t="n">
        <v>44781</v>
      </c>
      <c r="E136" s="1" t="n">
        <v>46217</v>
      </c>
      <c r="F136" t="inlineStr">
        <is>
          <t>JÖNKÖPINGS LÄN</t>
        </is>
      </c>
      <c r="G136" t="inlineStr">
        <is>
          <t>VETLANDA</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46217</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46217</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46217</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46217</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2401-2022</t>
        </is>
      </c>
      <c r="B141" t="inlineStr">
        <is>
          <t>avverkningsanmälan</t>
        </is>
      </c>
      <c r="C141" t="inlineStr">
        <is>
          <t>Avverkning för att bevara och utveckla /försöksver</t>
        </is>
      </c>
      <c r="D141" s="1" t="n">
        <v>44579</v>
      </c>
      <c r="E141" s="1" t="n">
        <v>46217</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56004-2022</t>
        </is>
      </c>
      <c r="B142" t="inlineStr">
        <is>
          <t>avverkningsanmälan</t>
        </is>
      </c>
      <c r="C142" t="inlineStr">
        <is>
          <t>Föryngringsavverkning</t>
        </is>
      </c>
      <c r="D142" s="1" t="n">
        <v>44889</v>
      </c>
      <c r="E142" s="1" t="n">
        <v>46217</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6547-2022</t>
        </is>
      </c>
      <c r="B143" t="inlineStr">
        <is>
          <t>avverkningsanmälan</t>
        </is>
      </c>
      <c r="C143" t="inlineStr">
        <is>
          <t>Föryngringsavverkning</t>
        </is>
      </c>
      <c r="D143" s="1" t="n">
        <v>44601</v>
      </c>
      <c r="E143" s="1" t="n">
        <v>46217</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46217</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46217</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45942-2021</t>
        </is>
      </c>
      <c r="B146" t="inlineStr">
        <is>
          <t>avverkningsanmälan</t>
        </is>
      </c>
      <c r="C146" t="inlineStr">
        <is>
          <t>Föryngringsavverkning</t>
        </is>
      </c>
      <c r="D146" s="1" t="n">
        <v>44441</v>
      </c>
      <c r="E146" s="1" t="n">
        <v>46217</v>
      </c>
      <c r="F146" t="inlineStr">
        <is>
          <t>JÖNKÖPINGS LÄN</t>
        </is>
      </c>
      <c r="G146" t="inlineStr">
        <is>
          <t>VETLANDA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42950-2021</t>
        </is>
      </c>
      <c r="B147" t="inlineStr">
        <is>
          <t>avverkningsanmälan</t>
        </is>
      </c>
      <c r="C147" t="inlineStr">
        <is>
          <t>Föryngringsavverkning</t>
        </is>
      </c>
      <c r="D147" s="1" t="n">
        <v>44431</v>
      </c>
      <c r="E147" s="1" t="n">
        <v>46217</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64190-2021</t>
        </is>
      </c>
      <c r="B148" t="inlineStr">
        <is>
          <t>avverkningsanmälan</t>
        </is>
      </c>
      <c r="C148" t="inlineStr">
        <is>
          <t>Föryngringsavverkning</t>
        </is>
      </c>
      <c r="D148" s="1" t="n">
        <v>44510</v>
      </c>
      <c r="E148" s="1" t="n">
        <v>46217</v>
      </c>
      <c r="F148" t="inlineStr">
        <is>
          <t>JÖNKÖPINGS LÄN</t>
        </is>
      </c>
      <c r="G148" t="inlineStr">
        <is>
          <t>VETLANDA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53207-2021</t>
        </is>
      </c>
      <c r="B149" t="inlineStr">
        <is>
          <t>avverkningsanmälan</t>
        </is>
      </c>
      <c r="C149" t="inlineStr">
        <is>
          <t>Föryngringsavverkning</t>
        </is>
      </c>
      <c r="D149" s="1" t="n">
        <v>44468</v>
      </c>
      <c r="E149" s="1" t="n">
        <v>46217</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65957-2021</t>
        </is>
      </c>
      <c r="B150" t="inlineStr">
        <is>
          <t>avverkningsanmälan</t>
        </is>
      </c>
      <c r="C150" t="inlineStr">
        <is>
          <t>Föryngringsavverkning</t>
        </is>
      </c>
      <c r="D150" s="1" t="n">
        <v>44517</v>
      </c>
      <c r="E150" s="1" t="n">
        <v>46217</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30790-2022</t>
        </is>
      </c>
      <c r="B151" t="inlineStr">
        <is>
          <t>avverkningsanmälan</t>
        </is>
      </c>
      <c r="C151" t="inlineStr">
        <is>
          <t>Föryngringsavverkning</t>
        </is>
      </c>
      <c r="D151" s="1" t="n">
        <v>44764</v>
      </c>
      <c r="E151" s="1" t="n">
        <v>46217</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64192-2021</t>
        </is>
      </c>
      <c r="B152" t="inlineStr">
        <is>
          <t>avverkningsanmälan</t>
        </is>
      </c>
      <c r="C152" t="inlineStr">
        <is>
          <t>Föryngringsavverkning</t>
        </is>
      </c>
      <c r="D152" s="1" t="n">
        <v>44510</v>
      </c>
      <c r="E152" s="1" t="n">
        <v>46217</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62740-2021</t>
        </is>
      </c>
      <c r="B153" t="inlineStr">
        <is>
          <t>avverkningsanmälan</t>
        </is>
      </c>
      <c r="C153" t="inlineStr">
        <is>
          <t>Föryngringsavverkning</t>
        </is>
      </c>
      <c r="D153" s="1" t="n">
        <v>44503</v>
      </c>
      <c r="E153" s="1" t="n">
        <v>46217</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50690-2021</t>
        </is>
      </c>
      <c r="B154" t="inlineStr">
        <is>
          <t>avverkningsanmälan</t>
        </is>
      </c>
      <c r="C154" t="inlineStr">
        <is>
          <t>Föryngringsavverkning</t>
        </is>
      </c>
      <c r="D154" s="1" t="n">
        <v>44459</v>
      </c>
      <c r="E154" s="1" t="n">
        <v>46217</v>
      </c>
      <c r="F154" t="inlineStr">
        <is>
          <t>JÖNKÖPINGS LÄN</t>
        </is>
      </c>
      <c r="G154" t="inlineStr">
        <is>
          <t>VETLANDA</t>
        </is>
      </c>
      <c r="I154" t="n">
        <v>5.5</v>
      </c>
      <c r="J154" t="n">
        <v>0</v>
      </c>
      <c r="K154" t="n">
        <v>0</v>
      </c>
      <c r="L154" t="n">
        <v>0</v>
      </c>
      <c r="M154" t="n">
        <v>0</v>
      </c>
      <c r="N154" t="n">
        <v>0</v>
      </c>
      <c r="O154" t="n">
        <v>0</v>
      </c>
      <c r="P154" t="n">
        <v>0</v>
      </c>
      <c r="Q154" t="n">
        <v>0</v>
      </c>
      <c r="R154" t="n">
        <v>0</v>
      </c>
      <c r="S154" t="n">
        <v>0</v>
      </c>
      <c r="T154" t="n">
        <v>0</v>
      </c>
      <c r="U154" s="2" t="inlineStr"/>
    </row>
    <row r="155" ht="15" customHeight="1">
      <c r="A155" t="inlineStr">
        <is>
          <t>A 39736-2022</t>
        </is>
      </c>
      <c r="B155" t="inlineStr">
        <is>
          <t>avverkningsanmälan</t>
        </is>
      </c>
      <c r="C155" t="inlineStr">
        <is>
          <t>Föryngringsavverkning</t>
        </is>
      </c>
      <c r="D155" s="1" t="n">
        <v>44819</v>
      </c>
      <c r="E155" s="1" t="n">
        <v>46217</v>
      </c>
      <c r="F155" t="inlineStr">
        <is>
          <t>JÖNKÖPINGS LÄN</t>
        </is>
      </c>
      <c r="G155" t="inlineStr">
        <is>
          <t>VETLANDA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4643-2022</t>
        </is>
      </c>
      <c r="B156" t="inlineStr">
        <is>
          <t>avverkningsanmälan</t>
        </is>
      </c>
      <c r="C156" t="inlineStr">
        <is>
          <t>Föryngringsavverkning</t>
        </is>
      </c>
      <c r="D156" s="1" t="n">
        <v>44592</v>
      </c>
      <c r="E156" s="1" t="n">
        <v>46217</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29415-2022</t>
        </is>
      </c>
      <c r="B157" t="inlineStr">
        <is>
          <t>avverkningsanmälan</t>
        </is>
      </c>
      <c r="C157" t="inlineStr">
        <is>
          <t>Föryngringsavverkning</t>
        </is>
      </c>
      <c r="D157" s="1" t="n">
        <v>44750</v>
      </c>
      <c r="E157" s="1" t="n">
        <v>46217</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41605-2022</t>
        </is>
      </c>
      <c r="B158" t="inlineStr">
        <is>
          <t>avverkningsanmälan</t>
        </is>
      </c>
      <c r="C158" t="inlineStr">
        <is>
          <t>Föryngringsavverkning</t>
        </is>
      </c>
      <c r="D158" s="1" t="n">
        <v>44825</v>
      </c>
      <c r="E158" s="1" t="n">
        <v>46217</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s="2" t="inlineStr"/>
    </row>
    <row r="159" ht="15" customHeight="1">
      <c r="A159" t="inlineStr">
        <is>
          <t>A 40176-2021</t>
        </is>
      </c>
      <c r="B159" t="inlineStr">
        <is>
          <t>avverkningsanmälan</t>
        </is>
      </c>
      <c r="C159" t="inlineStr">
        <is>
          <t>Föryngringsavverkning</t>
        </is>
      </c>
      <c r="D159" s="1" t="n">
        <v>44418</v>
      </c>
      <c r="E159" s="1" t="n">
        <v>46217</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41632-2021</t>
        </is>
      </c>
      <c r="B160" t="inlineStr">
        <is>
          <t>avverkningsanmälan</t>
        </is>
      </c>
      <c r="C160" t="inlineStr">
        <is>
          <t>Föryngringsavverkning</t>
        </is>
      </c>
      <c r="D160" s="1" t="n">
        <v>44424</v>
      </c>
      <c r="E160" s="1" t="n">
        <v>46217</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58347-2021</t>
        </is>
      </c>
      <c r="B161" t="inlineStr">
        <is>
          <t>avverkningsanmälan</t>
        </is>
      </c>
      <c r="C161" t="inlineStr">
        <is>
          <t>Föryngringsavverkning</t>
        </is>
      </c>
      <c r="D161" s="1" t="n">
        <v>44488</v>
      </c>
      <c r="E161" s="1" t="n">
        <v>46217</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6811-2022</t>
        </is>
      </c>
      <c r="B162" t="inlineStr">
        <is>
          <t>avverkningsanmälan</t>
        </is>
      </c>
      <c r="C162" t="inlineStr">
        <is>
          <t>Föryngringsavverkning</t>
        </is>
      </c>
      <c r="D162" s="1" t="n">
        <v>44602</v>
      </c>
      <c r="E162" s="1" t="n">
        <v>46217</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A 51298-2021</t>
        </is>
      </c>
      <c r="B163" t="inlineStr">
        <is>
          <t>avverkningsanmälan</t>
        </is>
      </c>
      <c r="C163" t="inlineStr">
        <is>
          <t>Föryngringsavverkning</t>
        </is>
      </c>
      <c r="D163" s="1" t="n">
        <v>44460</v>
      </c>
      <c r="E163" s="1" t="n">
        <v>46217</v>
      </c>
      <c r="F163" t="inlineStr">
        <is>
          <t>JÖNKÖPINGS LÄN</t>
        </is>
      </c>
      <c r="G163" t="inlineStr">
        <is>
          <t>VETLANDA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46217</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23519-2022</t>
        </is>
      </c>
      <c r="B165" t="inlineStr">
        <is>
          <t>avverkningsanmälan</t>
        </is>
      </c>
      <c r="C165" t="inlineStr">
        <is>
          <t>Föryngringsavverkning</t>
        </is>
      </c>
      <c r="D165" s="1" t="n">
        <v>44721</v>
      </c>
      <c r="E165" s="1" t="n">
        <v>46217</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s="2" t="inlineStr"/>
    </row>
    <row r="166" ht="15" customHeight="1">
      <c r="A166" t="inlineStr">
        <is>
          <t>A 64242-2021</t>
        </is>
      </c>
      <c r="B166" t="inlineStr">
        <is>
          <t>avverkningsanmälan</t>
        </is>
      </c>
      <c r="C166" t="inlineStr">
        <is>
          <t>Föryngringsavverkning</t>
        </is>
      </c>
      <c r="D166" s="1" t="n">
        <v>44510</v>
      </c>
      <c r="E166" s="1" t="n">
        <v>46217</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46217</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4641-2022</t>
        </is>
      </c>
      <c r="B168" t="inlineStr">
        <is>
          <t>avverkningsanmälan</t>
        </is>
      </c>
      <c r="C168" t="inlineStr">
        <is>
          <t>Föryngringsavverkning</t>
        </is>
      </c>
      <c r="D168" s="1" t="n">
        <v>44592</v>
      </c>
      <c r="E168" s="1" t="n">
        <v>46217</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3828-2022</t>
        </is>
      </c>
      <c r="B169" t="inlineStr">
        <is>
          <t>avverkningsanmälan</t>
        </is>
      </c>
      <c r="C169" t="inlineStr">
        <is>
          <t>Föryngringsavverkning</t>
        </is>
      </c>
      <c r="D169" s="1" t="n">
        <v>44587</v>
      </c>
      <c r="E169" s="1" t="n">
        <v>46217</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32398-2022</t>
        </is>
      </c>
      <c r="B170" t="inlineStr">
        <is>
          <t>avverkningsanmälan</t>
        </is>
      </c>
      <c r="C170" t="inlineStr">
        <is>
          <t>Föryngringsavverkning</t>
        </is>
      </c>
      <c r="D170" s="1" t="n">
        <v>44782</v>
      </c>
      <c r="E170" s="1" t="n">
        <v>46217</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46217</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46217</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46217</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48998-2021</t>
        </is>
      </c>
      <c r="B174" t="inlineStr">
        <is>
          <t>avverkningsanmälan</t>
        </is>
      </c>
      <c r="C174" t="inlineStr">
        <is>
          <t>Föryngringsavverkning</t>
        </is>
      </c>
      <c r="D174" s="1" t="n">
        <v>44453</v>
      </c>
      <c r="E174" s="1" t="n">
        <v>46217</v>
      </c>
      <c r="F174" t="inlineStr">
        <is>
          <t>JÖNKÖPINGS LÄN</t>
        </is>
      </c>
      <c r="G174" t="inlineStr">
        <is>
          <t>VETLANDA</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62724-2021</t>
        </is>
      </c>
      <c r="B175" t="inlineStr">
        <is>
          <t>avverkningsanmälan</t>
        </is>
      </c>
      <c r="C175" t="inlineStr">
        <is>
          <t>Föryngringsavverkning</t>
        </is>
      </c>
      <c r="D175" s="1" t="n">
        <v>44504</v>
      </c>
      <c r="E175" s="1" t="n">
        <v>46217</v>
      </c>
      <c r="F175" t="inlineStr">
        <is>
          <t>JÖNKÖPINGS LÄN</t>
        </is>
      </c>
      <c r="G175" t="inlineStr">
        <is>
          <t>VETLANDA</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2646-2022</t>
        </is>
      </c>
      <c r="B176" t="inlineStr">
        <is>
          <t>avverkningsanmälan</t>
        </is>
      </c>
      <c r="C176" t="inlineStr">
        <is>
          <t>Föryngringsavverkning</t>
        </is>
      </c>
      <c r="D176" s="1" t="n">
        <v>44580</v>
      </c>
      <c r="E176" s="1" t="n">
        <v>46217</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19024-2022</t>
        </is>
      </c>
      <c r="B177" t="inlineStr">
        <is>
          <t>avverkningsanmälan</t>
        </is>
      </c>
      <c r="C177" t="inlineStr">
        <is>
          <t>Föryngringsavverkning</t>
        </is>
      </c>
      <c r="D177" s="1" t="n">
        <v>44691</v>
      </c>
      <c r="E177" s="1" t="n">
        <v>46217</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46217</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46217</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46217</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44428-2021</t>
        </is>
      </c>
      <c r="B181" t="inlineStr">
        <is>
          <t>avverkningsanmälan</t>
        </is>
      </c>
      <c r="C181" t="inlineStr">
        <is>
          <t>Föryngringsavverkning</t>
        </is>
      </c>
      <c r="D181" s="1" t="n">
        <v>44435</v>
      </c>
      <c r="E181" s="1" t="n">
        <v>46217</v>
      </c>
      <c r="F181" t="inlineStr">
        <is>
          <t>JÖNKÖPINGS LÄN</t>
        </is>
      </c>
      <c r="G181" t="inlineStr">
        <is>
          <t>VETLANDA</t>
        </is>
      </c>
      <c r="H181" t="inlineStr">
        <is>
          <t>Sveaskog</t>
        </is>
      </c>
      <c r="I181" t="n">
        <v>2.9</v>
      </c>
      <c r="J181" t="n">
        <v>0</v>
      </c>
      <c r="K181" t="n">
        <v>0</v>
      </c>
      <c r="L181" t="n">
        <v>0</v>
      </c>
      <c r="M181" t="n">
        <v>0</v>
      </c>
      <c r="N181" t="n">
        <v>0</v>
      </c>
      <c r="O181" t="n">
        <v>0</v>
      </c>
      <c r="P181" t="n">
        <v>0</v>
      </c>
      <c r="Q181" t="n">
        <v>0</v>
      </c>
      <c r="R181" t="n">
        <v>0</v>
      </c>
      <c r="S181" t="n">
        <v>0</v>
      </c>
      <c r="T181" t="n">
        <v>0</v>
      </c>
      <c r="U181" s="2" t="inlineStr"/>
    </row>
    <row r="182" ht="15" customHeight="1">
      <c r="A182" t="inlineStr">
        <is>
          <t>A 44115-2021</t>
        </is>
      </c>
      <c r="B182" t="inlineStr">
        <is>
          <t>avverkningsanmälan</t>
        </is>
      </c>
      <c r="C182" t="inlineStr">
        <is>
          <t>Föryngringsavverkning</t>
        </is>
      </c>
      <c r="D182" s="1" t="n">
        <v>44434</v>
      </c>
      <c r="E182" s="1" t="n">
        <v>46217</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46217</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46217</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29280-2022</t>
        </is>
      </c>
      <c r="B185" t="inlineStr">
        <is>
          <t>avverkningsanmälan</t>
        </is>
      </c>
      <c r="C185" t="inlineStr">
        <is>
          <t>Föryngringsavverkning</t>
        </is>
      </c>
      <c r="D185" s="1" t="n">
        <v>44750</v>
      </c>
      <c r="E185" s="1" t="n">
        <v>46217</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10638-2022</t>
        </is>
      </c>
      <c r="B186" t="inlineStr">
        <is>
          <t>avverkningsanmälan</t>
        </is>
      </c>
      <c r="C186" t="inlineStr">
        <is>
          <t>Föryngringsavverkning</t>
        </is>
      </c>
      <c r="D186" s="1" t="n">
        <v>44624</v>
      </c>
      <c r="E186" s="1" t="n">
        <v>46217</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46898-2021</t>
        </is>
      </c>
      <c r="B187" t="inlineStr">
        <is>
          <t>avverkningsanmälan</t>
        </is>
      </c>
      <c r="C187" t="inlineStr">
        <is>
          <t>Föryngringsavverkning</t>
        </is>
      </c>
      <c r="D187" s="1" t="n">
        <v>44446</v>
      </c>
      <c r="E187" s="1" t="n">
        <v>46217</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52161-2021</t>
        </is>
      </c>
      <c r="B188" t="inlineStr">
        <is>
          <t>avverkningsanmälan</t>
        </is>
      </c>
      <c r="C188" t="inlineStr">
        <is>
          <t>Föryngringsavverkning</t>
        </is>
      </c>
      <c r="D188" s="1" t="n">
        <v>44462</v>
      </c>
      <c r="E188" s="1" t="n">
        <v>46217</v>
      </c>
      <c r="F188" t="inlineStr">
        <is>
          <t>JÖNKÖPINGS LÄN</t>
        </is>
      </c>
      <c r="G188" t="inlineStr">
        <is>
          <t>VETLANDA</t>
        </is>
      </c>
      <c r="I188" t="n">
        <v>5</v>
      </c>
      <c r="J188" t="n">
        <v>0</v>
      </c>
      <c r="K188" t="n">
        <v>0</v>
      </c>
      <c r="L188" t="n">
        <v>0</v>
      </c>
      <c r="M188" t="n">
        <v>0</v>
      </c>
      <c r="N188" t="n">
        <v>0</v>
      </c>
      <c r="O188" t="n">
        <v>0</v>
      </c>
      <c r="P188" t="n">
        <v>0</v>
      </c>
      <c r="Q188" t="n">
        <v>0</v>
      </c>
      <c r="R188" t="n">
        <v>0</v>
      </c>
      <c r="S188" t="n">
        <v>0</v>
      </c>
      <c r="T188" t="n">
        <v>0</v>
      </c>
      <c r="U188" s="2" t="inlineStr"/>
    </row>
    <row r="189" ht="15" customHeight="1">
      <c r="A189" t="inlineStr">
        <is>
          <t>A 55950-2021</t>
        </is>
      </c>
      <c r="B189" t="inlineStr">
        <is>
          <t>avverkningsanmälan</t>
        </is>
      </c>
      <c r="C189" t="inlineStr">
        <is>
          <t>Föryngringsavverkning</t>
        </is>
      </c>
      <c r="D189" s="1" t="n">
        <v>44477</v>
      </c>
      <c r="E189" s="1" t="n">
        <v>46217</v>
      </c>
      <c r="F189" t="inlineStr">
        <is>
          <t>JÖNKÖPINGS LÄN</t>
        </is>
      </c>
      <c r="G189" t="inlineStr">
        <is>
          <t>VETLANDA</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5493-2022</t>
        </is>
      </c>
      <c r="B190" t="inlineStr">
        <is>
          <t>avverkningsanmälan</t>
        </is>
      </c>
      <c r="C190" t="inlineStr">
        <is>
          <t>Föryngringsavverkning</t>
        </is>
      </c>
      <c r="D190" s="1" t="n">
        <v>44595</v>
      </c>
      <c r="E190" s="1" t="n">
        <v>46217</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36692-2021</t>
        </is>
      </c>
      <c r="B191" t="inlineStr">
        <is>
          <t>avverkningsanmälan</t>
        </is>
      </c>
      <c r="C191" t="inlineStr">
        <is>
          <t>Föryngringsavverkning</t>
        </is>
      </c>
      <c r="D191" s="1" t="n">
        <v>44392</v>
      </c>
      <c r="E191" s="1" t="n">
        <v>46217</v>
      </c>
      <c r="F191" t="inlineStr">
        <is>
          <t>JÖNKÖPINGS LÄN</t>
        </is>
      </c>
      <c r="G191" t="inlineStr">
        <is>
          <t>VETLANDA</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7744-2022</t>
        </is>
      </c>
      <c r="B192" t="inlineStr">
        <is>
          <t>avverkningsanmälan</t>
        </is>
      </c>
      <c r="C192" t="inlineStr">
        <is>
          <t>Föryngringsavverkning</t>
        </is>
      </c>
      <c r="D192" s="1" t="n">
        <v>44608</v>
      </c>
      <c r="E192" s="1" t="n">
        <v>46217</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49228-2021</t>
        </is>
      </c>
      <c r="B193" t="inlineStr">
        <is>
          <t>avverkningsanmälan</t>
        </is>
      </c>
      <c r="C193" t="inlineStr">
        <is>
          <t>Avverkning för att bevara och utveckla /försöksver</t>
        </is>
      </c>
      <c r="D193" s="1" t="n">
        <v>44454</v>
      </c>
      <c r="E193" s="1" t="n">
        <v>46217</v>
      </c>
      <c r="F193" t="inlineStr">
        <is>
          <t>JÖNKÖPINGS LÄN</t>
        </is>
      </c>
      <c r="G193" t="inlineStr">
        <is>
          <t>VETLANDA</t>
        </is>
      </c>
      <c r="H193" t="inlineStr">
        <is>
          <t>Sveaskog</t>
        </is>
      </c>
      <c r="I193" t="n">
        <v>2.6</v>
      </c>
      <c r="J193" t="n">
        <v>0</v>
      </c>
      <c r="K193" t="n">
        <v>0</v>
      </c>
      <c r="L193" t="n">
        <v>0</v>
      </c>
      <c r="M193" t="n">
        <v>0</v>
      </c>
      <c r="N193" t="n">
        <v>0</v>
      </c>
      <c r="O193" t="n">
        <v>0</v>
      </c>
      <c r="P193" t="n">
        <v>0</v>
      </c>
      <c r="Q193" t="n">
        <v>0</v>
      </c>
      <c r="R193" t="n">
        <v>0</v>
      </c>
      <c r="S193" t="n">
        <v>0</v>
      </c>
      <c r="T193" t="n">
        <v>0</v>
      </c>
      <c r="U193" s="2" t="inlineStr"/>
    </row>
    <row r="194" ht="15" customHeight="1">
      <c r="A194" t="inlineStr">
        <is>
          <t>A 40178-2022</t>
        </is>
      </c>
      <c r="B194" t="inlineStr">
        <is>
          <t>avverkningsanmälan</t>
        </is>
      </c>
      <c r="C194" t="inlineStr">
        <is>
          <t>Föryngringsavverkning</t>
        </is>
      </c>
      <c r="D194" s="1" t="n">
        <v>44820</v>
      </c>
      <c r="E194" s="1" t="n">
        <v>46217</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38916-2022</t>
        </is>
      </c>
      <c r="B195" t="inlineStr">
        <is>
          <t>avverkningsanmälan</t>
        </is>
      </c>
      <c r="C195" t="inlineStr">
        <is>
          <t>Föryngringsavverkning</t>
        </is>
      </c>
      <c r="D195" s="1" t="n">
        <v>44816</v>
      </c>
      <c r="E195" s="1" t="n">
        <v>46217</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51304-2021</t>
        </is>
      </c>
      <c r="B196" t="inlineStr">
        <is>
          <t>avverkningsanmälan</t>
        </is>
      </c>
      <c r="C196" t="inlineStr">
        <is>
          <t>Föryngringsavverkning</t>
        </is>
      </c>
      <c r="D196" s="1" t="n">
        <v>44460</v>
      </c>
      <c r="E196" s="1" t="n">
        <v>46217</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51085-2021</t>
        </is>
      </c>
      <c r="B197" t="inlineStr">
        <is>
          <t>avverkningsanmälan</t>
        </is>
      </c>
      <c r="C197" t="inlineStr">
        <is>
          <t>Föryngringsavverkning</t>
        </is>
      </c>
      <c r="D197" s="1" t="n">
        <v>44461</v>
      </c>
      <c r="E197" s="1" t="n">
        <v>46217</v>
      </c>
      <c r="F197" t="inlineStr">
        <is>
          <t>JÖNKÖPINGS LÄN</t>
        </is>
      </c>
      <c r="G197" t="inlineStr">
        <is>
          <t>VETLANDA</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13378-2022</t>
        </is>
      </c>
      <c r="B198" t="inlineStr">
        <is>
          <t>avverkningsanmälan</t>
        </is>
      </c>
      <c r="C198" t="inlineStr">
        <is>
          <t>Föryngringsavverkning</t>
        </is>
      </c>
      <c r="D198" s="1" t="n">
        <v>44645</v>
      </c>
      <c r="E198" s="1" t="n">
        <v>46217</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39741-2022</t>
        </is>
      </c>
      <c r="B199" t="inlineStr">
        <is>
          <t>avverkningsanmälan</t>
        </is>
      </c>
      <c r="C199" t="inlineStr">
        <is>
          <t>Föryngringsavverkning</t>
        </is>
      </c>
      <c r="D199" s="1" t="n">
        <v>44819</v>
      </c>
      <c r="E199" s="1" t="n">
        <v>46217</v>
      </c>
      <c r="F199" t="inlineStr">
        <is>
          <t>JÖNKÖPINGS LÄN</t>
        </is>
      </c>
      <c r="G199" t="inlineStr">
        <is>
          <t>VETLANDA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14785-2022</t>
        </is>
      </c>
      <c r="B200" t="inlineStr">
        <is>
          <t>avverkningsanmälan</t>
        </is>
      </c>
      <c r="C200" t="inlineStr">
        <is>
          <t>Avverkning för annat ändamål</t>
        </is>
      </c>
      <c r="D200" s="1" t="n">
        <v>44656</v>
      </c>
      <c r="E200" s="1" t="n">
        <v>46217</v>
      </c>
      <c r="F200" t="inlineStr">
        <is>
          <t>JÖNKÖPINGS LÄN</t>
        </is>
      </c>
      <c r="G200" t="inlineStr">
        <is>
          <t>VETLANDA</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32882-2022</t>
        </is>
      </c>
      <c r="B201" t="inlineStr">
        <is>
          <t>avverkningsanmälan</t>
        </is>
      </c>
      <c r="C201" t="inlineStr">
        <is>
          <t>Föryngringsavverkning</t>
        </is>
      </c>
      <c r="D201" s="1" t="n">
        <v>44784</v>
      </c>
      <c r="E201" s="1" t="n">
        <v>46217</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3504-2022</t>
        </is>
      </c>
      <c r="B202" t="inlineStr">
        <is>
          <t>avverkningsanmälan</t>
        </is>
      </c>
      <c r="C202" t="inlineStr">
        <is>
          <t>Föryngringsavverkning</t>
        </is>
      </c>
      <c r="D202" s="1" t="n">
        <v>44585</v>
      </c>
      <c r="E202" s="1" t="n">
        <v>46217</v>
      </c>
      <c r="F202" t="inlineStr">
        <is>
          <t>JÖNKÖPINGS LÄN</t>
        </is>
      </c>
      <c r="G202" t="inlineStr">
        <is>
          <t>VETLANDA</t>
        </is>
      </c>
      <c r="H202" t="inlineStr">
        <is>
          <t>Kommuner</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3506-2022</t>
        </is>
      </c>
      <c r="B203" t="inlineStr">
        <is>
          <t>avverkningsanmälan</t>
        </is>
      </c>
      <c r="C203" t="inlineStr">
        <is>
          <t>Föryngringsavverkning</t>
        </is>
      </c>
      <c r="D203" s="1" t="n">
        <v>44585</v>
      </c>
      <c r="E203" s="1" t="n">
        <v>46217</v>
      </c>
      <c r="F203" t="inlineStr">
        <is>
          <t>JÖNKÖPINGS LÄN</t>
        </is>
      </c>
      <c r="G203" t="inlineStr">
        <is>
          <t>VETLANDA</t>
        </is>
      </c>
      <c r="H203" t="inlineStr">
        <is>
          <t>Kommuner</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3507-2022</t>
        </is>
      </c>
      <c r="B204" t="inlineStr">
        <is>
          <t>avverkningsanmälan</t>
        </is>
      </c>
      <c r="C204" t="inlineStr">
        <is>
          <t>Föryngringsavverkning</t>
        </is>
      </c>
      <c r="D204" s="1" t="n">
        <v>44585</v>
      </c>
      <c r="E204" s="1" t="n">
        <v>46217</v>
      </c>
      <c r="F204" t="inlineStr">
        <is>
          <t>JÖNKÖPINGS LÄN</t>
        </is>
      </c>
      <c r="G204" t="inlineStr">
        <is>
          <t>VETLANDA</t>
        </is>
      </c>
      <c r="H204" t="inlineStr">
        <is>
          <t>Kommuner</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43199-2022</t>
        </is>
      </c>
      <c r="B205" t="inlineStr">
        <is>
          <t>avverkningsanmälan</t>
        </is>
      </c>
      <c r="C205" t="inlineStr">
        <is>
          <t>Föryngringsavverkning</t>
        </is>
      </c>
      <c r="D205" s="1" t="n">
        <v>44834</v>
      </c>
      <c r="E205" s="1" t="n">
        <v>46217</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26905-2022</t>
        </is>
      </c>
      <c r="B206" t="inlineStr">
        <is>
          <t>avverkningsanmälan</t>
        </is>
      </c>
      <c r="C206" t="inlineStr">
        <is>
          <t>Föryngringsavverkning</t>
        </is>
      </c>
      <c r="D206" s="1" t="n">
        <v>44740</v>
      </c>
      <c r="E206" s="1" t="n">
        <v>46217</v>
      </c>
      <c r="F206" t="inlineStr">
        <is>
          <t>JÖNKÖPINGS LÄN</t>
        </is>
      </c>
      <c r="G206" t="inlineStr">
        <is>
          <t>VETLANDA</t>
        </is>
      </c>
      <c r="H206" t="inlineStr">
        <is>
          <t>Kyrkan</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29178-2022</t>
        </is>
      </c>
      <c r="B207" t="inlineStr">
        <is>
          <t>avverkningsanmälan</t>
        </is>
      </c>
      <c r="C207" t="inlineStr">
        <is>
          <t>Avverkning för annat ändamål</t>
        </is>
      </c>
      <c r="D207" s="1" t="n">
        <v>44750</v>
      </c>
      <c r="E207" s="1" t="n">
        <v>46217</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45498-2021</t>
        </is>
      </c>
      <c r="B208" t="inlineStr">
        <is>
          <t>avverkningsanmälan</t>
        </is>
      </c>
      <c r="C208" t="inlineStr">
        <is>
          <t>Föryngringsavverkning</t>
        </is>
      </c>
      <c r="D208" s="1" t="n">
        <v>44440</v>
      </c>
      <c r="E208" s="1" t="n">
        <v>46217</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4370-2022</t>
        </is>
      </c>
      <c r="B209" t="inlineStr">
        <is>
          <t>avverkningsanmälan</t>
        </is>
      </c>
      <c r="C209" t="inlineStr">
        <is>
          <t>Föryngringsavverkning</t>
        </is>
      </c>
      <c r="D209" s="1" t="n">
        <v>44587</v>
      </c>
      <c r="E209" s="1" t="n">
        <v>46217</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41569-2021</t>
        </is>
      </c>
      <c r="B210" t="inlineStr">
        <is>
          <t>avverkningsanmälan</t>
        </is>
      </c>
      <c r="C210" t="inlineStr">
        <is>
          <t>Föryngringsavverkning</t>
        </is>
      </c>
      <c r="D210" s="1" t="n">
        <v>44424</v>
      </c>
      <c r="E210" s="1" t="n">
        <v>46217</v>
      </c>
      <c r="F210" t="inlineStr">
        <is>
          <t>JÖNKÖPINGS LÄN</t>
        </is>
      </c>
      <c r="G210" t="inlineStr">
        <is>
          <t>VETLANDA</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27792-2022</t>
        </is>
      </c>
      <c r="B211" t="inlineStr">
        <is>
          <t>avverkningsanmälan</t>
        </is>
      </c>
      <c r="C211" t="inlineStr">
        <is>
          <t>Föryngringsavverkning</t>
        </is>
      </c>
      <c r="D211" s="1" t="n">
        <v>44743</v>
      </c>
      <c r="E211" s="1" t="n">
        <v>46217</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55031-2021</t>
        </is>
      </c>
      <c r="B212" t="inlineStr">
        <is>
          <t>avverkningsanmälan</t>
        </is>
      </c>
      <c r="C212" t="inlineStr">
        <is>
          <t>Avverkning för annat ändamål</t>
        </is>
      </c>
      <c r="D212" s="1" t="n">
        <v>44474</v>
      </c>
      <c r="E212" s="1" t="n">
        <v>46217</v>
      </c>
      <c r="F212" t="inlineStr">
        <is>
          <t>JÖNKÖPINGS LÄN</t>
        </is>
      </c>
      <c r="G212" t="inlineStr">
        <is>
          <t>VETLANDA</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6191-2022</t>
        </is>
      </c>
      <c r="B213" t="inlineStr">
        <is>
          <t>avverkningsanmälan</t>
        </is>
      </c>
      <c r="C213" t="inlineStr">
        <is>
          <t>Föryngringsavverkning</t>
        </is>
      </c>
      <c r="D213" s="1" t="n">
        <v>44600</v>
      </c>
      <c r="E213" s="1" t="n">
        <v>46217</v>
      </c>
      <c r="F213" t="inlineStr">
        <is>
          <t>JÖNKÖPINGS LÄN</t>
        </is>
      </c>
      <c r="G213" t="inlineStr">
        <is>
          <t>VETLANDA</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36679-2021</t>
        </is>
      </c>
      <c r="B214" t="inlineStr">
        <is>
          <t>avverkningsanmälan</t>
        </is>
      </c>
      <c r="C214" t="inlineStr">
        <is>
          <t>Föryngringsavverkning</t>
        </is>
      </c>
      <c r="D214" s="1" t="n">
        <v>44392</v>
      </c>
      <c r="E214" s="1" t="n">
        <v>46217</v>
      </c>
      <c r="F214" t="inlineStr">
        <is>
          <t>JÖNKÖPINGS LÄN</t>
        </is>
      </c>
      <c r="G214" t="inlineStr">
        <is>
          <t>VETLANDA</t>
        </is>
      </c>
      <c r="I214" t="n">
        <v>3.6</v>
      </c>
      <c r="J214" t="n">
        <v>0</v>
      </c>
      <c r="K214" t="n">
        <v>0</v>
      </c>
      <c r="L214" t="n">
        <v>0</v>
      </c>
      <c r="M214" t="n">
        <v>0</v>
      </c>
      <c r="N214" t="n">
        <v>0</v>
      </c>
      <c r="O214" t="n">
        <v>0</v>
      </c>
      <c r="P214" t="n">
        <v>0</v>
      </c>
      <c r="Q214" t="n">
        <v>0</v>
      </c>
      <c r="R214" t="n">
        <v>0</v>
      </c>
      <c r="S214" t="n">
        <v>0</v>
      </c>
      <c r="T214" t="n">
        <v>0</v>
      </c>
      <c r="U214" s="2" t="inlineStr"/>
    </row>
    <row r="215" ht="15" customHeight="1">
      <c r="A215" t="inlineStr">
        <is>
          <t>A 48694-2022</t>
        </is>
      </c>
      <c r="B215" t="inlineStr">
        <is>
          <t>avverkningsanmälan</t>
        </is>
      </c>
      <c r="C215" t="inlineStr">
        <is>
          <t>Föryngringsavverkning</t>
        </is>
      </c>
      <c r="D215" s="1" t="n">
        <v>44859</v>
      </c>
      <c r="E215" s="1" t="n">
        <v>46217</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5103-2022</t>
        </is>
      </c>
      <c r="B216" t="inlineStr">
        <is>
          <t>avverkningsanmälan</t>
        </is>
      </c>
      <c r="C216" t="inlineStr">
        <is>
          <t>Föryngringsavverkning</t>
        </is>
      </c>
      <c r="D216" s="1" t="n">
        <v>44593</v>
      </c>
      <c r="E216" s="1" t="n">
        <v>46217</v>
      </c>
      <c r="F216" t="inlineStr">
        <is>
          <t>JÖNKÖPINGS LÄN</t>
        </is>
      </c>
      <c r="G216" t="inlineStr">
        <is>
          <t>VETLANDA</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30836-2022</t>
        </is>
      </c>
      <c r="B217" t="inlineStr">
        <is>
          <t>avverkningsanmälan</t>
        </is>
      </c>
      <c r="C217" t="inlineStr">
        <is>
          <t>Föryngringsavverkning</t>
        </is>
      </c>
      <c r="D217" s="1" t="n">
        <v>44743</v>
      </c>
      <c r="E217" s="1" t="n">
        <v>46217</v>
      </c>
      <c r="F217" t="inlineStr">
        <is>
          <t>JÖNKÖPINGS LÄN</t>
        </is>
      </c>
      <c r="G217" t="inlineStr">
        <is>
          <t>VETLANDA</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32007-2022</t>
        </is>
      </c>
      <c r="B218" t="inlineStr">
        <is>
          <t>avverkningsanmälan</t>
        </is>
      </c>
      <c r="C218" t="inlineStr">
        <is>
          <t>Föryngringsavverkning</t>
        </is>
      </c>
      <c r="D218" s="1" t="n">
        <v>44778</v>
      </c>
      <c r="E218" s="1" t="n">
        <v>46217</v>
      </c>
      <c r="F218" t="inlineStr">
        <is>
          <t>JÖNKÖPINGS LÄN</t>
        </is>
      </c>
      <c r="G218" t="inlineStr">
        <is>
          <t>VETLANDA</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62682-2021</t>
        </is>
      </c>
      <c r="B219" t="inlineStr">
        <is>
          <t>avverkningsanmälan</t>
        </is>
      </c>
      <c r="C219" t="inlineStr">
        <is>
          <t>Föryngringsavverkning</t>
        </is>
      </c>
      <c r="D219" s="1" t="n">
        <v>44504</v>
      </c>
      <c r="E219" s="1" t="n">
        <v>46217</v>
      </c>
      <c r="F219" t="inlineStr">
        <is>
          <t>JÖNKÖPINGS LÄN</t>
        </is>
      </c>
      <c r="G219" t="inlineStr">
        <is>
          <t>VETLANDA</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43404-2022</t>
        </is>
      </c>
      <c r="B220" t="inlineStr">
        <is>
          <t>avverkningsanmälan</t>
        </is>
      </c>
      <c r="C220" t="inlineStr">
        <is>
          <t>Föryngringsavverkning</t>
        </is>
      </c>
      <c r="D220" s="1" t="n">
        <v>44834</v>
      </c>
      <c r="E220" s="1" t="n">
        <v>46217</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55957-2021</t>
        </is>
      </c>
      <c r="B221" t="inlineStr">
        <is>
          <t>avverkningsanmälan</t>
        </is>
      </c>
      <c r="C221" t="inlineStr">
        <is>
          <t>Föryngringsavverkning</t>
        </is>
      </c>
      <c r="D221" s="1" t="n">
        <v>44477</v>
      </c>
      <c r="E221" s="1" t="n">
        <v>46217</v>
      </c>
      <c r="F221" t="inlineStr">
        <is>
          <t>JÖNKÖPINGS LÄN</t>
        </is>
      </c>
      <c r="G221" t="inlineStr">
        <is>
          <t>VETLANDA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56952-2021</t>
        </is>
      </c>
      <c r="B222" t="inlineStr">
        <is>
          <t>avverkningsanmälan</t>
        </is>
      </c>
      <c r="C222" t="inlineStr">
        <is>
          <t>Föryngringsavverkning</t>
        </is>
      </c>
      <c r="D222" s="1" t="n">
        <v>44482</v>
      </c>
      <c r="E222" s="1" t="n">
        <v>46217</v>
      </c>
      <c r="F222" t="inlineStr">
        <is>
          <t>JÖNKÖPINGS LÄN</t>
        </is>
      </c>
      <c r="G222" t="inlineStr">
        <is>
          <t>VETLANDA</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63879-2021</t>
        </is>
      </c>
      <c r="B223" t="inlineStr">
        <is>
          <t>avverkningsanmälan</t>
        </is>
      </c>
      <c r="C223" t="inlineStr">
        <is>
          <t>Föryngringsavverkning</t>
        </is>
      </c>
      <c r="D223" s="1" t="n">
        <v>44509</v>
      </c>
      <c r="E223" s="1" t="n">
        <v>46217</v>
      </c>
      <c r="F223" t="inlineStr">
        <is>
          <t>JÖNKÖPINGS LÄN</t>
        </is>
      </c>
      <c r="G223" t="inlineStr">
        <is>
          <t>VETLANDA</t>
        </is>
      </c>
      <c r="I223" t="n">
        <v>3</v>
      </c>
      <c r="J223" t="n">
        <v>0</v>
      </c>
      <c r="K223" t="n">
        <v>0</v>
      </c>
      <c r="L223" t="n">
        <v>0</v>
      </c>
      <c r="M223" t="n">
        <v>0</v>
      </c>
      <c r="N223" t="n">
        <v>0</v>
      </c>
      <c r="O223" t="n">
        <v>0</v>
      </c>
      <c r="P223" t="n">
        <v>0</v>
      </c>
      <c r="Q223" t="n">
        <v>0</v>
      </c>
      <c r="R223" t="n">
        <v>0</v>
      </c>
      <c r="S223" t="n">
        <v>0</v>
      </c>
      <c r="T223" t="n">
        <v>0</v>
      </c>
      <c r="U223" s="2" t="inlineStr"/>
    </row>
    <row r="224" ht="15" customHeight="1">
      <c r="A224" t="inlineStr">
        <is>
          <t>A 4820-2022</t>
        </is>
      </c>
      <c r="B224" t="inlineStr">
        <is>
          <t>avverkningsanmälan</t>
        </is>
      </c>
      <c r="C224" t="inlineStr">
        <is>
          <t>Föryngringsavverkning</t>
        </is>
      </c>
      <c r="D224" s="1" t="n">
        <v>44592</v>
      </c>
      <c r="E224" s="1" t="n">
        <v>46217</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65868-2021</t>
        </is>
      </c>
      <c r="B225" t="inlineStr">
        <is>
          <t>avverkningsanmälan</t>
        </is>
      </c>
      <c r="C225" t="inlineStr">
        <is>
          <t>Föryngringsavverkning</t>
        </is>
      </c>
      <c r="D225" s="1" t="n">
        <v>44517</v>
      </c>
      <c r="E225" s="1" t="n">
        <v>46217</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1267-2022</t>
        </is>
      </c>
      <c r="B226" t="inlineStr">
        <is>
          <t>avverkningsanmälan</t>
        </is>
      </c>
      <c r="C226" t="inlineStr">
        <is>
          <t>Föryngringsavverkning</t>
        </is>
      </c>
      <c r="D226" s="1" t="n">
        <v>44572</v>
      </c>
      <c r="E226" s="1" t="n">
        <v>46217</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23477-2022</t>
        </is>
      </c>
      <c r="B227" t="inlineStr">
        <is>
          <t>avverkningsanmälan</t>
        </is>
      </c>
      <c r="C227" t="inlineStr">
        <is>
          <t>Föryngringsavverkning</t>
        </is>
      </c>
      <c r="D227" s="1" t="n">
        <v>44721</v>
      </c>
      <c r="E227" s="1" t="n">
        <v>46217</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44790-2022</t>
        </is>
      </c>
      <c r="B228" t="inlineStr">
        <is>
          <t>avverkningsanmälan</t>
        </is>
      </c>
      <c r="C228" t="inlineStr">
        <is>
          <t>Föryngringsavverkning</t>
        </is>
      </c>
      <c r="D228" s="1" t="n">
        <v>44841</v>
      </c>
      <c r="E228" s="1" t="n">
        <v>46217</v>
      </c>
      <c r="F228" t="inlineStr">
        <is>
          <t>JÖNKÖPINGS LÄN</t>
        </is>
      </c>
      <c r="G228" t="inlineStr">
        <is>
          <t>VETLANDA</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55595-2022</t>
        </is>
      </c>
      <c r="B229" t="inlineStr">
        <is>
          <t>avverkningsanmälan</t>
        </is>
      </c>
      <c r="C229" t="inlineStr">
        <is>
          <t>Föryngringsavverkning</t>
        </is>
      </c>
      <c r="D229" s="1" t="n">
        <v>44888</v>
      </c>
      <c r="E229" s="1" t="n">
        <v>46217</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3836-2022</t>
        </is>
      </c>
      <c r="B230" t="inlineStr">
        <is>
          <t>avverkningsanmälan</t>
        </is>
      </c>
      <c r="C230" t="inlineStr">
        <is>
          <t>Föryngringsavverkning</t>
        </is>
      </c>
      <c r="D230" s="1" t="n">
        <v>44587</v>
      </c>
      <c r="E230" s="1" t="n">
        <v>46217</v>
      </c>
      <c r="F230" t="inlineStr">
        <is>
          <t>JÖNKÖPINGS LÄN</t>
        </is>
      </c>
      <c r="G230" t="inlineStr">
        <is>
          <t>VETLANDA</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14511-2022</t>
        </is>
      </c>
      <c r="B231" t="inlineStr">
        <is>
          <t>avverkningsanmälan</t>
        </is>
      </c>
      <c r="C231" t="inlineStr">
        <is>
          <t>Föryngringsavverkning</t>
        </is>
      </c>
      <c r="D231" s="1" t="n">
        <v>44655</v>
      </c>
      <c r="E231" s="1" t="n">
        <v>46217</v>
      </c>
      <c r="F231" t="inlineStr">
        <is>
          <t>JÖNKÖPINGS LÄN</t>
        </is>
      </c>
      <c r="G231" t="inlineStr">
        <is>
          <t>VETLANDA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51340-2021</t>
        </is>
      </c>
      <c r="B232" t="inlineStr">
        <is>
          <t>avverkningsanmälan</t>
        </is>
      </c>
      <c r="C232" t="inlineStr">
        <is>
          <t>Föryngringsavverkning</t>
        </is>
      </c>
      <c r="D232" s="1" t="n">
        <v>44461</v>
      </c>
      <c r="E232" s="1" t="n">
        <v>46217</v>
      </c>
      <c r="F232" t="inlineStr">
        <is>
          <t>JÖNKÖPINGS LÄN</t>
        </is>
      </c>
      <c r="G232" t="inlineStr">
        <is>
          <t>VETLANDA</t>
        </is>
      </c>
      <c r="I232" t="n">
        <v>6.6</v>
      </c>
      <c r="J232" t="n">
        <v>0</v>
      </c>
      <c r="K232" t="n">
        <v>0</v>
      </c>
      <c r="L232" t="n">
        <v>0</v>
      </c>
      <c r="M232" t="n">
        <v>0</v>
      </c>
      <c r="N232" t="n">
        <v>0</v>
      </c>
      <c r="O232" t="n">
        <v>0</v>
      </c>
      <c r="P232" t="n">
        <v>0</v>
      </c>
      <c r="Q232" t="n">
        <v>0</v>
      </c>
      <c r="R232" t="n">
        <v>0</v>
      </c>
      <c r="S232" t="n">
        <v>0</v>
      </c>
      <c r="T232" t="n">
        <v>0</v>
      </c>
      <c r="U232" s="2" t="inlineStr"/>
    </row>
    <row r="233" ht="15" customHeight="1">
      <c r="A233" t="inlineStr">
        <is>
          <t>A 49318-2021</t>
        </is>
      </c>
      <c r="B233" t="inlineStr">
        <is>
          <t>avverkningsanmälan</t>
        </is>
      </c>
      <c r="C233" t="inlineStr">
        <is>
          <t>Avverkning för annat ändamål</t>
        </is>
      </c>
      <c r="D233" s="1" t="n">
        <v>44454</v>
      </c>
      <c r="E233" s="1" t="n">
        <v>46217</v>
      </c>
      <c r="F233" t="inlineStr">
        <is>
          <t>JÖNKÖPINGS LÄN</t>
        </is>
      </c>
      <c r="G233" t="inlineStr">
        <is>
          <t>VETLANDA</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50676-2021</t>
        </is>
      </c>
      <c r="B234" t="inlineStr">
        <is>
          <t>avverkningsanmälan</t>
        </is>
      </c>
      <c r="C234" t="inlineStr">
        <is>
          <t>Föryngringsavverkning</t>
        </is>
      </c>
      <c r="D234" s="1" t="n">
        <v>44459</v>
      </c>
      <c r="E234" s="1" t="n">
        <v>46217</v>
      </c>
      <c r="F234" t="inlineStr">
        <is>
          <t>JÖNKÖPINGS LÄN</t>
        </is>
      </c>
      <c r="G234" t="inlineStr">
        <is>
          <t>VETLANDA</t>
        </is>
      </c>
      <c r="I234" t="n">
        <v>5.2</v>
      </c>
      <c r="J234" t="n">
        <v>0</v>
      </c>
      <c r="K234" t="n">
        <v>0</v>
      </c>
      <c r="L234" t="n">
        <v>0</v>
      </c>
      <c r="M234" t="n">
        <v>0</v>
      </c>
      <c r="N234" t="n">
        <v>0</v>
      </c>
      <c r="O234" t="n">
        <v>0</v>
      </c>
      <c r="P234" t="n">
        <v>0</v>
      </c>
      <c r="Q234" t="n">
        <v>0</v>
      </c>
      <c r="R234" t="n">
        <v>0</v>
      </c>
      <c r="S234" t="n">
        <v>0</v>
      </c>
      <c r="T234" t="n">
        <v>0</v>
      </c>
      <c r="U234" s="2" t="inlineStr"/>
    </row>
    <row r="235" ht="15" customHeight="1">
      <c r="A235" t="inlineStr">
        <is>
          <t>A 65267-2021</t>
        </is>
      </c>
      <c r="B235" t="inlineStr">
        <is>
          <t>avverkningsanmälan</t>
        </is>
      </c>
      <c r="C235" t="inlineStr">
        <is>
          <t>Föryngringsavverkning</t>
        </is>
      </c>
      <c r="D235" s="1" t="n">
        <v>44515</v>
      </c>
      <c r="E235" s="1" t="n">
        <v>46217</v>
      </c>
      <c r="F235" t="inlineStr">
        <is>
          <t>JÖNKÖPINGS LÄN</t>
        </is>
      </c>
      <c r="G235" t="inlineStr">
        <is>
          <t>VETLANDA</t>
        </is>
      </c>
      <c r="H235" t="inlineStr">
        <is>
          <t>Kyrkan</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61894-2021</t>
        </is>
      </c>
      <c r="B236" t="inlineStr">
        <is>
          <t>avverkningsanmälan</t>
        </is>
      </c>
      <c r="C236" t="inlineStr">
        <is>
          <t>Föryngringsavverkning</t>
        </is>
      </c>
      <c r="D236" s="1" t="n">
        <v>44502</v>
      </c>
      <c r="E236" s="1" t="n">
        <v>46217</v>
      </c>
      <c r="F236" t="inlineStr">
        <is>
          <t>JÖNKÖPINGS LÄN</t>
        </is>
      </c>
      <c r="G236" t="inlineStr">
        <is>
          <t>VETLANDA</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4842-2022</t>
        </is>
      </c>
      <c r="B237" t="inlineStr">
        <is>
          <t>avverkningsanmälan</t>
        </is>
      </c>
      <c r="C237" t="inlineStr">
        <is>
          <t>Föryngringsavverkning</t>
        </is>
      </c>
      <c r="D237" s="1" t="n">
        <v>44592</v>
      </c>
      <c r="E237" s="1" t="n">
        <v>46217</v>
      </c>
      <c r="F237" t="inlineStr">
        <is>
          <t>JÖNKÖPINGS LÄN</t>
        </is>
      </c>
      <c r="G237" t="inlineStr">
        <is>
          <t>VETLANDA</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52056-2021</t>
        </is>
      </c>
      <c r="B238" t="inlineStr">
        <is>
          <t>avverkningsanmälan</t>
        </is>
      </c>
      <c r="C238" t="inlineStr">
        <is>
          <t>Föryngringsavverkning</t>
        </is>
      </c>
      <c r="D238" s="1" t="n">
        <v>44462</v>
      </c>
      <c r="E238" s="1" t="n">
        <v>46217</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98-2022</t>
        </is>
      </c>
      <c r="B239" t="inlineStr">
        <is>
          <t>avverkningsanmälan</t>
        </is>
      </c>
      <c r="C239" t="inlineStr">
        <is>
          <t>Föryngringsavverkning</t>
        </is>
      </c>
      <c r="D239" s="1" t="n">
        <v>44564</v>
      </c>
      <c r="E239" s="1" t="n">
        <v>46217</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37468-2021</t>
        </is>
      </c>
      <c r="B240" t="inlineStr">
        <is>
          <t>avverkningsanmälan</t>
        </is>
      </c>
      <c r="C240" t="inlineStr">
        <is>
          <t>Föryngringsavverkning</t>
        </is>
      </c>
      <c r="D240" s="1" t="n">
        <v>44398</v>
      </c>
      <c r="E240" s="1" t="n">
        <v>46217</v>
      </c>
      <c r="F240" t="inlineStr">
        <is>
          <t>JÖNKÖPINGS LÄN</t>
        </is>
      </c>
      <c r="G240" t="inlineStr">
        <is>
          <t>VETLANDA</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32369-2022</t>
        </is>
      </c>
      <c r="B241" t="inlineStr">
        <is>
          <t>avverkningsanmälan</t>
        </is>
      </c>
      <c r="C241" t="inlineStr">
        <is>
          <t>Föryngringsavverkning</t>
        </is>
      </c>
      <c r="D241" s="1" t="n">
        <v>44781</v>
      </c>
      <c r="E241" s="1" t="n">
        <v>46217</v>
      </c>
      <c r="F241" t="inlineStr">
        <is>
          <t>JÖNKÖPINGS LÄN</t>
        </is>
      </c>
      <c r="G241" t="inlineStr">
        <is>
          <t>VETLANDA</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69471-2021</t>
        </is>
      </c>
      <c r="B242" t="inlineStr">
        <is>
          <t>avverkningsanmälan</t>
        </is>
      </c>
      <c r="C242" t="inlineStr">
        <is>
          <t>Föryngringsavverkning</t>
        </is>
      </c>
      <c r="D242" s="1" t="n">
        <v>44531</v>
      </c>
      <c r="E242" s="1" t="n">
        <v>46217</v>
      </c>
      <c r="F242" t="inlineStr">
        <is>
          <t>JÖNKÖPINGS LÄN</t>
        </is>
      </c>
      <c r="G242" t="inlineStr">
        <is>
          <t>VETLANDA</t>
        </is>
      </c>
      <c r="I242" t="n">
        <v>4.7</v>
      </c>
      <c r="J242" t="n">
        <v>0</v>
      </c>
      <c r="K242" t="n">
        <v>0</v>
      </c>
      <c r="L242" t="n">
        <v>0</v>
      </c>
      <c r="M242" t="n">
        <v>0</v>
      </c>
      <c r="N242" t="n">
        <v>0</v>
      </c>
      <c r="O242" t="n">
        <v>0</v>
      </c>
      <c r="P242" t="n">
        <v>0</v>
      </c>
      <c r="Q242" t="n">
        <v>0</v>
      </c>
      <c r="R242" t="n">
        <v>0</v>
      </c>
      <c r="S242" t="n">
        <v>0</v>
      </c>
      <c r="T242" t="n">
        <v>0</v>
      </c>
      <c r="U242" s="2" t="inlineStr"/>
    </row>
    <row r="243" ht="15" customHeight="1">
      <c r="A243" t="inlineStr">
        <is>
          <t>A 12032-2022</t>
        </is>
      </c>
      <c r="B243" t="inlineStr">
        <is>
          <t>avverkningsanmälan</t>
        </is>
      </c>
      <c r="C243" t="inlineStr">
        <is>
          <t>Föryngringsavverkning</t>
        </is>
      </c>
      <c r="D243" s="1" t="n">
        <v>44636</v>
      </c>
      <c r="E243" s="1" t="n">
        <v>46217</v>
      </c>
      <c r="F243" t="inlineStr">
        <is>
          <t>JÖNKÖPINGS LÄN</t>
        </is>
      </c>
      <c r="G243" t="inlineStr">
        <is>
          <t>VETLANDA</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43195-2022</t>
        </is>
      </c>
      <c r="B244" t="inlineStr">
        <is>
          <t>avverkningsanmälan</t>
        </is>
      </c>
      <c r="C244" t="inlineStr">
        <is>
          <t>Föryngringsavverkning</t>
        </is>
      </c>
      <c r="D244" s="1" t="n">
        <v>44834</v>
      </c>
      <c r="E244" s="1" t="n">
        <v>46217</v>
      </c>
      <c r="F244" t="inlineStr">
        <is>
          <t>JÖNKÖPINGS LÄN</t>
        </is>
      </c>
      <c r="G244" t="inlineStr">
        <is>
          <t>VETLANDA</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25786-2022</t>
        </is>
      </c>
      <c r="B245" t="inlineStr">
        <is>
          <t>avverkningsanmälan</t>
        </is>
      </c>
      <c r="C245" t="inlineStr">
        <is>
          <t>Föryngringsavverkning</t>
        </is>
      </c>
      <c r="D245" s="1" t="n">
        <v>44733</v>
      </c>
      <c r="E245" s="1" t="n">
        <v>46217</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17855-2022</t>
        </is>
      </c>
      <c r="B246" t="inlineStr">
        <is>
          <t>avverkningsanmälan</t>
        </is>
      </c>
      <c r="C246" t="inlineStr">
        <is>
          <t>Föryngringsavverkning</t>
        </is>
      </c>
      <c r="D246" s="1" t="n">
        <v>44683</v>
      </c>
      <c r="E246" s="1" t="n">
        <v>46217</v>
      </c>
      <c r="F246" t="inlineStr">
        <is>
          <t>JÖNKÖPINGS LÄN</t>
        </is>
      </c>
      <c r="G246" t="inlineStr">
        <is>
          <t>VETLANDA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52278-2021</t>
        </is>
      </c>
      <c r="B247" t="inlineStr">
        <is>
          <t>avverkningsanmälan</t>
        </is>
      </c>
      <c r="C247" t="inlineStr">
        <is>
          <t>Föryngringsavverkning</t>
        </is>
      </c>
      <c r="D247" s="1" t="n">
        <v>44463</v>
      </c>
      <c r="E247" s="1" t="n">
        <v>46217</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34395-2022</t>
        </is>
      </c>
      <c r="B248" t="inlineStr">
        <is>
          <t>avverkningsanmälan</t>
        </is>
      </c>
      <c r="C248" t="inlineStr">
        <is>
          <t>Föryngringsavverkning</t>
        </is>
      </c>
      <c r="D248" s="1" t="n">
        <v>44792</v>
      </c>
      <c r="E248" s="1" t="n">
        <v>46217</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6884-2022</t>
        </is>
      </c>
      <c r="B249" t="inlineStr">
        <is>
          <t>avverkningsanmälan</t>
        </is>
      </c>
      <c r="C249" t="inlineStr">
        <is>
          <t>Föryngringsavverkning</t>
        </is>
      </c>
      <c r="D249" s="1" t="n">
        <v>44602</v>
      </c>
      <c r="E249" s="1" t="n">
        <v>46217</v>
      </c>
      <c r="F249" t="inlineStr">
        <is>
          <t>JÖNKÖPINGS LÄN</t>
        </is>
      </c>
      <c r="G249" t="inlineStr">
        <is>
          <t>VETLANDA</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14990-2022</t>
        </is>
      </c>
      <c r="B250" t="inlineStr">
        <is>
          <t>avverkningsanmälan</t>
        </is>
      </c>
      <c r="C250" t="inlineStr">
        <is>
          <t>Avverkning för annat ändamål</t>
        </is>
      </c>
      <c r="D250" s="1" t="n">
        <v>44657</v>
      </c>
      <c r="E250" s="1" t="n">
        <v>46217</v>
      </c>
      <c r="F250" t="inlineStr">
        <is>
          <t>JÖNKÖPINGS LÄN</t>
        </is>
      </c>
      <c r="G250" t="inlineStr">
        <is>
          <t>VETLANDA</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41667-2022</t>
        </is>
      </c>
      <c r="B251" t="inlineStr">
        <is>
          <t>avverkningsanmälan</t>
        </is>
      </c>
      <c r="C251" t="inlineStr">
        <is>
          <t>Föryngringsavverkning</t>
        </is>
      </c>
      <c r="D251" s="1" t="n">
        <v>44827</v>
      </c>
      <c r="E251" s="1" t="n">
        <v>46217</v>
      </c>
      <c r="F251" t="inlineStr">
        <is>
          <t>JÖNKÖPINGS LÄN</t>
        </is>
      </c>
      <c r="G251" t="inlineStr">
        <is>
          <t>VETLANDA</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4033-2024</t>
        </is>
      </c>
      <c r="B252" t="inlineStr">
        <is>
          <t>avverkningsanmälan</t>
        </is>
      </c>
      <c r="C252" t="inlineStr">
        <is>
          <t>Föryngringsavverkning</t>
        </is>
      </c>
      <c r="D252" s="1" t="n">
        <v>45323</v>
      </c>
      <c r="E252" s="1" t="n">
        <v>46217</v>
      </c>
      <c r="F252" t="inlineStr">
        <is>
          <t>JÖNKÖPINGS LÄN</t>
        </is>
      </c>
      <c r="G252" t="inlineStr">
        <is>
          <t>VETLANDA</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5031-2024</t>
        </is>
      </c>
      <c r="B253" t="inlineStr">
        <is>
          <t>avverkningsanmälan</t>
        </is>
      </c>
      <c r="C253" t="inlineStr">
        <is>
          <t>Föryngringsavverkning</t>
        </is>
      </c>
      <c r="D253" s="1" t="n">
        <v>45329</v>
      </c>
      <c r="E253" s="1" t="n">
        <v>46217</v>
      </c>
      <c r="F253" t="inlineStr">
        <is>
          <t>JÖNKÖPINGS LÄN</t>
        </is>
      </c>
      <c r="G253" t="inlineStr">
        <is>
          <t>VETLANDA</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5802-2024</t>
        </is>
      </c>
      <c r="B254" t="inlineStr">
        <is>
          <t>avverkningsanmälan</t>
        </is>
      </c>
      <c r="C254" t="inlineStr">
        <is>
          <t>Avverkning för annat ändamål</t>
        </is>
      </c>
      <c r="D254" s="1" t="n">
        <v>45335</v>
      </c>
      <c r="E254" s="1" t="n">
        <v>46217</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43371-2022</t>
        </is>
      </c>
      <c r="B255" t="inlineStr">
        <is>
          <t>avverkningsanmälan</t>
        </is>
      </c>
      <c r="C255" t="inlineStr">
        <is>
          <t>Föryngringsavverkning</t>
        </is>
      </c>
      <c r="D255" s="1" t="n">
        <v>44834</v>
      </c>
      <c r="E255" s="1" t="n">
        <v>46217</v>
      </c>
      <c r="F255" t="inlineStr">
        <is>
          <t>JÖNKÖPINGS LÄN</t>
        </is>
      </c>
      <c r="G255" t="inlineStr">
        <is>
          <t>VETLANDA</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62234-2023</t>
        </is>
      </c>
      <c r="B256" t="inlineStr">
        <is>
          <t>avverkningsanmälan</t>
        </is>
      </c>
      <c r="C256" t="inlineStr">
        <is>
          <t>Föryngringsavverkning</t>
        </is>
      </c>
      <c r="D256" s="1" t="n">
        <v>45267</v>
      </c>
      <c r="E256" s="1" t="n">
        <v>46217</v>
      </c>
      <c r="F256" t="inlineStr">
        <is>
          <t>JÖNKÖPINGS LÄN</t>
        </is>
      </c>
      <c r="G256" t="inlineStr">
        <is>
          <t>VETLANDA</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4964-2024</t>
        </is>
      </c>
      <c r="B257" t="inlineStr">
        <is>
          <t>avverkningsanmälan</t>
        </is>
      </c>
      <c r="C257" t="inlineStr">
        <is>
          <t>Föryngringsavverkning</t>
        </is>
      </c>
      <c r="D257" s="1" t="n">
        <v>45329</v>
      </c>
      <c r="E257" s="1" t="n">
        <v>46217</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47226-2023</t>
        </is>
      </c>
      <c r="B258" t="inlineStr">
        <is>
          <t>avverkningsanmälan</t>
        </is>
      </c>
      <c r="C258" t="inlineStr">
        <is>
          <t>Föryngringsavverkning</t>
        </is>
      </c>
      <c r="D258" s="1" t="n">
        <v>45202</v>
      </c>
      <c r="E258" s="1" t="n">
        <v>46217</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41403-2022</t>
        </is>
      </c>
      <c r="B259" t="inlineStr">
        <is>
          <t>avverkningsanmälan</t>
        </is>
      </c>
      <c r="C259" t="inlineStr">
        <is>
          <t>Föryngringsavverkning</t>
        </is>
      </c>
      <c r="D259" s="1" t="n">
        <v>44825</v>
      </c>
      <c r="E259" s="1" t="n">
        <v>46217</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62860-2023</t>
        </is>
      </c>
      <c r="B260" t="inlineStr">
        <is>
          <t>avverkningsanmälan</t>
        </is>
      </c>
      <c r="C260" t="inlineStr">
        <is>
          <t>Föryngringsavverkning</t>
        </is>
      </c>
      <c r="D260" s="1" t="n">
        <v>45272</v>
      </c>
      <c r="E260" s="1" t="n">
        <v>46217</v>
      </c>
      <c r="F260" t="inlineStr">
        <is>
          <t>JÖNKÖPINGS LÄN</t>
        </is>
      </c>
      <c r="G260" t="inlineStr">
        <is>
          <t>VETLANDA</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15400-2024</t>
        </is>
      </c>
      <c r="B261" t="inlineStr">
        <is>
          <t>avverkningsanmälan</t>
        </is>
      </c>
      <c r="C261" t="inlineStr">
        <is>
          <t>Föryngringsavverkning</t>
        </is>
      </c>
      <c r="D261" s="1" t="n">
        <v>45401</v>
      </c>
      <c r="E261" s="1" t="n">
        <v>46217</v>
      </c>
      <c r="F261" t="inlineStr">
        <is>
          <t>JÖNKÖPINGS LÄN</t>
        </is>
      </c>
      <c r="G261" t="inlineStr">
        <is>
          <t>VETLANDA</t>
        </is>
      </c>
      <c r="I261" t="n">
        <v>0.3</v>
      </c>
      <c r="J261" t="n">
        <v>0</v>
      </c>
      <c r="K261" t="n">
        <v>0</v>
      </c>
      <c r="L261" t="n">
        <v>0</v>
      </c>
      <c r="M261" t="n">
        <v>0</v>
      </c>
      <c r="N261" t="n">
        <v>0</v>
      </c>
      <c r="O261" t="n">
        <v>0</v>
      </c>
      <c r="P261" t="n">
        <v>0</v>
      </c>
      <c r="Q261" t="n">
        <v>0</v>
      </c>
      <c r="R261" t="n">
        <v>0</v>
      </c>
      <c r="S261" t="n">
        <v>0</v>
      </c>
      <c r="T261" t="n">
        <v>0</v>
      </c>
      <c r="U261" s="2" t="inlineStr"/>
    </row>
    <row r="262" ht="15" customHeight="1">
      <c r="A262" t="inlineStr">
        <is>
          <t>A 712-2024</t>
        </is>
      </c>
      <c r="B262" t="inlineStr">
        <is>
          <t>avverkningsanmälan</t>
        </is>
      </c>
      <c r="C262" t="inlineStr">
        <is>
          <t>Avverkning för annat ändamål</t>
        </is>
      </c>
      <c r="D262" s="1" t="n">
        <v>45300</v>
      </c>
      <c r="E262" s="1" t="n">
        <v>46217</v>
      </c>
      <c r="F262" t="inlineStr">
        <is>
          <t>JÖNKÖPINGS LÄN</t>
        </is>
      </c>
      <c r="G262" t="inlineStr">
        <is>
          <t>VETLANDA</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7366-2024</t>
        </is>
      </c>
      <c r="B263" t="inlineStr">
        <is>
          <t>avverkningsanmälan</t>
        </is>
      </c>
      <c r="C263" t="inlineStr">
        <is>
          <t>Föryngringsavverkning</t>
        </is>
      </c>
      <c r="D263" s="1" t="n">
        <v>45345</v>
      </c>
      <c r="E263" s="1" t="n">
        <v>46217</v>
      </c>
      <c r="F263" t="inlineStr">
        <is>
          <t>JÖNKÖPINGS LÄN</t>
        </is>
      </c>
      <c r="G263" t="inlineStr">
        <is>
          <t>VETLANDA</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10044-2024</t>
        </is>
      </c>
      <c r="B264" t="inlineStr">
        <is>
          <t>avverkningsanmälan</t>
        </is>
      </c>
      <c r="C264" t="inlineStr">
        <is>
          <t>Föryngringsavverkning</t>
        </is>
      </c>
      <c r="D264" s="1" t="n">
        <v>45364</v>
      </c>
      <c r="E264" s="1" t="n">
        <v>46217</v>
      </c>
      <c r="F264" t="inlineStr">
        <is>
          <t>JÖNKÖPINGS LÄN</t>
        </is>
      </c>
      <c r="G264" t="inlineStr">
        <is>
          <t>VETLANDA</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38724-2022</t>
        </is>
      </c>
      <c r="B265" t="inlineStr">
        <is>
          <t>avverkningsanmälan</t>
        </is>
      </c>
      <c r="C265" t="inlineStr">
        <is>
          <t>Föryngringsavverkning</t>
        </is>
      </c>
      <c r="D265" s="1" t="n">
        <v>44815</v>
      </c>
      <c r="E265" s="1" t="n">
        <v>46217</v>
      </c>
      <c r="F265" t="inlineStr">
        <is>
          <t>JÖNKÖPINGS LÄN</t>
        </is>
      </c>
      <c r="G265" t="inlineStr">
        <is>
          <t>VETLANDA</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17211-2024</t>
        </is>
      </c>
      <c r="B266" t="inlineStr">
        <is>
          <t>avverkningsanmälan</t>
        </is>
      </c>
      <c r="C266" t="inlineStr">
        <is>
          <t>Föryngringsavverkning</t>
        </is>
      </c>
      <c r="D266" s="1" t="n">
        <v>45414</v>
      </c>
      <c r="E266" s="1" t="n">
        <v>46217</v>
      </c>
      <c r="F266" t="inlineStr">
        <is>
          <t>JÖNKÖPINGS LÄN</t>
        </is>
      </c>
      <c r="G266" t="inlineStr">
        <is>
          <t>VETLANDA</t>
        </is>
      </c>
      <c r="H266" t="inlineStr">
        <is>
          <t>Sveaskog</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26223-2023</t>
        </is>
      </c>
      <c r="B267" t="inlineStr">
        <is>
          <t>avverkningsanmälan</t>
        </is>
      </c>
      <c r="C267" t="inlineStr">
        <is>
          <t>Föryngringsavverkning</t>
        </is>
      </c>
      <c r="D267" s="1" t="n">
        <v>45091</v>
      </c>
      <c r="E267" s="1" t="n">
        <v>46217</v>
      </c>
      <c r="F267" t="inlineStr">
        <is>
          <t>JÖNKÖPINGS LÄN</t>
        </is>
      </c>
      <c r="G267" t="inlineStr">
        <is>
          <t>VETLANDA</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49444-2023</t>
        </is>
      </c>
      <c r="B268" t="inlineStr">
        <is>
          <t>avverkningsanmälan</t>
        </is>
      </c>
      <c r="C268" t="inlineStr">
        <is>
          <t>Föryngringsavverkning</t>
        </is>
      </c>
      <c r="D268" s="1" t="n">
        <v>45211</v>
      </c>
      <c r="E268" s="1" t="n">
        <v>46217</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27445-2023</t>
        </is>
      </c>
      <c r="B269" t="inlineStr">
        <is>
          <t>avverkningsanmälan</t>
        </is>
      </c>
      <c r="C269" t="inlineStr">
        <is>
          <t>Föryngringsavverkning</t>
        </is>
      </c>
      <c r="D269" s="1" t="n">
        <v>45097</v>
      </c>
      <c r="E269" s="1" t="n">
        <v>46217</v>
      </c>
      <c r="F269" t="inlineStr">
        <is>
          <t>JÖNKÖPINGS LÄN</t>
        </is>
      </c>
      <c r="G269" t="inlineStr">
        <is>
          <t>VETLANDA</t>
        </is>
      </c>
      <c r="I269" t="n">
        <v>3.3</v>
      </c>
      <c r="J269" t="n">
        <v>0</v>
      </c>
      <c r="K269" t="n">
        <v>0</v>
      </c>
      <c r="L269" t="n">
        <v>0</v>
      </c>
      <c r="M269" t="n">
        <v>0</v>
      </c>
      <c r="N269" t="n">
        <v>0</v>
      </c>
      <c r="O269" t="n">
        <v>0</v>
      </c>
      <c r="P269" t="n">
        <v>0</v>
      </c>
      <c r="Q269" t="n">
        <v>0</v>
      </c>
      <c r="R269" t="n">
        <v>0</v>
      </c>
      <c r="S269" t="n">
        <v>0</v>
      </c>
      <c r="T269" t="n">
        <v>0</v>
      </c>
      <c r="U269" s="2" t="inlineStr"/>
    </row>
    <row r="270" ht="15" customHeight="1">
      <c r="A270" t="inlineStr">
        <is>
          <t>A 12700-2024</t>
        </is>
      </c>
      <c r="B270" t="inlineStr">
        <is>
          <t>avverkningsanmälan</t>
        </is>
      </c>
      <c r="C270" t="inlineStr">
        <is>
          <t>Föryngringsavverkning</t>
        </is>
      </c>
      <c r="D270" s="1" t="n">
        <v>45384</v>
      </c>
      <c r="E270" s="1" t="n">
        <v>46217</v>
      </c>
      <c r="F270" t="inlineStr">
        <is>
          <t>JÖNKÖPINGS LÄN</t>
        </is>
      </c>
      <c r="G270" t="inlineStr">
        <is>
          <t>VETLANDA</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316-2023</t>
        </is>
      </c>
      <c r="B271" t="inlineStr">
        <is>
          <t>avverkningsanmälan</t>
        </is>
      </c>
      <c r="C271" t="inlineStr">
        <is>
          <t>Föryngringsavverkning</t>
        </is>
      </c>
      <c r="D271" s="1" t="n">
        <v>44929</v>
      </c>
      <c r="E271" s="1" t="n">
        <v>46217</v>
      </c>
      <c r="F271" t="inlineStr">
        <is>
          <t>JÖNKÖPINGS LÄN</t>
        </is>
      </c>
      <c r="G271" t="inlineStr">
        <is>
          <t>VETLANDA</t>
        </is>
      </c>
      <c r="I271" t="n">
        <v>4.9</v>
      </c>
      <c r="J271" t="n">
        <v>0</v>
      </c>
      <c r="K271" t="n">
        <v>0</v>
      </c>
      <c r="L271" t="n">
        <v>0</v>
      </c>
      <c r="M271" t="n">
        <v>0</v>
      </c>
      <c r="N271" t="n">
        <v>0</v>
      </c>
      <c r="O271" t="n">
        <v>0</v>
      </c>
      <c r="P271" t="n">
        <v>0</v>
      </c>
      <c r="Q271" t="n">
        <v>0</v>
      </c>
      <c r="R271" t="n">
        <v>0</v>
      </c>
      <c r="S271" t="n">
        <v>0</v>
      </c>
      <c r="T271" t="n">
        <v>0</v>
      </c>
      <c r="U271" s="2" t="inlineStr"/>
    </row>
    <row r="272" ht="15" customHeight="1">
      <c r="A272" t="inlineStr">
        <is>
          <t>A 29883-2023</t>
        </is>
      </c>
      <c r="B272" t="inlineStr">
        <is>
          <t>avverkningsanmälan</t>
        </is>
      </c>
      <c r="C272" t="inlineStr">
        <is>
          <t>Föryngringsavverkning</t>
        </is>
      </c>
      <c r="D272" s="1" t="n">
        <v>45107</v>
      </c>
      <c r="E272" s="1" t="n">
        <v>46217</v>
      </c>
      <c r="F272" t="inlineStr">
        <is>
          <t>JÖNKÖPINGS LÄN</t>
        </is>
      </c>
      <c r="G272" t="inlineStr">
        <is>
          <t>VETLANDA</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409-2024</t>
        </is>
      </c>
      <c r="B273" t="inlineStr">
        <is>
          <t>avverkningsanmälan</t>
        </is>
      </c>
      <c r="C273" t="inlineStr">
        <is>
          <t>Avverkning för annat ändamål</t>
        </is>
      </c>
      <c r="D273" s="1" t="n">
        <v>45296</v>
      </c>
      <c r="E273" s="1" t="n">
        <v>46217</v>
      </c>
      <c r="F273" t="inlineStr">
        <is>
          <t>JÖNKÖPINGS LÄN</t>
        </is>
      </c>
      <c r="G273" t="inlineStr">
        <is>
          <t>VETLANDA</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56214-2023</t>
        </is>
      </c>
      <c r="B274" t="inlineStr">
        <is>
          <t>avverkningsanmälan</t>
        </is>
      </c>
      <c r="C274" t="inlineStr">
        <is>
          <t>Föryngringsavverkning</t>
        </is>
      </c>
      <c r="D274" s="1" t="n">
        <v>45240</v>
      </c>
      <c r="E274" s="1" t="n">
        <v>46217</v>
      </c>
      <c r="F274" t="inlineStr">
        <is>
          <t>JÖNKÖPINGS LÄN</t>
        </is>
      </c>
      <c r="G274" t="inlineStr">
        <is>
          <t>VETLANDA</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69203-2021</t>
        </is>
      </c>
      <c r="B275" t="inlineStr">
        <is>
          <t>avverkningsanmälan</t>
        </is>
      </c>
      <c r="C275" t="inlineStr">
        <is>
          <t>Föryngringsavverkning</t>
        </is>
      </c>
      <c r="D275" s="1" t="n">
        <v>44530</v>
      </c>
      <c r="E275" s="1" t="n">
        <v>46217</v>
      </c>
      <c r="F275" t="inlineStr">
        <is>
          <t>JÖNKÖPINGS LÄN</t>
        </is>
      </c>
      <c r="G275" t="inlineStr">
        <is>
          <t>VETLANDA</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58542-2022</t>
        </is>
      </c>
      <c r="B276" t="inlineStr">
        <is>
          <t>avverkningsanmälan</t>
        </is>
      </c>
      <c r="C276" t="inlineStr">
        <is>
          <t>Föryngringsavverkning</t>
        </is>
      </c>
      <c r="D276" s="1" t="n">
        <v>44902</v>
      </c>
      <c r="E276" s="1" t="n">
        <v>46217</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44217-2021</t>
        </is>
      </c>
      <c r="B277" t="inlineStr">
        <is>
          <t>avverkningsanmälan</t>
        </is>
      </c>
      <c r="C277" t="inlineStr">
        <is>
          <t>Föryngringsavverkning</t>
        </is>
      </c>
      <c r="D277" s="1" t="n">
        <v>44434</v>
      </c>
      <c r="E277" s="1" t="n">
        <v>46217</v>
      </c>
      <c r="F277" t="inlineStr">
        <is>
          <t>JÖNKÖPINGS LÄN</t>
        </is>
      </c>
      <c r="G277" t="inlineStr">
        <is>
          <t>VETLANDA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44266-2021</t>
        </is>
      </c>
      <c r="B278" t="inlineStr">
        <is>
          <t>avverkningsanmälan</t>
        </is>
      </c>
      <c r="C278" t="inlineStr">
        <is>
          <t>Föryngringsavverkning</t>
        </is>
      </c>
      <c r="D278" s="1" t="n">
        <v>44434</v>
      </c>
      <c r="E278" s="1" t="n">
        <v>46217</v>
      </c>
      <c r="F278" t="inlineStr">
        <is>
          <t>JÖNKÖPINGS LÄN</t>
        </is>
      </c>
      <c r="G278" t="inlineStr">
        <is>
          <t>VETLANDA</t>
        </is>
      </c>
      <c r="H278" t="inlineStr">
        <is>
          <t>Kyrkan</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10938-2024</t>
        </is>
      </c>
      <c r="B279" t="inlineStr">
        <is>
          <t>avverkningsanmälan</t>
        </is>
      </c>
      <c r="C279" t="inlineStr">
        <is>
          <t>Föryngringsavverkning</t>
        </is>
      </c>
      <c r="D279" s="1" t="n">
        <v>45370</v>
      </c>
      <c r="E279" s="1" t="n">
        <v>46217</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38827-2022</t>
        </is>
      </c>
      <c r="B280" t="inlineStr">
        <is>
          <t>avverkningsanmälan</t>
        </is>
      </c>
      <c r="C280" t="inlineStr">
        <is>
          <t>Föryngringsavverkning</t>
        </is>
      </c>
      <c r="D280" s="1" t="n">
        <v>44813</v>
      </c>
      <c r="E280" s="1" t="n">
        <v>46217</v>
      </c>
      <c r="F280" t="inlineStr">
        <is>
          <t>JÖNKÖPINGS LÄN</t>
        </is>
      </c>
      <c r="G280" t="inlineStr">
        <is>
          <t>VETLANDA</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35809-2024</t>
        </is>
      </c>
      <c r="B281" t="inlineStr">
        <is>
          <t>avverkningsanmälan</t>
        </is>
      </c>
      <c r="C281" t="inlineStr">
        <is>
          <t>Föryngringsavverkning</t>
        </is>
      </c>
      <c r="D281" s="1" t="n">
        <v>45532</v>
      </c>
      <c r="E281" s="1" t="n">
        <v>46217</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32143-2023</t>
        </is>
      </c>
      <c r="B282" t="inlineStr">
        <is>
          <t>avverkningsanmälan</t>
        </is>
      </c>
      <c r="C282" t="inlineStr">
        <is>
          <t>Föryngringsavverkning</t>
        </is>
      </c>
      <c r="D282" s="1" t="n">
        <v>45119</v>
      </c>
      <c r="E282" s="1" t="n">
        <v>46217</v>
      </c>
      <c r="F282" t="inlineStr">
        <is>
          <t>JÖNKÖPINGS LÄN</t>
        </is>
      </c>
      <c r="G282" t="inlineStr">
        <is>
          <t>VETLANDA</t>
        </is>
      </c>
      <c r="I282" t="n">
        <v>2.1</v>
      </c>
      <c r="J282" t="n">
        <v>0</v>
      </c>
      <c r="K282" t="n">
        <v>0</v>
      </c>
      <c r="L282" t="n">
        <v>0</v>
      </c>
      <c r="M282" t="n">
        <v>0</v>
      </c>
      <c r="N282" t="n">
        <v>0</v>
      </c>
      <c r="O282" t="n">
        <v>0</v>
      </c>
      <c r="P282" t="n">
        <v>0</v>
      </c>
      <c r="Q282" t="n">
        <v>0</v>
      </c>
      <c r="R282" t="n">
        <v>0</v>
      </c>
      <c r="S282" t="n">
        <v>0</v>
      </c>
      <c r="T282" t="n">
        <v>0</v>
      </c>
      <c r="U282" s="2" t="inlineStr"/>
    </row>
    <row r="283" ht="15" customHeight="1">
      <c r="A283" t="inlineStr">
        <is>
          <t>A 14435-2024</t>
        </is>
      </c>
      <c r="B283" t="inlineStr">
        <is>
          <t>avverkningsanmälan</t>
        </is>
      </c>
      <c r="C283" t="inlineStr">
        <is>
          <t>Föryngringsavverkning</t>
        </is>
      </c>
      <c r="D283" s="1" t="n">
        <v>45394</v>
      </c>
      <c r="E283" s="1" t="n">
        <v>46217</v>
      </c>
      <c r="F283" t="inlineStr">
        <is>
          <t>JÖNKÖPINGS LÄN</t>
        </is>
      </c>
      <c r="G283" t="inlineStr">
        <is>
          <t>VETLANDA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24891-2024</t>
        </is>
      </c>
      <c r="B284" t="inlineStr">
        <is>
          <t>avverkningsanmälan</t>
        </is>
      </c>
      <c r="C284" t="inlineStr">
        <is>
          <t>Föryngringsavverkning</t>
        </is>
      </c>
      <c r="D284" s="1" t="n">
        <v>45461</v>
      </c>
      <c r="E284" s="1" t="n">
        <v>46217</v>
      </c>
      <c r="F284" t="inlineStr">
        <is>
          <t>JÖNKÖPINGS LÄN</t>
        </is>
      </c>
      <c r="G284" t="inlineStr">
        <is>
          <t>VETLANDA</t>
        </is>
      </c>
      <c r="I284" t="n">
        <v>3.3</v>
      </c>
      <c r="J284" t="n">
        <v>0</v>
      </c>
      <c r="K284" t="n">
        <v>0</v>
      </c>
      <c r="L284" t="n">
        <v>0</v>
      </c>
      <c r="M284" t="n">
        <v>0</v>
      </c>
      <c r="N284" t="n">
        <v>0</v>
      </c>
      <c r="O284" t="n">
        <v>0</v>
      </c>
      <c r="P284" t="n">
        <v>0</v>
      </c>
      <c r="Q284" t="n">
        <v>0</v>
      </c>
      <c r="R284" t="n">
        <v>0</v>
      </c>
      <c r="S284" t="n">
        <v>0</v>
      </c>
      <c r="T284" t="n">
        <v>0</v>
      </c>
      <c r="U284" s="2" t="inlineStr"/>
    </row>
    <row r="285" ht="15" customHeight="1">
      <c r="A285" t="inlineStr">
        <is>
          <t>A 21283-2024</t>
        </is>
      </c>
      <c r="B285" t="inlineStr">
        <is>
          <t>avverkningsanmälan</t>
        </is>
      </c>
      <c r="C285" t="inlineStr">
        <is>
          <t>Avverkning för att bevara och utveckla /försöksver</t>
        </is>
      </c>
      <c r="D285" s="1" t="n">
        <v>45440</v>
      </c>
      <c r="E285" s="1" t="n">
        <v>46217</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20827-2024</t>
        </is>
      </c>
      <c r="B286" t="inlineStr">
        <is>
          <t>avverkningsanmälan</t>
        </is>
      </c>
      <c r="C286" t="inlineStr">
        <is>
          <t>Föryngringsavverkning</t>
        </is>
      </c>
      <c r="D286" s="1" t="n">
        <v>45439</v>
      </c>
      <c r="E286" s="1" t="n">
        <v>46217</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53790-2022</t>
        </is>
      </c>
      <c r="B287" t="inlineStr">
        <is>
          <t>avverkningsanmälan</t>
        </is>
      </c>
      <c r="C287" t="inlineStr">
        <is>
          <t>Föryngringsavverkning</t>
        </is>
      </c>
      <c r="D287" s="1" t="n">
        <v>44880</v>
      </c>
      <c r="E287" s="1" t="n">
        <v>46217</v>
      </c>
      <c r="F287" t="inlineStr">
        <is>
          <t>JÖNKÖPINGS LÄN</t>
        </is>
      </c>
      <c r="G287" t="inlineStr">
        <is>
          <t>VETLANDA</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53794-2022</t>
        </is>
      </c>
      <c r="B288" t="inlineStr">
        <is>
          <t>avverkningsanmälan</t>
        </is>
      </c>
      <c r="C288" t="inlineStr">
        <is>
          <t>Föryngringsavverkning</t>
        </is>
      </c>
      <c r="D288" s="1" t="n">
        <v>44880</v>
      </c>
      <c r="E288" s="1" t="n">
        <v>46217</v>
      </c>
      <c r="F288" t="inlineStr">
        <is>
          <t>JÖNKÖPINGS LÄN</t>
        </is>
      </c>
      <c r="G288" t="inlineStr">
        <is>
          <t>VETLANDA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43615-2022</t>
        </is>
      </c>
      <c r="B289" t="inlineStr">
        <is>
          <t>avverkningsanmälan</t>
        </is>
      </c>
      <c r="C289" t="inlineStr">
        <is>
          <t>Föryngringsavverkning</t>
        </is>
      </c>
      <c r="D289" s="1" t="n">
        <v>44837</v>
      </c>
      <c r="E289" s="1" t="n">
        <v>46217</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2162-2024</t>
        </is>
      </c>
      <c r="B290" t="inlineStr">
        <is>
          <t>avverkningsanmälan</t>
        </is>
      </c>
      <c r="C290" t="inlineStr">
        <is>
          <t>Föryngringsavverkning</t>
        </is>
      </c>
      <c r="D290" s="1" t="n">
        <v>45309</v>
      </c>
      <c r="E290" s="1" t="n">
        <v>46217</v>
      </c>
      <c r="F290" t="inlineStr">
        <is>
          <t>JÖNKÖPINGS LÄN</t>
        </is>
      </c>
      <c r="G290" t="inlineStr">
        <is>
          <t>VETLANDA</t>
        </is>
      </c>
      <c r="I290" t="n">
        <v>5.5</v>
      </c>
      <c r="J290" t="n">
        <v>0</v>
      </c>
      <c r="K290" t="n">
        <v>0</v>
      </c>
      <c r="L290" t="n">
        <v>0</v>
      </c>
      <c r="M290" t="n">
        <v>0</v>
      </c>
      <c r="N290" t="n">
        <v>0</v>
      </c>
      <c r="O290" t="n">
        <v>0</v>
      </c>
      <c r="P290" t="n">
        <v>0</v>
      </c>
      <c r="Q290" t="n">
        <v>0</v>
      </c>
      <c r="R290" t="n">
        <v>0</v>
      </c>
      <c r="S290" t="n">
        <v>0</v>
      </c>
      <c r="T290" t="n">
        <v>0</v>
      </c>
      <c r="U290" s="2" t="inlineStr"/>
    </row>
    <row r="291" ht="15" customHeight="1">
      <c r="A291" t="inlineStr">
        <is>
          <t>A 9867-2024</t>
        </is>
      </c>
      <c r="B291" t="inlineStr">
        <is>
          <t>avverkningsanmälan</t>
        </is>
      </c>
      <c r="C291" t="inlineStr">
        <is>
          <t>Föryngringsavverkning</t>
        </is>
      </c>
      <c r="D291" s="1" t="n">
        <v>45363</v>
      </c>
      <c r="E291" s="1" t="n">
        <v>46217</v>
      </c>
      <c r="F291" t="inlineStr">
        <is>
          <t>JÖNKÖPINGS LÄN</t>
        </is>
      </c>
      <c r="G291" t="inlineStr">
        <is>
          <t>VETLANDA</t>
        </is>
      </c>
      <c r="H291" t="inlineStr">
        <is>
          <t>Kyrkan</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56994-2021</t>
        </is>
      </c>
      <c r="B292" t="inlineStr">
        <is>
          <t>avverkningsanmälan</t>
        </is>
      </c>
      <c r="C292" t="inlineStr">
        <is>
          <t>Föryngringsavverkning</t>
        </is>
      </c>
      <c r="D292" s="1" t="n">
        <v>44482</v>
      </c>
      <c r="E292" s="1" t="n">
        <v>46217</v>
      </c>
      <c r="F292" t="inlineStr">
        <is>
          <t>JÖNKÖPINGS LÄN</t>
        </is>
      </c>
      <c r="G292" t="inlineStr">
        <is>
          <t>VETLANDA</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18507-2025</t>
        </is>
      </c>
      <c r="B293" t="inlineStr">
        <is>
          <t>avverkningsanmälan</t>
        </is>
      </c>
      <c r="C293" t="inlineStr">
        <is>
          <t>Föryngringsavverkning</t>
        </is>
      </c>
      <c r="D293" s="1" t="n">
        <v>45763</v>
      </c>
      <c r="E293" s="1" t="n">
        <v>46217</v>
      </c>
      <c r="F293" t="inlineStr">
        <is>
          <t>JÖNKÖPINGS LÄN</t>
        </is>
      </c>
      <c r="G293" t="inlineStr">
        <is>
          <t>VETLANDA</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18509-2025</t>
        </is>
      </c>
      <c r="B294" t="inlineStr">
        <is>
          <t>avverkningsanmälan</t>
        </is>
      </c>
      <c r="C294" t="inlineStr">
        <is>
          <t>Föryngringsavverkning</t>
        </is>
      </c>
      <c r="D294" s="1" t="n">
        <v>45763</v>
      </c>
      <c r="E294" s="1" t="n">
        <v>46217</v>
      </c>
      <c r="F294" t="inlineStr">
        <is>
          <t>JÖNKÖPINGS LÄN</t>
        </is>
      </c>
      <c r="G294" t="inlineStr">
        <is>
          <t>VETLANDA</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18518-2025</t>
        </is>
      </c>
      <c r="B295" t="inlineStr">
        <is>
          <t>avverkningsanmälan</t>
        </is>
      </c>
      <c r="C295" t="inlineStr">
        <is>
          <t>Föryngringsavverkning</t>
        </is>
      </c>
      <c r="D295" s="1" t="n">
        <v>45763</v>
      </c>
      <c r="E295" s="1" t="n">
        <v>46217</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21916-2024</t>
        </is>
      </c>
      <c r="B296" t="inlineStr">
        <is>
          <t>avverkningsanmälan</t>
        </is>
      </c>
      <c r="C296" t="inlineStr">
        <is>
          <t>Föryngringsavverkning</t>
        </is>
      </c>
      <c r="D296" s="1" t="n">
        <v>45443</v>
      </c>
      <c r="E296" s="1" t="n">
        <v>46217</v>
      </c>
      <c r="F296" t="inlineStr">
        <is>
          <t>JÖNKÖPINGS LÄN</t>
        </is>
      </c>
      <c r="G296" t="inlineStr">
        <is>
          <t>VETLANDA</t>
        </is>
      </c>
      <c r="I296" t="n">
        <v>3.9</v>
      </c>
      <c r="J296" t="n">
        <v>0</v>
      </c>
      <c r="K296" t="n">
        <v>0</v>
      </c>
      <c r="L296" t="n">
        <v>0</v>
      </c>
      <c r="M296" t="n">
        <v>0</v>
      </c>
      <c r="N296" t="n">
        <v>0</v>
      </c>
      <c r="O296" t="n">
        <v>0</v>
      </c>
      <c r="P296" t="n">
        <v>0</v>
      </c>
      <c r="Q296" t="n">
        <v>0</v>
      </c>
      <c r="R296" t="n">
        <v>0</v>
      </c>
      <c r="S296" t="n">
        <v>0</v>
      </c>
      <c r="T296" t="n">
        <v>0</v>
      </c>
      <c r="U296" s="2" t="inlineStr"/>
    </row>
    <row r="297" ht="15" customHeight="1">
      <c r="A297" t="inlineStr">
        <is>
          <t>A 20409-2024</t>
        </is>
      </c>
      <c r="B297" t="inlineStr">
        <is>
          <t>avverkningsanmälan</t>
        </is>
      </c>
      <c r="C297" t="inlineStr">
        <is>
          <t>Avverkning för annat ändamål</t>
        </is>
      </c>
      <c r="D297" s="1" t="n">
        <v>45435</v>
      </c>
      <c r="E297" s="1" t="n">
        <v>46217</v>
      </c>
      <c r="F297" t="inlineStr">
        <is>
          <t>JÖNKÖPINGS LÄN</t>
        </is>
      </c>
      <c r="G297" t="inlineStr">
        <is>
          <t>VETLANDA</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22954-2024</t>
        </is>
      </c>
      <c r="B298" t="inlineStr">
        <is>
          <t>avverkningsanmälan</t>
        </is>
      </c>
      <c r="C298" t="inlineStr">
        <is>
          <t>Föryngringsavverkning</t>
        </is>
      </c>
      <c r="D298" s="1" t="n">
        <v>45449</v>
      </c>
      <c r="E298" s="1" t="n">
        <v>46217</v>
      </c>
      <c r="F298" t="inlineStr">
        <is>
          <t>JÖNKÖPINGS LÄN</t>
        </is>
      </c>
      <c r="G298" t="inlineStr">
        <is>
          <t>VETLANDA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43608-2022</t>
        </is>
      </c>
      <c r="B299" t="inlineStr">
        <is>
          <t>avverkningsanmälan</t>
        </is>
      </c>
      <c r="C299" t="inlineStr">
        <is>
          <t>Föryngringsavverkning</t>
        </is>
      </c>
      <c r="D299" s="1" t="n">
        <v>44837</v>
      </c>
      <c r="E299" s="1" t="n">
        <v>46217</v>
      </c>
      <c r="F299" t="inlineStr">
        <is>
          <t>JÖNKÖPINGS LÄN</t>
        </is>
      </c>
      <c r="G299" t="inlineStr">
        <is>
          <t>VETLANDA</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22254-2024</t>
        </is>
      </c>
      <c r="B300" t="inlineStr">
        <is>
          <t>avverkningsanmälan</t>
        </is>
      </c>
      <c r="C300" t="inlineStr">
        <is>
          <t>Föryngringsavverkning</t>
        </is>
      </c>
      <c r="D300" s="1" t="n">
        <v>45446</v>
      </c>
      <c r="E300" s="1" t="n">
        <v>46217</v>
      </c>
      <c r="F300" t="inlineStr">
        <is>
          <t>JÖNKÖPINGS LÄN</t>
        </is>
      </c>
      <c r="G300" t="inlineStr">
        <is>
          <t>VETLANDA</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5121-2024</t>
        </is>
      </c>
      <c r="B301" t="inlineStr">
        <is>
          <t>avverkningsanmälan</t>
        </is>
      </c>
      <c r="C301" t="inlineStr">
        <is>
          <t>Föryngringsavverkning</t>
        </is>
      </c>
      <c r="D301" s="1" t="n">
        <v>45330</v>
      </c>
      <c r="E301" s="1" t="n">
        <v>46217</v>
      </c>
      <c r="F301" t="inlineStr">
        <is>
          <t>JÖNKÖPINGS LÄN</t>
        </is>
      </c>
      <c r="G301" t="inlineStr">
        <is>
          <t>VETLANDA</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65277-2021</t>
        </is>
      </c>
      <c r="B302" t="inlineStr">
        <is>
          <t>avverkningsanmälan</t>
        </is>
      </c>
      <c r="C302" t="inlineStr">
        <is>
          <t>Föryngringsavverkning</t>
        </is>
      </c>
      <c r="D302" s="1" t="n">
        <v>44515</v>
      </c>
      <c r="E302" s="1" t="n">
        <v>46217</v>
      </c>
      <c r="F302" t="inlineStr">
        <is>
          <t>JÖNKÖPINGS LÄN</t>
        </is>
      </c>
      <c r="G302" t="inlineStr">
        <is>
          <t>VETLANDA</t>
        </is>
      </c>
      <c r="H302" t="inlineStr">
        <is>
          <t>Kyrkan</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30795-2024</t>
        </is>
      </c>
      <c r="B303" t="inlineStr">
        <is>
          <t>avverkningsanmälan</t>
        </is>
      </c>
      <c r="C303" t="inlineStr">
        <is>
          <t>Föryngringsavverkning</t>
        </is>
      </c>
      <c r="D303" s="1" t="n">
        <v>45497</v>
      </c>
      <c r="E303" s="1" t="n">
        <v>46217</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30797-2024</t>
        </is>
      </c>
      <c r="B304" t="inlineStr">
        <is>
          <t>avverkningsanmälan</t>
        </is>
      </c>
      <c r="C304" t="inlineStr">
        <is>
          <t>Föryngringsavverkning</t>
        </is>
      </c>
      <c r="D304" s="1" t="n">
        <v>45497</v>
      </c>
      <c r="E304" s="1" t="n">
        <v>46217</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57071-2021</t>
        </is>
      </c>
      <c r="B305" t="inlineStr">
        <is>
          <t>avverkningsanmälan</t>
        </is>
      </c>
      <c r="C305" t="inlineStr">
        <is>
          <t>Föryngringsavverkning</t>
        </is>
      </c>
      <c r="D305" s="1" t="n">
        <v>44481</v>
      </c>
      <c r="E305" s="1" t="n">
        <v>46217</v>
      </c>
      <c r="F305" t="inlineStr">
        <is>
          <t>JÖNKÖPINGS LÄN</t>
        </is>
      </c>
      <c r="G305" t="inlineStr">
        <is>
          <t>VETLANDA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48207-2022</t>
        </is>
      </c>
      <c r="B306" t="inlineStr">
        <is>
          <t>avverkningsanmälan</t>
        </is>
      </c>
      <c r="C306" t="inlineStr">
        <is>
          <t>Föryngringsavverkning</t>
        </is>
      </c>
      <c r="D306" s="1" t="n">
        <v>44858</v>
      </c>
      <c r="E306" s="1" t="n">
        <v>46217</v>
      </c>
      <c r="F306" t="inlineStr">
        <is>
          <t>JÖNKÖPINGS LÄN</t>
        </is>
      </c>
      <c r="G306" t="inlineStr">
        <is>
          <t>VETLANDA</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37829-2024</t>
        </is>
      </c>
      <c r="B307" t="inlineStr">
        <is>
          <t>avverkningsanmälan</t>
        </is>
      </c>
      <c r="C307" t="inlineStr">
        <is>
          <t>Föryngringsavverkning</t>
        </is>
      </c>
      <c r="D307" s="1" t="n">
        <v>45544</v>
      </c>
      <c r="E307" s="1" t="n">
        <v>46217</v>
      </c>
      <c r="F307" t="inlineStr">
        <is>
          <t>JÖNKÖPINGS LÄN</t>
        </is>
      </c>
      <c r="G307" t="inlineStr">
        <is>
          <t>VETLANDA</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38397-2024</t>
        </is>
      </c>
      <c r="B308" t="inlineStr">
        <is>
          <t>avverkningsanmälan</t>
        </is>
      </c>
      <c r="C308" t="inlineStr">
        <is>
          <t>Föryngringsavverkning</t>
        </is>
      </c>
      <c r="D308" s="1" t="n">
        <v>45546</v>
      </c>
      <c r="E308" s="1" t="n">
        <v>46217</v>
      </c>
      <c r="F308" t="inlineStr">
        <is>
          <t>JÖNKÖPINGS LÄN</t>
        </is>
      </c>
      <c r="G308" t="inlineStr">
        <is>
          <t>VETLANDA</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117-2022</t>
        </is>
      </c>
      <c r="B309" t="inlineStr">
        <is>
          <t>avverkningsanmälan</t>
        </is>
      </c>
      <c r="C309" t="inlineStr">
        <is>
          <t>Föryngringsavverkning</t>
        </is>
      </c>
      <c r="D309" s="1" t="n">
        <v>44564</v>
      </c>
      <c r="E309" s="1" t="n">
        <v>46217</v>
      </c>
      <c r="F309" t="inlineStr">
        <is>
          <t>JÖNKÖPINGS LÄN</t>
        </is>
      </c>
      <c r="G309" t="inlineStr">
        <is>
          <t>VETLANDA</t>
        </is>
      </c>
      <c r="H309" t="inlineStr">
        <is>
          <t>Övriga Aktiebolag</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46309-2024</t>
        </is>
      </c>
      <c r="B310" t="inlineStr">
        <is>
          <t>avverkningsanmälan</t>
        </is>
      </c>
      <c r="C310" t="inlineStr">
        <is>
          <t>Föryngringsavverkning</t>
        </is>
      </c>
      <c r="D310" s="1" t="n">
        <v>45581</v>
      </c>
      <c r="E310" s="1" t="n">
        <v>46217</v>
      </c>
      <c r="F310" t="inlineStr">
        <is>
          <t>JÖNKÖPINGS LÄN</t>
        </is>
      </c>
      <c r="G310" t="inlineStr">
        <is>
          <t>VETLANDA</t>
        </is>
      </c>
      <c r="H310" t="inlineStr">
        <is>
          <t>Sveaskog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69263-2021</t>
        </is>
      </c>
      <c r="B311" t="inlineStr">
        <is>
          <t>avverkningsanmälan</t>
        </is>
      </c>
      <c r="C311" t="inlineStr">
        <is>
          <t>Föryngringsavverkning</t>
        </is>
      </c>
      <c r="D311" s="1" t="n">
        <v>44531</v>
      </c>
      <c r="E311" s="1" t="n">
        <v>46217</v>
      </c>
      <c r="F311" t="inlineStr">
        <is>
          <t>JÖNKÖPINGS LÄN</t>
        </is>
      </c>
      <c r="G311" t="inlineStr">
        <is>
          <t>VETLANDA</t>
        </is>
      </c>
      <c r="I311" t="n">
        <v>3.6</v>
      </c>
      <c r="J311" t="n">
        <v>0</v>
      </c>
      <c r="K311" t="n">
        <v>0</v>
      </c>
      <c r="L311" t="n">
        <v>0</v>
      </c>
      <c r="M311" t="n">
        <v>0</v>
      </c>
      <c r="N311" t="n">
        <v>0</v>
      </c>
      <c r="O311" t="n">
        <v>0</v>
      </c>
      <c r="P311" t="n">
        <v>0</v>
      </c>
      <c r="Q311" t="n">
        <v>0</v>
      </c>
      <c r="R311" t="n">
        <v>0</v>
      </c>
      <c r="S311" t="n">
        <v>0</v>
      </c>
      <c r="T311" t="n">
        <v>0</v>
      </c>
      <c r="U311" s="2" t="inlineStr"/>
    </row>
    <row r="312" ht="15" customHeight="1">
      <c r="A312" t="inlineStr">
        <is>
          <t>A 6830-2022</t>
        </is>
      </c>
      <c r="B312" t="inlineStr">
        <is>
          <t>avverkningsanmälan</t>
        </is>
      </c>
      <c r="C312" t="inlineStr">
        <is>
          <t>Föryngringsavverkning</t>
        </is>
      </c>
      <c r="D312" s="1" t="n">
        <v>44602</v>
      </c>
      <c r="E312" s="1" t="n">
        <v>46217</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4689-2022</t>
        </is>
      </c>
      <c r="B313" t="inlineStr">
        <is>
          <t>avverkningsanmälan</t>
        </is>
      </c>
      <c r="C313" t="inlineStr">
        <is>
          <t>Föryngringsavverkning</t>
        </is>
      </c>
      <c r="D313" s="1" t="n">
        <v>44592</v>
      </c>
      <c r="E313" s="1" t="n">
        <v>46217</v>
      </c>
      <c r="F313" t="inlineStr">
        <is>
          <t>JÖNKÖPINGS LÄN</t>
        </is>
      </c>
      <c r="G313" t="inlineStr">
        <is>
          <t>VETLANDA</t>
        </is>
      </c>
      <c r="I313" t="n">
        <v>4.2</v>
      </c>
      <c r="J313" t="n">
        <v>0</v>
      </c>
      <c r="K313" t="n">
        <v>0</v>
      </c>
      <c r="L313" t="n">
        <v>0</v>
      </c>
      <c r="M313" t="n">
        <v>0</v>
      </c>
      <c r="N313" t="n">
        <v>0</v>
      </c>
      <c r="O313" t="n">
        <v>0</v>
      </c>
      <c r="P313" t="n">
        <v>0</v>
      </c>
      <c r="Q313" t="n">
        <v>0</v>
      </c>
      <c r="R313" t="n">
        <v>0</v>
      </c>
      <c r="S313" t="n">
        <v>0</v>
      </c>
      <c r="T313" t="n">
        <v>0</v>
      </c>
      <c r="U313" s="2" t="inlineStr"/>
    </row>
    <row r="314" ht="15" customHeight="1">
      <c r="A314" t="inlineStr">
        <is>
          <t>A 36845-2024</t>
        </is>
      </c>
      <c r="B314" t="inlineStr">
        <is>
          <t>avverkningsanmälan</t>
        </is>
      </c>
      <c r="C314" t="inlineStr">
        <is>
          <t>Föryngringsavverkning</t>
        </is>
      </c>
      <c r="D314" s="1" t="n">
        <v>45538</v>
      </c>
      <c r="E314" s="1" t="n">
        <v>46217</v>
      </c>
      <c r="F314" t="inlineStr">
        <is>
          <t>JÖNKÖPINGS LÄN</t>
        </is>
      </c>
      <c r="G314" t="inlineStr">
        <is>
          <t>VETLANDA</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29493-2023</t>
        </is>
      </c>
      <c r="B315" t="inlineStr">
        <is>
          <t>avverkningsanmälan</t>
        </is>
      </c>
      <c r="C315" t="inlineStr">
        <is>
          <t>Föryngringsavverkning</t>
        </is>
      </c>
      <c r="D315" s="1" t="n">
        <v>45106</v>
      </c>
      <c r="E315" s="1" t="n">
        <v>46217</v>
      </c>
      <c r="F315" t="inlineStr">
        <is>
          <t>JÖNKÖPINGS LÄN</t>
        </is>
      </c>
      <c r="G315" t="inlineStr">
        <is>
          <t>VETLANDA</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8991-2024</t>
        </is>
      </c>
      <c r="B316" t="inlineStr">
        <is>
          <t>avverkningsanmälan</t>
        </is>
      </c>
      <c r="C316" t="inlineStr">
        <is>
          <t>Föryngringsavverkning</t>
        </is>
      </c>
      <c r="D316" s="1" t="n">
        <v>45357</v>
      </c>
      <c r="E316" s="1" t="n">
        <v>46217</v>
      </c>
      <c r="F316" t="inlineStr">
        <is>
          <t>JÖNKÖPINGS LÄN</t>
        </is>
      </c>
      <c r="G316" t="inlineStr">
        <is>
          <t>VETLANDA</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6197-2022</t>
        </is>
      </c>
      <c r="B317" t="inlineStr">
        <is>
          <t>avverkningsanmälan</t>
        </is>
      </c>
      <c r="C317" t="inlineStr">
        <is>
          <t>Föryngringsavverkning</t>
        </is>
      </c>
      <c r="D317" s="1" t="n">
        <v>44600</v>
      </c>
      <c r="E317" s="1" t="n">
        <v>46217</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18193-2024</t>
        </is>
      </c>
      <c r="B318" t="inlineStr">
        <is>
          <t>avverkningsanmälan</t>
        </is>
      </c>
      <c r="C318" t="inlineStr">
        <is>
          <t>Föryngringsavverkning</t>
        </is>
      </c>
      <c r="D318" s="1" t="n">
        <v>45420</v>
      </c>
      <c r="E318" s="1" t="n">
        <v>46217</v>
      </c>
      <c r="F318" t="inlineStr">
        <is>
          <t>JÖNKÖPINGS LÄN</t>
        </is>
      </c>
      <c r="G318" t="inlineStr">
        <is>
          <t>VETLANDA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40448-2023</t>
        </is>
      </c>
      <c r="B319" t="inlineStr">
        <is>
          <t>avverkningsanmälan</t>
        </is>
      </c>
      <c r="C319" t="inlineStr">
        <is>
          <t>Föryngringsavverkning</t>
        </is>
      </c>
      <c r="D319" s="1" t="n">
        <v>45170</v>
      </c>
      <c r="E319" s="1" t="n">
        <v>46217</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40453-2023</t>
        </is>
      </c>
      <c r="B320" t="inlineStr">
        <is>
          <t>avverkningsanmälan</t>
        </is>
      </c>
      <c r="C320" t="inlineStr">
        <is>
          <t>Föryngringsavverkning</t>
        </is>
      </c>
      <c r="D320" s="1" t="n">
        <v>45170</v>
      </c>
      <c r="E320" s="1" t="n">
        <v>46217</v>
      </c>
      <c r="F320" t="inlineStr">
        <is>
          <t>JÖNKÖPINGS LÄN</t>
        </is>
      </c>
      <c r="G320" t="inlineStr">
        <is>
          <t>VETLANDA</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3815-2022</t>
        </is>
      </c>
      <c r="B321" t="inlineStr">
        <is>
          <t>avverkningsanmälan</t>
        </is>
      </c>
      <c r="C321" t="inlineStr">
        <is>
          <t>Föryngringsavverkning</t>
        </is>
      </c>
      <c r="D321" s="1" t="n">
        <v>44587</v>
      </c>
      <c r="E321" s="1" t="n">
        <v>46217</v>
      </c>
      <c r="F321" t="inlineStr">
        <is>
          <t>JÖNKÖPINGS LÄN</t>
        </is>
      </c>
      <c r="G321" t="inlineStr">
        <is>
          <t>VETLANDA</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58578-2022</t>
        </is>
      </c>
      <c r="B322" t="inlineStr">
        <is>
          <t>avverkningsanmälan</t>
        </is>
      </c>
      <c r="C322" t="inlineStr">
        <is>
          <t>Föryngringsavverkning</t>
        </is>
      </c>
      <c r="D322" s="1" t="n">
        <v>44902</v>
      </c>
      <c r="E322" s="1" t="n">
        <v>46217</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50242-2023</t>
        </is>
      </c>
      <c r="B323" t="inlineStr">
        <is>
          <t>avverkningsanmälan</t>
        </is>
      </c>
      <c r="C323" t="inlineStr">
        <is>
          <t>Föryngringsavverkning</t>
        </is>
      </c>
      <c r="D323" s="1" t="n">
        <v>45216</v>
      </c>
      <c r="E323" s="1" t="n">
        <v>46217</v>
      </c>
      <c r="F323" t="inlineStr">
        <is>
          <t>JÖNKÖPINGS LÄN</t>
        </is>
      </c>
      <c r="G323" t="inlineStr">
        <is>
          <t>VETLANDA</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603-2023</t>
        </is>
      </c>
      <c r="B324" t="inlineStr">
        <is>
          <t>avverkningsanmälan</t>
        </is>
      </c>
      <c r="C324" t="inlineStr">
        <is>
          <t>Föryngringsavverkning</t>
        </is>
      </c>
      <c r="D324" s="1" t="n">
        <v>44926</v>
      </c>
      <c r="E324" s="1" t="n">
        <v>46217</v>
      </c>
      <c r="F324" t="inlineStr">
        <is>
          <t>JÖNKÖPINGS LÄN</t>
        </is>
      </c>
      <c r="G324" t="inlineStr">
        <is>
          <t>VETLANDA</t>
        </is>
      </c>
      <c r="I324" t="n">
        <v>7.2</v>
      </c>
      <c r="J324" t="n">
        <v>0</v>
      </c>
      <c r="K324" t="n">
        <v>0</v>
      </c>
      <c r="L324" t="n">
        <v>0</v>
      </c>
      <c r="M324" t="n">
        <v>0</v>
      </c>
      <c r="N324" t="n">
        <v>0</v>
      </c>
      <c r="O324" t="n">
        <v>0</v>
      </c>
      <c r="P324" t="n">
        <v>0</v>
      </c>
      <c r="Q324" t="n">
        <v>0</v>
      </c>
      <c r="R324" t="n">
        <v>0</v>
      </c>
      <c r="S324" t="n">
        <v>0</v>
      </c>
      <c r="T324" t="n">
        <v>0</v>
      </c>
      <c r="U324" s="2" t="inlineStr"/>
    </row>
    <row r="325" ht="15" customHeight="1">
      <c r="A325" t="inlineStr">
        <is>
          <t>A 606-2023</t>
        </is>
      </c>
      <c r="B325" t="inlineStr">
        <is>
          <t>avverkningsanmälan</t>
        </is>
      </c>
      <c r="C325" t="inlineStr">
        <is>
          <t>Föryngringsavverkning</t>
        </is>
      </c>
      <c r="D325" s="1" t="n">
        <v>44926</v>
      </c>
      <c r="E325" s="1" t="n">
        <v>46217</v>
      </c>
      <c r="F325" t="inlineStr">
        <is>
          <t>JÖNKÖPINGS LÄN</t>
        </is>
      </c>
      <c r="G325" t="inlineStr">
        <is>
          <t>VETLANDA</t>
        </is>
      </c>
      <c r="I325" t="n">
        <v>3.4</v>
      </c>
      <c r="J325" t="n">
        <v>0</v>
      </c>
      <c r="K325" t="n">
        <v>0</v>
      </c>
      <c r="L325" t="n">
        <v>0</v>
      </c>
      <c r="M325" t="n">
        <v>0</v>
      </c>
      <c r="N325" t="n">
        <v>0</v>
      </c>
      <c r="O325" t="n">
        <v>0</v>
      </c>
      <c r="P325" t="n">
        <v>0</v>
      </c>
      <c r="Q325" t="n">
        <v>0</v>
      </c>
      <c r="R325" t="n">
        <v>0</v>
      </c>
      <c r="S325" t="n">
        <v>0</v>
      </c>
      <c r="T325" t="n">
        <v>0</v>
      </c>
      <c r="U325" s="2" t="inlineStr"/>
    </row>
    <row r="326" ht="15" customHeight="1">
      <c r="A326" t="inlineStr">
        <is>
          <t>A 25216-2024</t>
        </is>
      </c>
      <c r="B326" t="inlineStr">
        <is>
          <t>avverkningsanmälan</t>
        </is>
      </c>
      <c r="C326" t="inlineStr">
        <is>
          <t>Föryngringsavverkning</t>
        </is>
      </c>
      <c r="D326" s="1" t="n">
        <v>45462</v>
      </c>
      <c r="E326" s="1" t="n">
        <v>46217</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33416-2024</t>
        </is>
      </c>
      <c r="B327" t="inlineStr">
        <is>
          <t>avverkningsanmälan</t>
        </is>
      </c>
      <c r="C327" t="inlineStr">
        <is>
          <t>Föryngringsavverkning</t>
        </is>
      </c>
      <c r="D327" s="1" t="n">
        <v>45519</v>
      </c>
      <c r="E327" s="1" t="n">
        <v>46217</v>
      </c>
      <c r="F327" t="inlineStr">
        <is>
          <t>JÖNKÖPINGS LÄN</t>
        </is>
      </c>
      <c r="G327" t="inlineStr">
        <is>
          <t>VETLANDA</t>
        </is>
      </c>
      <c r="I327" t="n">
        <v>2</v>
      </c>
      <c r="J327" t="n">
        <v>0</v>
      </c>
      <c r="K327" t="n">
        <v>0</v>
      </c>
      <c r="L327" t="n">
        <v>0</v>
      </c>
      <c r="M327" t="n">
        <v>0</v>
      </c>
      <c r="N327" t="n">
        <v>0</v>
      </c>
      <c r="O327" t="n">
        <v>0</v>
      </c>
      <c r="P327" t="n">
        <v>0</v>
      </c>
      <c r="Q327" t="n">
        <v>0</v>
      </c>
      <c r="R327" t="n">
        <v>0</v>
      </c>
      <c r="S327" t="n">
        <v>0</v>
      </c>
      <c r="T327" t="n">
        <v>0</v>
      </c>
      <c r="U327" s="2" t="inlineStr"/>
    </row>
    <row r="328" ht="15" customHeight="1">
      <c r="A328" t="inlineStr">
        <is>
          <t>A 5194-2025</t>
        </is>
      </c>
      <c r="B328" t="inlineStr">
        <is>
          <t>avverkningsanmälan</t>
        </is>
      </c>
      <c r="C328" t="inlineStr">
        <is>
          <t>Föryngringsavverkning</t>
        </is>
      </c>
      <c r="D328" s="1" t="n">
        <v>45691</v>
      </c>
      <c r="E328" s="1" t="n">
        <v>46217</v>
      </c>
      <c r="F328" t="inlineStr">
        <is>
          <t>JÖNKÖPINGS LÄN</t>
        </is>
      </c>
      <c r="G328" t="inlineStr">
        <is>
          <t>VETLANDA</t>
        </is>
      </c>
      <c r="I328" t="n">
        <v>3.7</v>
      </c>
      <c r="J328" t="n">
        <v>0</v>
      </c>
      <c r="K328" t="n">
        <v>0</v>
      </c>
      <c r="L328" t="n">
        <v>0</v>
      </c>
      <c r="M328" t="n">
        <v>0</v>
      </c>
      <c r="N328" t="n">
        <v>0</v>
      </c>
      <c r="O328" t="n">
        <v>0</v>
      </c>
      <c r="P328" t="n">
        <v>0</v>
      </c>
      <c r="Q328" t="n">
        <v>0</v>
      </c>
      <c r="R328" t="n">
        <v>0</v>
      </c>
      <c r="S328" t="n">
        <v>0</v>
      </c>
      <c r="T328" t="n">
        <v>0</v>
      </c>
      <c r="U328" s="2" t="inlineStr"/>
    </row>
    <row r="329" ht="15" customHeight="1">
      <c r="A329" t="inlineStr">
        <is>
          <t>A 3536-2023</t>
        </is>
      </c>
      <c r="B329" t="inlineStr">
        <is>
          <t>avverkningsanmälan</t>
        </is>
      </c>
      <c r="C329" t="inlineStr">
        <is>
          <t>Föryngringsavverkning</t>
        </is>
      </c>
      <c r="D329" s="1" t="n">
        <v>44946</v>
      </c>
      <c r="E329" s="1" t="n">
        <v>46217</v>
      </c>
      <c r="F329" t="inlineStr">
        <is>
          <t>JÖNKÖPINGS LÄN</t>
        </is>
      </c>
      <c r="G329" t="inlineStr">
        <is>
          <t>VETLANDA</t>
        </is>
      </c>
      <c r="I329" t="n">
        <v>3.8</v>
      </c>
      <c r="J329" t="n">
        <v>0</v>
      </c>
      <c r="K329" t="n">
        <v>0</v>
      </c>
      <c r="L329" t="n">
        <v>0</v>
      </c>
      <c r="M329" t="n">
        <v>0</v>
      </c>
      <c r="N329" t="n">
        <v>0</v>
      </c>
      <c r="O329" t="n">
        <v>0</v>
      </c>
      <c r="P329" t="n">
        <v>0</v>
      </c>
      <c r="Q329" t="n">
        <v>0</v>
      </c>
      <c r="R329" t="n">
        <v>0</v>
      </c>
      <c r="S329" t="n">
        <v>0</v>
      </c>
      <c r="T329" t="n">
        <v>0</v>
      </c>
      <c r="U329" s="2" t="inlineStr"/>
    </row>
    <row r="330" ht="15" customHeight="1">
      <c r="A330" t="inlineStr">
        <is>
          <t>A 14639-2025</t>
        </is>
      </c>
      <c r="B330" t="inlineStr">
        <is>
          <t>avverkningsanmälan</t>
        </is>
      </c>
      <c r="C330" t="inlineStr">
        <is>
          <t>Föryngringsavverkning</t>
        </is>
      </c>
      <c r="D330" s="1" t="n">
        <v>45742</v>
      </c>
      <c r="E330" s="1" t="n">
        <v>46217</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41877-2024</t>
        </is>
      </c>
      <c r="B331" t="inlineStr">
        <is>
          <t>avverkningsanmälan</t>
        </is>
      </c>
      <c r="C331" t="inlineStr">
        <is>
          <t>Föryngringsavverkning</t>
        </is>
      </c>
      <c r="D331" s="1" t="n">
        <v>45561</v>
      </c>
      <c r="E331" s="1" t="n">
        <v>46217</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16796-2023</t>
        </is>
      </c>
      <c r="B332" t="inlineStr">
        <is>
          <t>avverkningsanmälan</t>
        </is>
      </c>
      <c r="C332" t="inlineStr">
        <is>
          <t>Föryngringsavverkning</t>
        </is>
      </c>
      <c r="D332" s="1" t="n">
        <v>45033</v>
      </c>
      <c r="E332" s="1" t="n">
        <v>46217</v>
      </c>
      <c r="F332" t="inlineStr">
        <is>
          <t>JÖNKÖPINGS LÄN</t>
        </is>
      </c>
      <c r="G332" t="inlineStr">
        <is>
          <t>VETLANDA</t>
        </is>
      </c>
      <c r="I332" t="n">
        <v>4.6</v>
      </c>
      <c r="J332" t="n">
        <v>0</v>
      </c>
      <c r="K332" t="n">
        <v>0</v>
      </c>
      <c r="L332" t="n">
        <v>0</v>
      </c>
      <c r="M332" t="n">
        <v>0</v>
      </c>
      <c r="N332" t="n">
        <v>0</v>
      </c>
      <c r="O332" t="n">
        <v>0</v>
      </c>
      <c r="P332" t="n">
        <v>0</v>
      </c>
      <c r="Q332" t="n">
        <v>0</v>
      </c>
      <c r="R332" t="n">
        <v>0</v>
      </c>
      <c r="S332" t="n">
        <v>0</v>
      </c>
      <c r="T332" t="n">
        <v>0</v>
      </c>
      <c r="U332" s="2" t="inlineStr"/>
    </row>
    <row r="333" ht="15" customHeight="1">
      <c r="A333" t="inlineStr">
        <is>
          <t>A 42431-2024</t>
        </is>
      </c>
      <c r="B333" t="inlineStr">
        <is>
          <t>avverkningsanmälan</t>
        </is>
      </c>
      <c r="C333" t="inlineStr">
        <is>
          <t>Föryngringsavverkning</t>
        </is>
      </c>
      <c r="D333" s="1" t="n">
        <v>45563</v>
      </c>
      <c r="E333" s="1" t="n">
        <v>46217</v>
      </c>
      <c r="F333" t="inlineStr">
        <is>
          <t>JÖNKÖPINGS LÄN</t>
        </is>
      </c>
      <c r="G333" t="inlineStr">
        <is>
          <t>VETLANDA</t>
        </is>
      </c>
      <c r="H333" t="inlineStr">
        <is>
          <t>Kyrkan</t>
        </is>
      </c>
      <c r="I333" t="n">
        <v>3.2</v>
      </c>
      <c r="J333" t="n">
        <v>0</v>
      </c>
      <c r="K333" t="n">
        <v>0</v>
      </c>
      <c r="L333" t="n">
        <v>0</v>
      </c>
      <c r="M333" t="n">
        <v>0</v>
      </c>
      <c r="N333" t="n">
        <v>0</v>
      </c>
      <c r="O333" t="n">
        <v>0</v>
      </c>
      <c r="P333" t="n">
        <v>0</v>
      </c>
      <c r="Q333" t="n">
        <v>0</v>
      </c>
      <c r="R333" t="n">
        <v>0</v>
      </c>
      <c r="S333" t="n">
        <v>0</v>
      </c>
      <c r="T333" t="n">
        <v>0</v>
      </c>
      <c r="U333" s="2" t="inlineStr"/>
    </row>
    <row r="334" ht="15" customHeight="1">
      <c r="A334" t="inlineStr">
        <is>
          <t>A 30522-2024</t>
        </is>
      </c>
      <c r="B334" t="inlineStr">
        <is>
          <t>avverkningsanmälan</t>
        </is>
      </c>
      <c r="C334" t="inlineStr">
        <is>
          <t>Föryngringsavverkning</t>
        </is>
      </c>
      <c r="D334" s="1" t="n">
        <v>45492</v>
      </c>
      <c r="E334" s="1" t="n">
        <v>46217</v>
      </c>
      <c r="F334" t="inlineStr">
        <is>
          <t>JÖNKÖPINGS LÄN</t>
        </is>
      </c>
      <c r="G334" t="inlineStr">
        <is>
          <t>VETLANDA</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15929-2023</t>
        </is>
      </c>
      <c r="B335" t="inlineStr">
        <is>
          <t>avverkningsanmälan</t>
        </is>
      </c>
      <c r="C335" t="inlineStr">
        <is>
          <t>Föryngringsavverkning</t>
        </is>
      </c>
      <c r="D335" s="1" t="n">
        <v>45022</v>
      </c>
      <c r="E335" s="1" t="n">
        <v>46217</v>
      </c>
      <c r="F335" t="inlineStr">
        <is>
          <t>JÖNKÖPINGS LÄN</t>
        </is>
      </c>
      <c r="G335" t="inlineStr">
        <is>
          <t>VETLANDA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7710-2025</t>
        </is>
      </c>
      <c r="B336" t="inlineStr">
        <is>
          <t>avverkningsanmälan</t>
        </is>
      </c>
      <c r="C336" t="inlineStr">
        <is>
          <t>Föryngringsavverkning</t>
        </is>
      </c>
      <c r="D336" s="1" t="n">
        <v>45706</v>
      </c>
      <c r="E336" s="1" t="n">
        <v>46217</v>
      </c>
      <c r="F336" t="inlineStr">
        <is>
          <t>JÖNKÖPINGS LÄN</t>
        </is>
      </c>
      <c r="G336" t="inlineStr">
        <is>
          <t>VETLANDA</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38155-2024</t>
        </is>
      </c>
      <c r="B337" t="inlineStr">
        <is>
          <t>avverkningsanmälan</t>
        </is>
      </c>
      <c r="C337" t="inlineStr">
        <is>
          <t>Föryngringsavverkning</t>
        </is>
      </c>
      <c r="D337" s="1" t="n">
        <v>45545</v>
      </c>
      <c r="E337" s="1" t="n">
        <v>46217</v>
      </c>
      <c r="F337" t="inlineStr">
        <is>
          <t>JÖNKÖPINGS LÄN</t>
        </is>
      </c>
      <c r="G337" t="inlineStr">
        <is>
          <t>VETLANDA</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2977-2025</t>
        </is>
      </c>
      <c r="B338" t="inlineStr">
        <is>
          <t>avverkningsanmälan</t>
        </is>
      </c>
      <c r="C338" t="inlineStr">
        <is>
          <t>Föryngringsavverkning</t>
        </is>
      </c>
      <c r="D338" s="1" t="n">
        <v>45678</v>
      </c>
      <c r="E338" s="1" t="n">
        <v>46217</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6240-2022</t>
        </is>
      </c>
      <c r="B339" t="inlineStr">
        <is>
          <t>avverkningsanmälan</t>
        </is>
      </c>
      <c r="C339" t="inlineStr">
        <is>
          <t>Föryngringsavverkning</t>
        </is>
      </c>
      <c r="D339" s="1" t="n">
        <v>44600</v>
      </c>
      <c r="E339" s="1" t="n">
        <v>46217</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404-2025</t>
        </is>
      </c>
      <c r="B340" t="inlineStr">
        <is>
          <t>avverkningsanmälan</t>
        </is>
      </c>
      <c r="C340" t="inlineStr">
        <is>
          <t>Föryngringsavverkning</t>
        </is>
      </c>
      <c r="D340" s="1" t="n">
        <v>45663</v>
      </c>
      <c r="E340" s="1" t="n">
        <v>46217</v>
      </c>
      <c r="F340" t="inlineStr">
        <is>
          <t>JÖNKÖPINGS LÄN</t>
        </is>
      </c>
      <c r="G340" t="inlineStr">
        <is>
          <t>VETLANDA</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29810-2023</t>
        </is>
      </c>
      <c r="B341" t="inlineStr">
        <is>
          <t>avverkningsanmälan</t>
        </is>
      </c>
      <c r="C341" t="inlineStr">
        <is>
          <t>Föryngringsavverkning</t>
        </is>
      </c>
      <c r="D341" s="1" t="n">
        <v>45107</v>
      </c>
      <c r="E341" s="1" t="n">
        <v>46217</v>
      </c>
      <c r="F341" t="inlineStr">
        <is>
          <t>JÖNKÖPINGS LÄN</t>
        </is>
      </c>
      <c r="G341" t="inlineStr">
        <is>
          <t>VETLANDA</t>
        </is>
      </c>
      <c r="I341" t="n">
        <v>3.5</v>
      </c>
      <c r="J341" t="n">
        <v>0</v>
      </c>
      <c r="K341" t="n">
        <v>0</v>
      </c>
      <c r="L341" t="n">
        <v>0</v>
      </c>
      <c r="M341" t="n">
        <v>0</v>
      </c>
      <c r="N341" t="n">
        <v>0</v>
      </c>
      <c r="O341" t="n">
        <v>0</v>
      </c>
      <c r="P341" t="n">
        <v>0</v>
      </c>
      <c r="Q341" t="n">
        <v>0</v>
      </c>
      <c r="R341" t="n">
        <v>0</v>
      </c>
      <c r="S341" t="n">
        <v>0</v>
      </c>
      <c r="T341" t="n">
        <v>0</v>
      </c>
      <c r="U341" s="2" t="inlineStr"/>
    </row>
    <row r="342" ht="15" customHeight="1">
      <c r="A342" t="inlineStr">
        <is>
          <t>A 53324-2023</t>
        </is>
      </c>
      <c r="B342" t="inlineStr">
        <is>
          <t>avverkningsanmälan</t>
        </is>
      </c>
      <c r="C342" t="inlineStr">
        <is>
          <t>Föryngringsavverkning</t>
        </is>
      </c>
      <c r="D342" s="1" t="n">
        <v>45222</v>
      </c>
      <c r="E342" s="1" t="n">
        <v>46217</v>
      </c>
      <c r="F342" t="inlineStr">
        <is>
          <t>JÖNKÖPINGS LÄN</t>
        </is>
      </c>
      <c r="G342" t="inlineStr">
        <is>
          <t>VETLANDA</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12665-2022</t>
        </is>
      </c>
      <c r="B343" t="inlineStr">
        <is>
          <t>avverkningsanmälan</t>
        </is>
      </c>
      <c r="C343" t="inlineStr">
        <is>
          <t>Föryngringsavverkning</t>
        </is>
      </c>
      <c r="D343" s="1" t="n">
        <v>44641</v>
      </c>
      <c r="E343" s="1" t="n">
        <v>46217</v>
      </c>
      <c r="F343" t="inlineStr">
        <is>
          <t>JÖNKÖPINGS LÄN</t>
        </is>
      </c>
      <c r="G343" t="inlineStr">
        <is>
          <t>VETLANDA</t>
        </is>
      </c>
      <c r="I343" t="n">
        <v>1.6</v>
      </c>
      <c r="J343" t="n">
        <v>0</v>
      </c>
      <c r="K343" t="n">
        <v>0</v>
      </c>
      <c r="L343" t="n">
        <v>0</v>
      </c>
      <c r="M343" t="n">
        <v>0</v>
      </c>
      <c r="N343" t="n">
        <v>0</v>
      </c>
      <c r="O343" t="n">
        <v>0</v>
      </c>
      <c r="P343" t="n">
        <v>0</v>
      </c>
      <c r="Q343" t="n">
        <v>0</v>
      </c>
      <c r="R343" t="n">
        <v>0</v>
      </c>
      <c r="S343" t="n">
        <v>0</v>
      </c>
      <c r="T343" t="n">
        <v>0</v>
      </c>
      <c r="U343" s="2" t="inlineStr"/>
    </row>
    <row r="344" ht="15" customHeight="1">
      <c r="A344" t="inlineStr">
        <is>
          <t>A 7091-2023</t>
        </is>
      </c>
      <c r="B344" t="inlineStr">
        <is>
          <t>avverkningsanmälan</t>
        </is>
      </c>
      <c r="C344" t="inlineStr">
        <is>
          <t>Avverkning för att bevara och utveckla /försöksver</t>
        </is>
      </c>
      <c r="D344" s="1" t="n">
        <v>44965</v>
      </c>
      <c r="E344" s="1" t="n">
        <v>46217</v>
      </c>
      <c r="F344" t="inlineStr">
        <is>
          <t>JÖNKÖPINGS LÄN</t>
        </is>
      </c>
      <c r="G344" t="inlineStr">
        <is>
          <t>VETLANDA</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2919-2023</t>
        </is>
      </c>
      <c r="B345" t="inlineStr">
        <is>
          <t>avverkningsanmälan</t>
        </is>
      </c>
      <c r="C345" t="inlineStr">
        <is>
          <t>Föryngringsavverkning</t>
        </is>
      </c>
      <c r="D345" s="1" t="n">
        <v>44945</v>
      </c>
      <c r="E345" s="1" t="n">
        <v>46217</v>
      </c>
      <c r="F345" t="inlineStr">
        <is>
          <t>JÖNKÖPINGS LÄN</t>
        </is>
      </c>
      <c r="G345" t="inlineStr">
        <is>
          <t>VETLANDA</t>
        </is>
      </c>
      <c r="I345" t="n">
        <v>8</v>
      </c>
      <c r="J345" t="n">
        <v>0</v>
      </c>
      <c r="K345" t="n">
        <v>0</v>
      </c>
      <c r="L345" t="n">
        <v>0</v>
      </c>
      <c r="M345" t="n">
        <v>0</v>
      </c>
      <c r="N345" t="n">
        <v>0</v>
      </c>
      <c r="O345" t="n">
        <v>0</v>
      </c>
      <c r="P345" t="n">
        <v>0</v>
      </c>
      <c r="Q345" t="n">
        <v>0</v>
      </c>
      <c r="R345" t="n">
        <v>0</v>
      </c>
      <c r="S345" t="n">
        <v>0</v>
      </c>
      <c r="T345" t="n">
        <v>0</v>
      </c>
      <c r="U345" s="2" t="inlineStr"/>
    </row>
    <row r="346" ht="15" customHeight="1">
      <c r="A346" t="inlineStr">
        <is>
          <t>A 22715-2024</t>
        </is>
      </c>
      <c r="B346" t="inlineStr">
        <is>
          <t>avverkningsanmälan</t>
        </is>
      </c>
      <c r="C346" t="inlineStr">
        <is>
          <t>Föryngringsavverkning</t>
        </is>
      </c>
      <c r="D346" s="1" t="n">
        <v>45448</v>
      </c>
      <c r="E346" s="1" t="n">
        <v>46217</v>
      </c>
      <c r="F346" t="inlineStr">
        <is>
          <t>JÖNKÖPINGS LÄN</t>
        </is>
      </c>
      <c r="G346" t="inlineStr">
        <is>
          <t>VETLANDA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48885-2023</t>
        </is>
      </c>
      <c r="B347" t="inlineStr">
        <is>
          <t>avverkningsanmälan</t>
        </is>
      </c>
      <c r="C347" t="inlineStr">
        <is>
          <t>Föryngringsavverkning</t>
        </is>
      </c>
      <c r="D347" s="1" t="n">
        <v>45209</v>
      </c>
      <c r="E347" s="1" t="n">
        <v>46217</v>
      </c>
      <c r="F347" t="inlineStr">
        <is>
          <t>JÖNKÖPINGS LÄN</t>
        </is>
      </c>
      <c r="G347" t="inlineStr">
        <is>
          <t>VETLANDA</t>
        </is>
      </c>
      <c r="I347" t="n">
        <v>7.1</v>
      </c>
      <c r="J347" t="n">
        <v>0</v>
      </c>
      <c r="K347" t="n">
        <v>0</v>
      </c>
      <c r="L347" t="n">
        <v>0</v>
      </c>
      <c r="M347" t="n">
        <v>0</v>
      </c>
      <c r="N347" t="n">
        <v>0</v>
      </c>
      <c r="O347" t="n">
        <v>0</v>
      </c>
      <c r="P347" t="n">
        <v>0</v>
      </c>
      <c r="Q347" t="n">
        <v>0</v>
      </c>
      <c r="R347" t="n">
        <v>0</v>
      </c>
      <c r="S347" t="n">
        <v>0</v>
      </c>
      <c r="T347" t="n">
        <v>0</v>
      </c>
      <c r="U347" s="2" t="inlineStr"/>
    </row>
    <row r="348" ht="15" customHeight="1">
      <c r="A348" t="inlineStr">
        <is>
          <t>A 61449-2022</t>
        </is>
      </c>
      <c r="B348" t="inlineStr">
        <is>
          <t>avverkningsanmälan</t>
        </is>
      </c>
      <c r="C348" t="inlineStr">
        <is>
          <t>Föryngringsavverkning</t>
        </is>
      </c>
      <c r="D348" s="1" t="n">
        <v>44916</v>
      </c>
      <c r="E348" s="1" t="n">
        <v>46217</v>
      </c>
      <c r="F348" t="inlineStr">
        <is>
          <t>JÖNKÖPINGS LÄN</t>
        </is>
      </c>
      <c r="G348" t="inlineStr">
        <is>
          <t>VETLANDA</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46275-2021</t>
        </is>
      </c>
      <c r="B349" t="inlineStr">
        <is>
          <t>avverkningsanmälan</t>
        </is>
      </c>
      <c r="C349" t="inlineStr">
        <is>
          <t>Föryngringsavverkning</t>
        </is>
      </c>
      <c r="D349" s="1" t="n">
        <v>44442</v>
      </c>
      <c r="E349" s="1" t="n">
        <v>46217</v>
      </c>
      <c r="F349" t="inlineStr">
        <is>
          <t>JÖNKÖPINGS LÄN</t>
        </is>
      </c>
      <c r="G349" t="inlineStr">
        <is>
          <t>VETLANDA</t>
        </is>
      </c>
      <c r="I349" t="n">
        <v>8.800000000000001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22721-2024</t>
        </is>
      </c>
      <c r="B350" t="inlineStr">
        <is>
          <t>avverkningsanmälan</t>
        </is>
      </c>
      <c r="C350" t="inlineStr">
        <is>
          <t>Föryngringsavverkning</t>
        </is>
      </c>
      <c r="D350" s="1" t="n">
        <v>45448</v>
      </c>
      <c r="E350" s="1" t="n">
        <v>46217</v>
      </c>
      <c r="F350" t="inlineStr">
        <is>
          <t>JÖNKÖPINGS LÄN</t>
        </is>
      </c>
      <c r="G350" t="inlineStr">
        <is>
          <t>VETLANDA</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61451-2022</t>
        </is>
      </c>
      <c r="B351" t="inlineStr">
        <is>
          <t>avverkningsanmälan</t>
        </is>
      </c>
      <c r="C351" t="inlineStr">
        <is>
          <t>Föryngringsavverkning</t>
        </is>
      </c>
      <c r="D351" s="1" t="n">
        <v>44916</v>
      </c>
      <c r="E351" s="1" t="n">
        <v>46217</v>
      </c>
      <c r="F351" t="inlineStr">
        <is>
          <t>JÖNKÖPINGS LÄN</t>
        </is>
      </c>
      <c r="G351" t="inlineStr">
        <is>
          <t>VETLANDA</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632-2023</t>
        </is>
      </c>
      <c r="B352" t="inlineStr">
        <is>
          <t>avverkningsanmälan</t>
        </is>
      </c>
      <c r="C352" t="inlineStr">
        <is>
          <t>Föryngringsavverkning</t>
        </is>
      </c>
      <c r="D352" s="1" t="n">
        <v>44930</v>
      </c>
      <c r="E352" s="1" t="n">
        <v>46217</v>
      </c>
      <c r="F352" t="inlineStr">
        <is>
          <t>JÖNKÖPINGS LÄN</t>
        </is>
      </c>
      <c r="G352" t="inlineStr">
        <is>
          <t>VETLANDA</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61452-2022</t>
        </is>
      </c>
      <c r="B353" t="inlineStr">
        <is>
          <t>avverkningsanmälan</t>
        </is>
      </c>
      <c r="C353" t="inlineStr">
        <is>
          <t>Föryngringsavverkning</t>
        </is>
      </c>
      <c r="D353" s="1" t="n">
        <v>44916</v>
      </c>
      <c r="E353" s="1" t="n">
        <v>46217</v>
      </c>
      <c r="F353" t="inlineStr">
        <is>
          <t>JÖNKÖPINGS LÄN</t>
        </is>
      </c>
      <c r="G353" t="inlineStr">
        <is>
          <t>VETLANDA</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13618-2023</t>
        </is>
      </c>
      <c r="B354" t="inlineStr">
        <is>
          <t>avverkningsanmälan</t>
        </is>
      </c>
      <c r="C354" t="inlineStr">
        <is>
          <t>Föryngringsavverkning</t>
        </is>
      </c>
      <c r="D354" s="1" t="n">
        <v>45006</v>
      </c>
      <c r="E354" s="1" t="n">
        <v>46217</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8613-2023</t>
        </is>
      </c>
      <c r="B355" t="inlineStr">
        <is>
          <t>avverkningsanmälan</t>
        </is>
      </c>
      <c r="C355" t="inlineStr">
        <is>
          <t>Föryngringsavverkning</t>
        </is>
      </c>
      <c r="D355" s="1" t="n">
        <v>44977</v>
      </c>
      <c r="E355" s="1" t="n">
        <v>46217</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13644-2023</t>
        </is>
      </c>
      <c r="B356" t="inlineStr">
        <is>
          <t>avverkningsanmälan</t>
        </is>
      </c>
      <c r="C356" t="inlineStr">
        <is>
          <t>Föryngringsavverkning</t>
        </is>
      </c>
      <c r="D356" s="1" t="n">
        <v>45006</v>
      </c>
      <c r="E356" s="1" t="n">
        <v>46217</v>
      </c>
      <c r="F356" t="inlineStr">
        <is>
          <t>JÖNKÖPINGS LÄN</t>
        </is>
      </c>
      <c r="G356" t="inlineStr">
        <is>
          <t>VETLANDA</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25560-2023</t>
        </is>
      </c>
      <c r="B357" t="inlineStr">
        <is>
          <t>avverkningsanmälan</t>
        </is>
      </c>
      <c r="C357" t="inlineStr">
        <is>
          <t>Föryngringsavverkning</t>
        </is>
      </c>
      <c r="D357" s="1" t="n">
        <v>45089</v>
      </c>
      <c r="E357" s="1" t="n">
        <v>46217</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48080-2024</t>
        </is>
      </c>
      <c r="B358" t="inlineStr">
        <is>
          <t>avverkningsanmälan</t>
        </is>
      </c>
      <c r="C358" t="inlineStr">
        <is>
          <t>Föryngringsavverkning</t>
        </is>
      </c>
      <c r="D358" s="1" t="n">
        <v>45589</v>
      </c>
      <c r="E358" s="1" t="n">
        <v>46217</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48100-2024</t>
        </is>
      </c>
      <c r="B359" t="inlineStr">
        <is>
          <t>avverkningsanmälan</t>
        </is>
      </c>
      <c r="C359" t="inlineStr">
        <is>
          <t>Föryngringsavverkning</t>
        </is>
      </c>
      <c r="D359" s="1" t="n">
        <v>45589</v>
      </c>
      <c r="E359" s="1" t="n">
        <v>46217</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21267-2023</t>
        </is>
      </c>
      <c r="B360" t="inlineStr">
        <is>
          <t>avverkningsanmälan</t>
        </is>
      </c>
      <c r="C360" t="inlineStr">
        <is>
          <t>Föryngringsavverkning</t>
        </is>
      </c>
      <c r="D360" s="1" t="n">
        <v>45062</v>
      </c>
      <c r="E360" s="1" t="n">
        <v>46217</v>
      </c>
      <c r="F360" t="inlineStr">
        <is>
          <t>JÖNKÖPINGS LÄN</t>
        </is>
      </c>
      <c r="G360" t="inlineStr">
        <is>
          <t>VETLANDA</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43147-2023</t>
        </is>
      </c>
      <c r="B361" t="inlineStr">
        <is>
          <t>avverkningsanmälan</t>
        </is>
      </c>
      <c r="C361" t="inlineStr">
        <is>
          <t>Föryngringsavverkning</t>
        </is>
      </c>
      <c r="D361" s="1" t="n">
        <v>45183</v>
      </c>
      <c r="E361" s="1" t="n">
        <v>46217</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43559-2023</t>
        </is>
      </c>
      <c r="B362" t="inlineStr">
        <is>
          <t>avverkningsanmälan</t>
        </is>
      </c>
      <c r="C362" t="inlineStr">
        <is>
          <t>Föryngringsavverkning</t>
        </is>
      </c>
      <c r="D362" s="1" t="n">
        <v>45184</v>
      </c>
      <c r="E362" s="1" t="n">
        <v>46217</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58572-2023</t>
        </is>
      </c>
      <c r="B363" t="inlineStr">
        <is>
          <t>avverkningsanmälan</t>
        </is>
      </c>
      <c r="C363" t="inlineStr">
        <is>
          <t>Föryngringsavverkning</t>
        </is>
      </c>
      <c r="D363" s="1" t="n">
        <v>45251</v>
      </c>
      <c r="E363" s="1" t="n">
        <v>46217</v>
      </c>
      <c r="F363" t="inlineStr">
        <is>
          <t>JÖNKÖPINGS LÄN</t>
        </is>
      </c>
      <c r="G363" t="inlineStr">
        <is>
          <t>VETLANDA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22820-2022</t>
        </is>
      </c>
      <c r="B364" t="inlineStr">
        <is>
          <t>avverkningsanmälan</t>
        </is>
      </c>
      <c r="C364" t="inlineStr">
        <is>
          <t>Föryngringsavverkning</t>
        </is>
      </c>
      <c r="D364" s="1" t="n">
        <v>44715</v>
      </c>
      <c r="E364" s="1" t="n">
        <v>46217</v>
      </c>
      <c r="F364" t="inlineStr">
        <is>
          <t>JÖNKÖPINGS LÄN</t>
        </is>
      </c>
      <c r="G364" t="inlineStr">
        <is>
          <t>VETLANDA</t>
        </is>
      </c>
      <c r="I364" t="n">
        <v>3</v>
      </c>
      <c r="J364" t="n">
        <v>0</v>
      </c>
      <c r="K364" t="n">
        <v>0</v>
      </c>
      <c r="L364" t="n">
        <v>0</v>
      </c>
      <c r="M364" t="n">
        <v>0</v>
      </c>
      <c r="N364" t="n">
        <v>0</v>
      </c>
      <c r="O364" t="n">
        <v>0</v>
      </c>
      <c r="P364" t="n">
        <v>0</v>
      </c>
      <c r="Q364" t="n">
        <v>0</v>
      </c>
      <c r="R364" t="n">
        <v>0</v>
      </c>
      <c r="S364" t="n">
        <v>0</v>
      </c>
      <c r="T364" t="n">
        <v>0</v>
      </c>
      <c r="U364" s="2" t="inlineStr"/>
    </row>
    <row r="365" ht="15" customHeight="1">
      <c r="A365" t="inlineStr">
        <is>
          <t>A 39193-2023</t>
        </is>
      </c>
      <c r="B365" t="inlineStr">
        <is>
          <t>avverkningsanmälan</t>
        </is>
      </c>
      <c r="C365" t="inlineStr">
        <is>
          <t>Föryngringsavverkning</t>
        </is>
      </c>
      <c r="D365" s="1" t="n">
        <v>45162</v>
      </c>
      <c r="E365" s="1" t="n">
        <v>46217</v>
      </c>
      <c r="F365" t="inlineStr">
        <is>
          <t>JÖNKÖPINGS LÄN</t>
        </is>
      </c>
      <c r="G365" t="inlineStr">
        <is>
          <t>VETLANDA</t>
        </is>
      </c>
      <c r="I365" t="n">
        <v>4.5</v>
      </c>
      <c r="J365" t="n">
        <v>0</v>
      </c>
      <c r="K365" t="n">
        <v>0</v>
      </c>
      <c r="L365" t="n">
        <v>0</v>
      </c>
      <c r="M365" t="n">
        <v>0</v>
      </c>
      <c r="N365" t="n">
        <v>0</v>
      </c>
      <c r="O365" t="n">
        <v>0</v>
      </c>
      <c r="P365" t="n">
        <v>0</v>
      </c>
      <c r="Q365" t="n">
        <v>0</v>
      </c>
      <c r="R365" t="n">
        <v>0</v>
      </c>
      <c r="S365" t="n">
        <v>0</v>
      </c>
      <c r="T365" t="n">
        <v>0</v>
      </c>
      <c r="U365" s="2" t="inlineStr"/>
    </row>
    <row r="366" ht="15" customHeight="1">
      <c r="A366" t="inlineStr">
        <is>
          <t>A 36935-2025</t>
        </is>
      </c>
      <c r="B366" t="inlineStr">
        <is>
          <t>avverkningsanmälan</t>
        </is>
      </c>
      <c r="C366" t="inlineStr">
        <is>
          <t>Föryngringsavverkning</t>
        </is>
      </c>
      <c r="D366" s="1" t="n">
        <v>45874</v>
      </c>
      <c r="E366" s="1" t="n">
        <v>46217</v>
      </c>
      <c r="F366" t="inlineStr">
        <is>
          <t>JÖNKÖPINGS LÄN</t>
        </is>
      </c>
      <c r="G366" t="inlineStr">
        <is>
          <t>VETLANDA</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38605-2025</t>
        </is>
      </c>
      <c r="B367" t="inlineStr">
        <is>
          <t>avverkningsanmälan</t>
        </is>
      </c>
      <c r="C367" t="inlineStr">
        <is>
          <t>Föryngringsavverkning</t>
        </is>
      </c>
      <c r="D367" s="1" t="n">
        <v>45884</v>
      </c>
      <c r="E367" s="1" t="n">
        <v>46217</v>
      </c>
      <c r="F367" t="inlineStr">
        <is>
          <t>JÖNKÖPINGS LÄN</t>
        </is>
      </c>
      <c r="G367" t="inlineStr">
        <is>
          <t>VETLANDA</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62324-2025</t>
        </is>
      </c>
      <c r="B368" t="inlineStr">
        <is>
          <t>avverkningsanmälan</t>
        </is>
      </c>
      <c r="C368" t="inlineStr">
        <is>
          <t>Föryngringsavverkning</t>
        </is>
      </c>
      <c r="D368" s="1" t="n">
        <v>46006</v>
      </c>
      <c r="E368" s="1" t="n">
        <v>46217</v>
      </c>
      <c r="F368" t="inlineStr">
        <is>
          <t>JÖNKÖPINGS LÄN</t>
        </is>
      </c>
      <c r="G368" t="inlineStr">
        <is>
          <t>VETLANDA</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36630-2023</t>
        </is>
      </c>
      <c r="B369" t="inlineStr">
        <is>
          <t>avverkningsanmälan</t>
        </is>
      </c>
      <c r="C369" t="inlineStr">
        <is>
          <t>Föryngringsavverkning</t>
        </is>
      </c>
      <c r="D369" s="1" t="n">
        <v>45153</v>
      </c>
      <c r="E369" s="1" t="n">
        <v>46217</v>
      </c>
      <c r="F369" t="inlineStr">
        <is>
          <t>JÖNKÖPINGS LÄN</t>
        </is>
      </c>
      <c r="G369" t="inlineStr">
        <is>
          <t>VETLANDA</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19444-2022</t>
        </is>
      </c>
      <c r="B370" t="inlineStr">
        <is>
          <t>avverkningsanmälan</t>
        </is>
      </c>
      <c r="C370" t="inlineStr">
        <is>
          <t>Föryngringsavverkning</t>
        </is>
      </c>
      <c r="D370" s="1" t="n">
        <v>44693</v>
      </c>
      <c r="E370" s="1" t="n">
        <v>46217</v>
      </c>
      <c r="F370" t="inlineStr">
        <is>
          <t>JÖNKÖPINGS LÄN</t>
        </is>
      </c>
      <c r="G370" t="inlineStr">
        <is>
          <t>VETLANDA</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37142-2025</t>
        </is>
      </c>
      <c r="B371" t="inlineStr">
        <is>
          <t>avverkningsanmälan</t>
        </is>
      </c>
      <c r="C371" t="inlineStr">
        <is>
          <t>Föryngringsavverkning</t>
        </is>
      </c>
      <c r="D371" s="1" t="n">
        <v>45875</v>
      </c>
      <c r="E371" s="1" t="n">
        <v>46217</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39990-2025</t>
        </is>
      </c>
      <c r="B372" t="inlineStr">
        <is>
          <t>avverkningsanmälan</t>
        </is>
      </c>
      <c r="C372" t="inlineStr">
        <is>
          <t>Föryngringsavverkning</t>
        </is>
      </c>
      <c r="D372" s="1" t="n">
        <v>45891</v>
      </c>
      <c r="E372" s="1" t="n">
        <v>46217</v>
      </c>
      <c r="F372" t="inlineStr">
        <is>
          <t>JÖNKÖPINGS LÄN</t>
        </is>
      </c>
      <c r="G372" t="inlineStr">
        <is>
          <t>VETLANDA</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37143-2025</t>
        </is>
      </c>
      <c r="B373" t="inlineStr">
        <is>
          <t>avverkningsanmälan</t>
        </is>
      </c>
      <c r="C373" t="inlineStr">
        <is>
          <t>Föryngringsavverkning</t>
        </is>
      </c>
      <c r="D373" s="1" t="n">
        <v>45875</v>
      </c>
      <c r="E373" s="1" t="n">
        <v>46217</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37144-2025</t>
        </is>
      </c>
      <c r="B374" t="inlineStr">
        <is>
          <t>avverkningsanmälan</t>
        </is>
      </c>
      <c r="C374" t="inlineStr">
        <is>
          <t>Föryngringsavverkning</t>
        </is>
      </c>
      <c r="D374" s="1" t="n">
        <v>45875</v>
      </c>
      <c r="E374" s="1" t="n">
        <v>46217</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2671-2026</t>
        </is>
      </c>
      <c r="B375" t="inlineStr">
        <is>
          <t>avverkningsanmälan</t>
        </is>
      </c>
      <c r="C375" t="inlineStr">
        <is>
          <t>Föryngringsavverkning</t>
        </is>
      </c>
      <c r="D375" s="1" t="n">
        <v>46037</v>
      </c>
      <c r="E375" s="1" t="n">
        <v>46217</v>
      </c>
      <c r="F375" t="inlineStr">
        <is>
          <t>JÖNKÖPINGS LÄN</t>
        </is>
      </c>
      <c r="G375" t="inlineStr">
        <is>
          <t>VETLANDA</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25548-2026</t>
        </is>
      </c>
      <c r="B376" t="inlineStr">
        <is>
          <t>avverkningsanmälan</t>
        </is>
      </c>
      <c r="C376" t="inlineStr">
        <is>
          <t>Föryngringsavverkning</t>
        </is>
      </c>
      <c r="D376" s="1" t="n">
        <v>46177</v>
      </c>
      <c r="E376" s="1" t="n">
        <v>46217</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16478-2026</t>
        </is>
      </c>
      <c r="B377" t="inlineStr">
        <is>
          <t>avverkningsanmälan</t>
        </is>
      </c>
      <c r="C377" t="inlineStr">
        <is>
          <t>Avverkning för annat ändamål</t>
        </is>
      </c>
      <c r="D377" s="1" t="n">
        <v>46112</v>
      </c>
      <c r="E377" s="1" t="n">
        <v>46217</v>
      </c>
      <c r="F377" t="inlineStr">
        <is>
          <t>JÖNKÖPINGS LÄN</t>
        </is>
      </c>
      <c r="G377" t="inlineStr">
        <is>
          <t>VETLANDA</t>
        </is>
      </c>
      <c r="H377" t="inlineStr">
        <is>
          <t>Kommuner</t>
        </is>
      </c>
      <c r="I377" t="n">
        <v>11.1</v>
      </c>
      <c r="J377" t="n">
        <v>0</v>
      </c>
      <c r="K377" t="n">
        <v>0</v>
      </c>
      <c r="L377" t="n">
        <v>0</v>
      </c>
      <c r="M377" t="n">
        <v>0</v>
      </c>
      <c r="N377" t="n">
        <v>0</v>
      </c>
      <c r="O377" t="n">
        <v>0</v>
      </c>
      <c r="P377" t="n">
        <v>0</v>
      </c>
      <c r="Q377" t="n">
        <v>0</v>
      </c>
      <c r="R377" t="n">
        <v>0</v>
      </c>
      <c r="S377" t="n">
        <v>0</v>
      </c>
      <c r="T377" t="n">
        <v>0</v>
      </c>
      <c r="U377" s="2" t="inlineStr"/>
    </row>
    <row r="378" ht="15" customHeight="1">
      <c r="A378" t="inlineStr">
        <is>
          <t>A 64613-2023</t>
        </is>
      </c>
      <c r="B378" t="inlineStr">
        <is>
          <t>avverkningsanmälan</t>
        </is>
      </c>
      <c r="C378" t="inlineStr">
        <is>
          <t>Föryngringsavverkning</t>
        </is>
      </c>
      <c r="D378" s="1" t="n">
        <v>45281</v>
      </c>
      <c r="E378" s="1" t="n">
        <v>46217</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1631-2024</t>
        </is>
      </c>
      <c r="B379" t="inlineStr">
        <is>
          <t>avverkningsanmälan</t>
        </is>
      </c>
      <c r="C379" t="inlineStr">
        <is>
          <t>Föryngringsavverkning</t>
        </is>
      </c>
      <c r="D379" s="1" t="n">
        <v>45306</v>
      </c>
      <c r="E379" s="1" t="n">
        <v>46217</v>
      </c>
      <c r="F379" t="inlineStr">
        <is>
          <t>JÖNKÖPINGS LÄN</t>
        </is>
      </c>
      <c r="G379" t="inlineStr">
        <is>
          <t>VETLANDA</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8207-2024</t>
        </is>
      </c>
      <c r="B380" t="inlineStr">
        <is>
          <t>avverkningsanmälan</t>
        </is>
      </c>
      <c r="C380" t="inlineStr">
        <is>
          <t>Föryngringsavverkning</t>
        </is>
      </c>
      <c r="D380" s="1" t="n">
        <v>45351</v>
      </c>
      <c r="E380" s="1" t="n">
        <v>46217</v>
      </c>
      <c r="F380" t="inlineStr">
        <is>
          <t>JÖNKÖPINGS LÄN</t>
        </is>
      </c>
      <c r="G380" t="inlineStr">
        <is>
          <t>VETLANDA</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38275-2025</t>
        </is>
      </c>
      <c r="B381" t="inlineStr">
        <is>
          <t>avverkningsanmälan</t>
        </is>
      </c>
      <c r="C381" t="inlineStr">
        <is>
          <t>Föryngringsavverkning</t>
        </is>
      </c>
      <c r="D381" s="1" t="n">
        <v>45883</v>
      </c>
      <c r="E381" s="1" t="n">
        <v>46217</v>
      </c>
      <c r="F381" t="inlineStr">
        <is>
          <t>JÖNKÖPINGS LÄN</t>
        </is>
      </c>
      <c r="G381" t="inlineStr">
        <is>
          <t>VETLANDA</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38213-2025</t>
        </is>
      </c>
      <c r="B382" t="inlineStr">
        <is>
          <t>avverkningsanmälan</t>
        </is>
      </c>
      <c r="C382" t="inlineStr">
        <is>
          <t>Föryngringsavverkning</t>
        </is>
      </c>
      <c r="D382" s="1" t="n">
        <v>45882</v>
      </c>
      <c r="E382" s="1" t="n">
        <v>46217</v>
      </c>
      <c r="F382" t="inlineStr">
        <is>
          <t>JÖNKÖPINGS LÄN</t>
        </is>
      </c>
      <c r="G382" t="inlineStr">
        <is>
          <t>VETLANDA</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38274-2025</t>
        </is>
      </c>
      <c r="B383" t="inlineStr">
        <is>
          <t>avverkningsanmälan</t>
        </is>
      </c>
      <c r="C383" t="inlineStr">
        <is>
          <t>Föryngringsavverkning</t>
        </is>
      </c>
      <c r="D383" s="1" t="n">
        <v>45882</v>
      </c>
      <c r="E383" s="1" t="n">
        <v>46217</v>
      </c>
      <c r="F383" t="inlineStr">
        <is>
          <t>JÖNKÖPINGS LÄN</t>
        </is>
      </c>
      <c r="G383" t="inlineStr">
        <is>
          <t>VETLANDA</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40257-2025</t>
        </is>
      </c>
      <c r="B384" t="inlineStr">
        <is>
          <t>avverkningsanmälan</t>
        </is>
      </c>
      <c r="C384" t="inlineStr">
        <is>
          <t>Föryngringsavverkning</t>
        </is>
      </c>
      <c r="D384" s="1" t="n">
        <v>45895</v>
      </c>
      <c r="E384" s="1" t="n">
        <v>46217</v>
      </c>
      <c r="F384" t="inlineStr">
        <is>
          <t>JÖNKÖPINGS LÄN</t>
        </is>
      </c>
      <c r="G384" t="inlineStr">
        <is>
          <t>VETLANDA</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43854-2025</t>
        </is>
      </c>
      <c r="B385" t="inlineStr">
        <is>
          <t>avverkningsanmälan</t>
        </is>
      </c>
      <c r="C385" t="inlineStr">
        <is>
          <t>Föryngringsavverkning</t>
        </is>
      </c>
      <c r="D385" s="1" t="n">
        <v>45912</v>
      </c>
      <c r="E385" s="1" t="n">
        <v>46217</v>
      </c>
      <c r="F385" t="inlineStr">
        <is>
          <t>JÖNKÖPINGS LÄN</t>
        </is>
      </c>
      <c r="G385" t="inlineStr">
        <is>
          <t>VETLANDA</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9037-2024</t>
        </is>
      </c>
      <c r="B386" t="inlineStr">
        <is>
          <t>avverkningsanmälan</t>
        </is>
      </c>
      <c r="C386" t="inlineStr">
        <is>
          <t>Avverkning för annat ändamål</t>
        </is>
      </c>
      <c r="D386" s="1" t="n">
        <v>45357</v>
      </c>
      <c r="E386" s="1" t="n">
        <v>46217</v>
      </c>
      <c r="F386" t="inlineStr">
        <is>
          <t>JÖNKÖPINGS LÄN</t>
        </is>
      </c>
      <c r="G386" t="inlineStr">
        <is>
          <t>VETLANDA</t>
        </is>
      </c>
      <c r="I386" t="n">
        <v>0.3</v>
      </c>
      <c r="J386" t="n">
        <v>0</v>
      </c>
      <c r="K386" t="n">
        <v>0</v>
      </c>
      <c r="L386" t="n">
        <v>0</v>
      </c>
      <c r="M386" t="n">
        <v>0</v>
      </c>
      <c r="N386" t="n">
        <v>0</v>
      </c>
      <c r="O386" t="n">
        <v>0</v>
      </c>
      <c r="P386" t="n">
        <v>0</v>
      </c>
      <c r="Q386" t="n">
        <v>0</v>
      </c>
      <c r="R386" t="n">
        <v>0</v>
      </c>
      <c r="S386" t="n">
        <v>0</v>
      </c>
      <c r="T386" t="n">
        <v>0</v>
      </c>
      <c r="U386" s="2" t="inlineStr"/>
    </row>
    <row r="387" ht="15" customHeight="1">
      <c r="A387" t="inlineStr">
        <is>
          <t>A 50433-2025</t>
        </is>
      </c>
      <c r="B387" t="inlineStr">
        <is>
          <t>avverkningsanmälan</t>
        </is>
      </c>
      <c r="C387" t="inlineStr">
        <is>
          <t>Föryngringsavverkning</t>
        </is>
      </c>
      <c r="D387" s="1" t="n">
        <v>45944</v>
      </c>
      <c r="E387" s="1" t="n">
        <v>46217</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17106-2025</t>
        </is>
      </c>
      <c r="B388" t="inlineStr">
        <is>
          <t>avverkningsanmälan</t>
        </is>
      </c>
      <c r="C388" t="inlineStr">
        <is>
          <t>Föryngringsavverkning</t>
        </is>
      </c>
      <c r="D388" s="1" t="n">
        <v>45755</v>
      </c>
      <c r="E388" s="1" t="n">
        <v>46217</v>
      </c>
      <c r="F388" t="inlineStr">
        <is>
          <t>JÖNKÖPINGS LÄN</t>
        </is>
      </c>
      <c r="G388" t="inlineStr">
        <is>
          <t>VETLANDA</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20092-2026</t>
        </is>
      </c>
      <c r="B389" t="inlineStr">
        <is>
          <t>avverkningsanmälan</t>
        </is>
      </c>
      <c r="C389" t="inlineStr">
        <is>
          <t>Föryngringsavverkning</t>
        </is>
      </c>
      <c r="D389" s="1" t="n">
        <v>46136</v>
      </c>
      <c r="E389" s="1" t="n">
        <v>46217</v>
      </c>
      <c r="F389" t="inlineStr">
        <is>
          <t>JÖNKÖPINGS LÄN</t>
        </is>
      </c>
      <c r="G389" t="inlineStr">
        <is>
          <t>VETLANDA</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25657-2026</t>
        </is>
      </c>
      <c r="B390" t="inlineStr">
        <is>
          <t>avverkningsanmälan</t>
        </is>
      </c>
      <c r="C390" t="inlineStr">
        <is>
          <t>Föryngringsavverkning</t>
        </is>
      </c>
      <c r="D390" s="1" t="n">
        <v>46178</v>
      </c>
      <c r="E390" s="1" t="n">
        <v>46217</v>
      </c>
      <c r="F390" t="inlineStr">
        <is>
          <t>JÖNKÖPINGS LÄN</t>
        </is>
      </c>
      <c r="G390" t="inlineStr">
        <is>
          <t>VETLANDA</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25662-2026</t>
        </is>
      </c>
      <c r="B391" t="inlineStr">
        <is>
          <t>avverkningsanmälan</t>
        </is>
      </c>
      <c r="C391" t="inlineStr">
        <is>
          <t>Föryngringsavverkning</t>
        </is>
      </c>
      <c r="D391" s="1" t="n">
        <v>46178</v>
      </c>
      <c r="E391" s="1" t="n">
        <v>46217</v>
      </c>
      <c r="F391" t="inlineStr">
        <is>
          <t>JÖNKÖPINGS LÄN</t>
        </is>
      </c>
      <c r="G391" t="inlineStr">
        <is>
          <t>VETLANDA</t>
        </is>
      </c>
      <c r="I391" t="n">
        <v>3.3</v>
      </c>
      <c r="J391" t="n">
        <v>0</v>
      </c>
      <c r="K391" t="n">
        <v>0</v>
      </c>
      <c r="L391" t="n">
        <v>0</v>
      </c>
      <c r="M391" t="n">
        <v>0</v>
      </c>
      <c r="N391" t="n">
        <v>0</v>
      </c>
      <c r="O391" t="n">
        <v>0</v>
      </c>
      <c r="P391" t="n">
        <v>0</v>
      </c>
      <c r="Q391" t="n">
        <v>0</v>
      </c>
      <c r="R391" t="n">
        <v>0</v>
      </c>
      <c r="S391" t="n">
        <v>0</v>
      </c>
      <c r="T391" t="n">
        <v>0</v>
      </c>
      <c r="U391" s="2" t="inlineStr"/>
    </row>
    <row r="392" ht="15" customHeight="1">
      <c r="A392" t="inlineStr">
        <is>
          <t>A 6433-2025</t>
        </is>
      </c>
      <c r="B392" t="inlineStr">
        <is>
          <t>avverkningsanmälan</t>
        </is>
      </c>
      <c r="C392" t="inlineStr">
        <is>
          <t>Föryngringsavverkning</t>
        </is>
      </c>
      <c r="D392" s="1" t="n">
        <v>45699</v>
      </c>
      <c r="E392" s="1" t="n">
        <v>46217</v>
      </c>
      <c r="F392" t="inlineStr">
        <is>
          <t>JÖNKÖPINGS LÄN</t>
        </is>
      </c>
      <c r="G392" t="inlineStr">
        <is>
          <t>VETLANDA</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30042-2025</t>
        </is>
      </c>
      <c r="B393" t="inlineStr">
        <is>
          <t>avverkningsanmälan</t>
        </is>
      </c>
      <c r="C393" t="inlineStr">
        <is>
          <t>Föryngringsavverkning</t>
        </is>
      </c>
      <c r="D393" s="1" t="n">
        <v>45826</v>
      </c>
      <c r="E393" s="1" t="n">
        <v>46217</v>
      </c>
      <c r="F393" t="inlineStr">
        <is>
          <t>JÖNKÖPINGS LÄN</t>
        </is>
      </c>
      <c r="G393" t="inlineStr">
        <is>
          <t>VETLANDA</t>
        </is>
      </c>
      <c r="I393" t="n">
        <v>2.2</v>
      </c>
      <c r="J393" t="n">
        <v>0</v>
      </c>
      <c r="K393" t="n">
        <v>0</v>
      </c>
      <c r="L393" t="n">
        <v>0</v>
      </c>
      <c r="M393" t="n">
        <v>0</v>
      </c>
      <c r="N393" t="n">
        <v>0</v>
      </c>
      <c r="O393" t="n">
        <v>0</v>
      </c>
      <c r="P393" t="n">
        <v>0</v>
      </c>
      <c r="Q393" t="n">
        <v>0</v>
      </c>
      <c r="R393" t="n">
        <v>0</v>
      </c>
      <c r="S393" t="n">
        <v>0</v>
      </c>
      <c r="T393" t="n">
        <v>0</v>
      </c>
      <c r="U393" s="2" t="inlineStr"/>
    </row>
    <row r="394" ht="15" customHeight="1">
      <c r="A394" t="inlineStr">
        <is>
          <t>A 39316-2025</t>
        </is>
      </c>
      <c r="B394" t="inlineStr">
        <is>
          <t>avverkningsanmälan</t>
        </is>
      </c>
      <c r="C394" t="inlineStr">
        <is>
          <t>Föryngringsavverkning</t>
        </is>
      </c>
      <c r="D394" s="1" t="n">
        <v>45888</v>
      </c>
      <c r="E394" s="1" t="n">
        <v>46217</v>
      </c>
      <c r="F394" t="inlineStr">
        <is>
          <t>JÖNKÖPINGS LÄN</t>
        </is>
      </c>
      <c r="G394" t="inlineStr">
        <is>
          <t>VETLANDA</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14609-2025</t>
        </is>
      </c>
      <c r="B395" t="inlineStr">
        <is>
          <t>avverkningsanmälan</t>
        </is>
      </c>
      <c r="C395" t="inlineStr">
        <is>
          <t>Föryngringsavverkning</t>
        </is>
      </c>
      <c r="D395" s="1" t="n">
        <v>45742</v>
      </c>
      <c r="E395" s="1" t="n">
        <v>46217</v>
      </c>
      <c r="F395" t="inlineStr">
        <is>
          <t>JÖNKÖPINGS LÄN</t>
        </is>
      </c>
      <c r="G395" t="inlineStr">
        <is>
          <t>VETLANDA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39330-2025</t>
        </is>
      </c>
      <c r="B396" t="inlineStr">
        <is>
          <t>avverkningsanmälan</t>
        </is>
      </c>
      <c r="C396" t="inlineStr">
        <is>
          <t>Föryngringsavverkning</t>
        </is>
      </c>
      <c r="D396" s="1" t="n">
        <v>45888</v>
      </c>
      <c r="E396" s="1" t="n">
        <v>46217</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22308-2025</t>
        </is>
      </c>
      <c r="B397" t="inlineStr">
        <is>
          <t>avverkningsanmälan</t>
        </is>
      </c>
      <c r="C397" t="inlineStr">
        <is>
          <t>Föryngringsavverkning</t>
        </is>
      </c>
      <c r="D397" s="1" t="n">
        <v>45786</v>
      </c>
      <c r="E397" s="1" t="n">
        <v>46217</v>
      </c>
      <c r="F397" t="inlineStr">
        <is>
          <t>JÖNKÖPINGS LÄN</t>
        </is>
      </c>
      <c r="G397" t="inlineStr">
        <is>
          <t>VETLANDA</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39387-2025</t>
        </is>
      </c>
      <c r="B398" t="inlineStr">
        <is>
          <t>avverkningsanmälan</t>
        </is>
      </c>
      <c r="C398" t="inlineStr">
        <is>
          <t>Föryngringsavverkning</t>
        </is>
      </c>
      <c r="D398" s="1" t="n">
        <v>45889</v>
      </c>
      <c r="E398" s="1" t="n">
        <v>46217</v>
      </c>
      <c r="F398" t="inlineStr">
        <is>
          <t>JÖNKÖPINGS LÄN</t>
        </is>
      </c>
      <c r="G398" t="inlineStr">
        <is>
          <t>VETLANDA</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45947-2024</t>
        </is>
      </c>
      <c r="B399" t="inlineStr">
        <is>
          <t>avverkningsanmälan</t>
        </is>
      </c>
      <c r="C399" t="inlineStr">
        <is>
          <t>Föryngringsavverkning</t>
        </is>
      </c>
      <c r="D399" s="1" t="n">
        <v>45580</v>
      </c>
      <c r="E399" s="1" t="n">
        <v>46217</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14610-2025</t>
        </is>
      </c>
      <c r="B400" t="inlineStr">
        <is>
          <t>avverkningsanmälan</t>
        </is>
      </c>
      <c r="C400" t="inlineStr">
        <is>
          <t>Föryngringsavverkning</t>
        </is>
      </c>
      <c r="D400" s="1" t="n">
        <v>45742</v>
      </c>
      <c r="E400" s="1" t="n">
        <v>46217</v>
      </c>
      <c r="F400" t="inlineStr">
        <is>
          <t>JÖNKÖPINGS LÄN</t>
        </is>
      </c>
      <c r="G400" t="inlineStr">
        <is>
          <t>VETLANDA</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39011-2025</t>
        </is>
      </c>
      <c r="B401" t="inlineStr">
        <is>
          <t>avverkningsanmälan</t>
        </is>
      </c>
      <c r="C401" t="inlineStr">
        <is>
          <t>Föryngringsavverkning</t>
        </is>
      </c>
      <c r="D401" s="1" t="n">
        <v>45888</v>
      </c>
      <c r="E401" s="1" t="n">
        <v>46217</v>
      </c>
      <c r="F401" t="inlineStr">
        <is>
          <t>JÖNKÖPINGS LÄN</t>
        </is>
      </c>
      <c r="G401" t="inlineStr">
        <is>
          <t>VETLANDA</t>
        </is>
      </c>
      <c r="I401" t="n">
        <v>0</v>
      </c>
      <c r="J401" t="n">
        <v>0</v>
      </c>
      <c r="K401" t="n">
        <v>0</v>
      </c>
      <c r="L401" t="n">
        <v>0</v>
      </c>
      <c r="M401" t="n">
        <v>0</v>
      </c>
      <c r="N401" t="n">
        <v>0</v>
      </c>
      <c r="O401" t="n">
        <v>0</v>
      </c>
      <c r="P401" t="n">
        <v>0</v>
      </c>
      <c r="Q401" t="n">
        <v>0</v>
      </c>
      <c r="R401" t="n">
        <v>0</v>
      </c>
      <c r="S401" t="n">
        <v>0</v>
      </c>
      <c r="T401" t="n">
        <v>0</v>
      </c>
      <c r="U401" s="2" t="inlineStr"/>
    </row>
    <row r="402" ht="15" customHeight="1">
      <c r="A402" t="inlineStr">
        <is>
          <t>A 32864-2025</t>
        </is>
      </c>
      <c r="B402" t="inlineStr">
        <is>
          <t>avverkningsanmälan</t>
        </is>
      </c>
      <c r="C402" t="inlineStr">
        <is>
          <t>Föryngringsavverkning</t>
        </is>
      </c>
      <c r="D402" s="1" t="n">
        <v>45839</v>
      </c>
      <c r="E402" s="1" t="n">
        <v>46217</v>
      </c>
      <c r="F402" t="inlineStr">
        <is>
          <t>JÖNKÖPINGS LÄN</t>
        </is>
      </c>
      <c r="G402" t="inlineStr">
        <is>
          <t>VETLANDA</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37645-2024</t>
        </is>
      </c>
      <c r="B403" t="inlineStr">
        <is>
          <t>avverkningsanmälan</t>
        </is>
      </c>
      <c r="C403" t="inlineStr">
        <is>
          <t>Föryngringsavverkning</t>
        </is>
      </c>
      <c r="D403" s="1" t="n">
        <v>45541</v>
      </c>
      <c r="E403" s="1" t="n">
        <v>46217</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39275-2025</t>
        </is>
      </c>
      <c r="B404" t="inlineStr">
        <is>
          <t>avverkningsanmälan</t>
        </is>
      </c>
      <c r="C404" t="inlineStr">
        <is>
          <t>Föryngringsavverkning</t>
        </is>
      </c>
      <c r="D404" s="1" t="n">
        <v>45888</v>
      </c>
      <c r="E404" s="1" t="n">
        <v>46217</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9777-2023</t>
        </is>
      </c>
      <c r="B405" t="inlineStr">
        <is>
          <t>avverkningsanmälan</t>
        </is>
      </c>
      <c r="C405" t="inlineStr">
        <is>
          <t>Föryngringsavverkning</t>
        </is>
      </c>
      <c r="D405" s="1" t="n">
        <v>44984</v>
      </c>
      <c r="E405" s="1" t="n">
        <v>46217</v>
      </c>
      <c r="F405" t="inlineStr">
        <is>
          <t>JÖNKÖPINGS LÄN</t>
        </is>
      </c>
      <c r="G405" t="inlineStr">
        <is>
          <t>VETLANDA</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A 41686-2025</t>
        </is>
      </c>
      <c r="B406" t="inlineStr">
        <is>
          <t>avverkningsanmälan</t>
        </is>
      </c>
      <c r="C406" t="inlineStr">
        <is>
          <t>Föryngringsavverkning</t>
        </is>
      </c>
      <c r="D406" s="1" t="n">
        <v>45902</v>
      </c>
      <c r="E406" s="1" t="n">
        <v>46217</v>
      </c>
      <c r="F406" t="inlineStr">
        <is>
          <t>JÖNKÖPINGS LÄN</t>
        </is>
      </c>
      <c r="G406" t="inlineStr">
        <is>
          <t>VETLANDA</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55467-2025</t>
        </is>
      </c>
      <c r="B407" t="inlineStr">
        <is>
          <t>avverkningsanmälan</t>
        </is>
      </c>
      <c r="C407" t="inlineStr">
        <is>
          <t>Föryngringsavverkning</t>
        </is>
      </c>
      <c r="D407" s="1" t="n">
        <v>45971</v>
      </c>
      <c r="E407" s="1" t="n">
        <v>46217</v>
      </c>
      <c r="F407" t="inlineStr">
        <is>
          <t>JÖNKÖPINGS LÄN</t>
        </is>
      </c>
      <c r="G407" t="inlineStr">
        <is>
          <t>VETLANDA</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1704-2024</t>
        </is>
      </c>
      <c r="B408" t="inlineStr">
        <is>
          <t>avverkningsanmälan</t>
        </is>
      </c>
      <c r="C408" t="inlineStr">
        <is>
          <t>Föryngringsavverkning</t>
        </is>
      </c>
      <c r="D408" s="1" t="n">
        <v>45307</v>
      </c>
      <c r="E408" s="1" t="n">
        <v>46217</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39013-2025</t>
        </is>
      </c>
      <c r="B409" t="inlineStr">
        <is>
          <t>avverkningsanmälan</t>
        </is>
      </c>
      <c r="C409" t="inlineStr">
        <is>
          <t>Föryngringsavverkning</t>
        </is>
      </c>
      <c r="D409" s="1" t="n">
        <v>45888</v>
      </c>
      <c r="E409" s="1" t="n">
        <v>46217</v>
      </c>
      <c r="F409" t="inlineStr">
        <is>
          <t>JÖNKÖPINGS LÄN</t>
        </is>
      </c>
      <c r="G409" t="inlineStr">
        <is>
          <t>VETLANDA</t>
        </is>
      </c>
      <c r="I409" t="n">
        <v>0</v>
      </c>
      <c r="J409" t="n">
        <v>0</v>
      </c>
      <c r="K409" t="n">
        <v>0</v>
      </c>
      <c r="L409" t="n">
        <v>0</v>
      </c>
      <c r="M409" t="n">
        <v>0</v>
      </c>
      <c r="N409" t="n">
        <v>0</v>
      </c>
      <c r="O409" t="n">
        <v>0</v>
      </c>
      <c r="P409" t="n">
        <v>0</v>
      </c>
      <c r="Q409" t="n">
        <v>0</v>
      </c>
      <c r="R409" t="n">
        <v>0</v>
      </c>
      <c r="S409" t="n">
        <v>0</v>
      </c>
      <c r="T409" t="n">
        <v>0</v>
      </c>
      <c r="U409" s="2" t="inlineStr"/>
    </row>
    <row r="410" ht="15" customHeight="1">
      <c r="A410" t="inlineStr">
        <is>
          <t>A 39017-2025</t>
        </is>
      </c>
      <c r="B410" t="inlineStr">
        <is>
          <t>avverkningsanmälan</t>
        </is>
      </c>
      <c r="C410" t="inlineStr">
        <is>
          <t>Föryngringsavverkning</t>
        </is>
      </c>
      <c r="D410" s="1" t="n">
        <v>45888</v>
      </c>
      <c r="E410" s="1" t="n">
        <v>46217</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6594-2024</t>
        </is>
      </c>
      <c r="B411" t="inlineStr">
        <is>
          <t>avverkningsanmälan</t>
        </is>
      </c>
      <c r="C411" t="inlineStr">
        <is>
          <t>Föryngringsavverkning</t>
        </is>
      </c>
      <c r="D411" s="1" t="n">
        <v>45341</v>
      </c>
      <c r="E411" s="1" t="n">
        <v>46217</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39340-2025</t>
        </is>
      </c>
      <c r="B412" t="inlineStr">
        <is>
          <t>avverkningsanmälan</t>
        </is>
      </c>
      <c r="C412" t="inlineStr">
        <is>
          <t>Föryngringsavverkning</t>
        </is>
      </c>
      <c r="D412" s="1" t="n">
        <v>45889</v>
      </c>
      <c r="E412" s="1" t="n">
        <v>46217</v>
      </c>
      <c r="F412" t="inlineStr">
        <is>
          <t>JÖNKÖPINGS LÄN</t>
        </is>
      </c>
      <c r="G412" t="inlineStr">
        <is>
          <t>VETLANDA</t>
        </is>
      </c>
      <c r="I412" t="n">
        <v>2.9</v>
      </c>
      <c r="J412" t="n">
        <v>0</v>
      </c>
      <c r="K412" t="n">
        <v>0</v>
      </c>
      <c r="L412" t="n">
        <v>0</v>
      </c>
      <c r="M412" t="n">
        <v>0</v>
      </c>
      <c r="N412" t="n">
        <v>0</v>
      </c>
      <c r="O412" t="n">
        <v>0</v>
      </c>
      <c r="P412" t="n">
        <v>0</v>
      </c>
      <c r="Q412" t="n">
        <v>0</v>
      </c>
      <c r="R412" t="n">
        <v>0</v>
      </c>
      <c r="S412" t="n">
        <v>0</v>
      </c>
      <c r="T412" t="n">
        <v>0</v>
      </c>
      <c r="U412" s="2" t="inlineStr"/>
    </row>
    <row r="413" ht="15" customHeight="1">
      <c r="A413" t="inlineStr">
        <is>
          <t>A 2810-2025</t>
        </is>
      </c>
      <c r="B413" t="inlineStr">
        <is>
          <t>avverkningsanmälan</t>
        </is>
      </c>
      <c r="C413" t="inlineStr">
        <is>
          <t>Föryngringsavverkning</t>
        </is>
      </c>
      <c r="D413" s="1" t="n">
        <v>45677</v>
      </c>
      <c r="E413" s="1" t="n">
        <v>46217</v>
      </c>
      <c r="F413" t="inlineStr">
        <is>
          <t>JÖNKÖPINGS LÄN</t>
        </is>
      </c>
      <c r="G413" t="inlineStr">
        <is>
          <t>VETLANDA</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7592-2024</t>
        </is>
      </c>
      <c r="B414" t="inlineStr">
        <is>
          <t>avverkningsanmälan</t>
        </is>
      </c>
      <c r="C414" t="inlineStr">
        <is>
          <t>Föryngringsavverkning</t>
        </is>
      </c>
      <c r="D414" s="1" t="n">
        <v>45348</v>
      </c>
      <c r="E414" s="1" t="n">
        <v>46217</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39264-2025</t>
        </is>
      </c>
      <c r="B415" t="inlineStr">
        <is>
          <t>avverkningsanmälan</t>
        </is>
      </c>
      <c r="C415" t="inlineStr">
        <is>
          <t>Föryngringsavverkning</t>
        </is>
      </c>
      <c r="D415" s="1" t="n">
        <v>45889</v>
      </c>
      <c r="E415" s="1" t="n">
        <v>46217</v>
      </c>
      <c r="F415" t="inlineStr">
        <is>
          <t>JÖNKÖPINGS LÄN</t>
        </is>
      </c>
      <c r="G415" t="inlineStr">
        <is>
          <t>VETLANDA</t>
        </is>
      </c>
      <c r="I415" t="n">
        <v>2.1</v>
      </c>
      <c r="J415" t="n">
        <v>0</v>
      </c>
      <c r="K415" t="n">
        <v>0</v>
      </c>
      <c r="L415" t="n">
        <v>0</v>
      </c>
      <c r="M415" t="n">
        <v>0</v>
      </c>
      <c r="N415" t="n">
        <v>0</v>
      </c>
      <c r="O415" t="n">
        <v>0</v>
      </c>
      <c r="P415" t="n">
        <v>0</v>
      </c>
      <c r="Q415" t="n">
        <v>0</v>
      </c>
      <c r="R415" t="n">
        <v>0</v>
      </c>
      <c r="S415" t="n">
        <v>0</v>
      </c>
      <c r="T415" t="n">
        <v>0</v>
      </c>
      <c r="U415" s="2" t="inlineStr"/>
    </row>
    <row r="416" ht="15" customHeight="1">
      <c r="A416" t="inlineStr">
        <is>
          <t>A 39398-2025</t>
        </is>
      </c>
      <c r="B416" t="inlineStr">
        <is>
          <t>avverkningsanmälan</t>
        </is>
      </c>
      <c r="C416" t="inlineStr">
        <is>
          <t>Föryngringsavverkning</t>
        </is>
      </c>
      <c r="D416" s="1" t="n">
        <v>45889</v>
      </c>
      <c r="E416" s="1" t="n">
        <v>46217</v>
      </c>
      <c r="F416" t="inlineStr">
        <is>
          <t>JÖNKÖPINGS LÄN</t>
        </is>
      </c>
      <c r="G416" t="inlineStr">
        <is>
          <t>VETLANDA</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44070-2021</t>
        </is>
      </c>
      <c r="B417" t="inlineStr">
        <is>
          <t>avverkningsanmälan</t>
        </is>
      </c>
      <c r="C417" t="inlineStr">
        <is>
          <t>Föryngringsavverkning</t>
        </is>
      </c>
      <c r="D417" s="1" t="n">
        <v>44434</v>
      </c>
      <c r="E417" s="1" t="n">
        <v>46217</v>
      </c>
      <c r="F417" t="inlineStr">
        <is>
          <t>JÖNKÖPINGS LÄN</t>
        </is>
      </c>
      <c r="G417" t="inlineStr">
        <is>
          <t>VETLANDA</t>
        </is>
      </c>
      <c r="I417" t="n">
        <v>5</v>
      </c>
      <c r="J417" t="n">
        <v>0</v>
      </c>
      <c r="K417" t="n">
        <v>0</v>
      </c>
      <c r="L417" t="n">
        <v>0</v>
      </c>
      <c r="M417" t="n">
        <v>0</v>
      </c>
      <c r="N417" t="n">
        <v>0</v>
      </c>
      <c r="O417" t="n">
        <v>0</v>
      </c>
      <c r="P417" t="n">
        <v>0</v>
      </c>
      <c r="Q417" t="n">
        <v>0</v>
      </c>
      <c r="R417" t="n">
        <v>0</v>
      </c>
      <c r="S417" t="n">
        <v>0</v>
      </c>
      <c r="T417" t="n">
        <v>0</v>
      </c>
      <c r="U417" s="2" t="inlineStr"/>
    </row>
    <row r="418" ht="15" customHeight="1">
      <c r="A418" t="inlineStr">
        <is>
          <t>A 29753-2023</t>
        </is>
      </c>
      <c r="B418" t="inlineStr">
        <is>
          <t>avverkningsanmälan</t>
        </is>
      </c>
      <c r="C418" t="inlineStr">
        <is>
          <t>Föryngringsavverkning</t>
        </is>
      </c>
      <c r="D418" s="1" t="n">
        <v>45107</v>
      </c>
      <c r="E418" s="1" t="n">
        <v>46217</v>
      </c>
      <c r="F418" t="inlineStr">
        <is>
          <t>JÖNKÖPINGS LÄN</t>
        </is>
      </c>
      <c r="G418" t="inlineStr">
        <is>
          <t>VETLANDA</t>
        </is>
      </c>
      <c r="I418" t="n">
        <v>5.2</v>
      </c>
      <c r="J418" t="n">
        <v>0</v>
      </c>
      <c r="K418" t="n">
        <v>0</v>
      </c>
      <c r="L418" t="n">
        <v>0</v>
      </c>
      <c r="M418" t="n">
        <v>0</v>
      </c>
      <c r="N418" t="n">
        <v>0</v>
      </c>
      <c r="O418" t="n">
        <v>0</v>
      </c>
      <c r="P418" t="n">
        <v>0</v>
      </c>
      <c r="Q418" t="n">
        <v>0</v>
      </c>
      <c r="R418" t="n">
        <v>0</v>
      </c>
      <c r="S418" t="n">
        <v>0</v>
      </c>
      <c r="T418" t="n">
        <v>0</v>
      </c>
      <c r="U418" s="2" t="inlineStr"/>
    </row>
    <row r="419" ht="15" customHeight="1">
      <c r="A419" t="inlineStr">
        <is>
          <t>A 25660-2026</t>
        </is>
      </c>
      <c r="B419" t="inlineStr">
        <is>
          <t>avverkningsanmälan</t>
        </is>
      </c>
      <c r="C419" t="inlineStr">
        <is>
          <t>Föryngringsavverkning</t>
        </is>
      </c>
      <c r="D419" s="1" t="n">
        <v>46178</v>
      </c>
      <c r="E419" s="1" t="n">
        <v>46217</v>
      </c>
      <c r="F419" t="inlineStr">
        <is>
          <t>JÖNKÖPINGS LÄN</t>
        </is>
      </c>
      <c r="G419" t="inlineStr">
        <is>
          <t>VETLANDA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52172-2024</t>
        </is>
      </c>
      <c r="B420" t="inlineStr">
        <is>
          <t>avverkningsanmälan</t>
        </is>
      </c>
      <c r="C420" t="inlineStr">
        <is>
          <t>Föryngringsavverkning</t>
        </is>
      </c>
      <c r="D420" s="1" t="n">
        <v>45608</v>
      </c>
      <c r="E420" s="1" t="n">
        <v>46217</v>
      </c>
      <c r="F420" t="inlineStr">
        <is>
          <t>JÖNKÖPINGS LÄN</t>
        </is>
      </c>
      <c r="G420" t="inlineStr">
        <is>
          <t>VETLANDA</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29751-2025</t>
        </is>
      </c>
      <c r="B421" t="inlineStr">
        <is>
          <t>avverkningsanmälan</t>
        </is>
      </c>
      <c r="C421" t="inlineStr">
        <is>
          <t>Föryngringsavverkning</t>
        </is>
      </c>
      <c r="D421" s="1" t="n">
        <v>45825</v>
      </c>
      <c r="E421" s="1" t="n">
        <v>46217</v>
      </c>
      <c r="F421" t="inlineStr">
        <is>
          <t>JÖNKÖPINGS LÄN</t>
        </is>
      </c>
      <c r="G421" t="inlineStr">
        <is>
          <t>VETLANDA</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55398-2025</t>
        </is>
      </c>
      <c r="B422" t="inlineStr">
        <is>
          <t>avverkningsanmälan</t>
        </is>
      </c>
      <c r="C422" t="inlineStr">
        <is>
          <t>Föryngringsavverkning</t>
        </is>
      </c>
      <c r="D422" s="1" t="n">
        <v>45971</v>
      </c>
      <c r="E422" s="1" t="n">
        <v>46217</v>
      </c>
      <c r="F422" t="inlineStr">
        <is>
          <t>JÖNKÖPINGS LÄN</t>
        </is>
      </c>
      <c r="G422" t="inlineStr">
        <is>
          <t>VETLANDA</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52674-2024</t>
        </is>
      </c>
      <c r="B423" t="inlineStr">
        <is>
          <t>avverkningsanmälan</t>
        </is>
      </c>
      <c r="C423" t="inlineStr">
        <is>
          <t>Föryngringsavverkning</t>
        </is>
      </c>
      <c r="D423" s="1" t="n">
        <v>45610</v>
      </c>
      <c r="E423" s="1" t="n">
        <v>46217</v>
      </c>
      <c r="F423" t="inlineStr">
        <is>
          <t>JÖNKÖPINGS LÄN</t>
        </is>
      </c>
      <c r="G423" t="inlineStr">
        <is>
          <t>VETLANDA</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70836-2021</t>
        </is>
      </c>
      <c r="B424" t="inlineStr">
        <is>
          <t>avverkningsanmälan</t>
        </is>
      </c>
      <c r="C424" t="inlineStr">
        <is>
          <t>Föryngringsavverkning</t>
        </is>
      </c>
      <c r="D424" s="1" t="n">
        <v>44538</v>
      </c>
      <c r="E424" s="1" t="n">
        <v>46217</v>
      </c>
      <c r="F424" t="inlineStr">
        <is>
          <t>JÖNKÖPINGS LÄN</t>
        </is>
      </c>
      <c r="G424" t="inlineStr">
        <is>
          <t>VETLANDA</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30607-2023</t>
        </is>
      </c>
      <c r="B425" t="inlineStr">
        <is>
          <t>avverkningsanmälan</t>
        </is>
      </c>
      <c r="C425" t="inlineStr">
        <is>
          <t>Föryngringsavverkning</t>
        </is>
      </c>
      <c r="D425" s="1" t="n">
        <v>45112</v>
      </c>
      <c r="E425" s="1" t="n">
        <v>46217</v>
      </c>
      <c r="F425" t="inlineStr">
        <is>
          <t>JÖNKÖPINGS LÄN</t>
        </is>
      </c>
      <c r="G425" t="inlineStr">
        <is>
          <t>VETLANDA</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25659-2026</t>
        </is>
      </c>
      <c r="B426" t="inlineStr">
        <is>
          <t>avverkningsanmälan</t>
        </is>
      </c>
      <c r="C426" t="inlineStr">
        <is>
          <t>Föryngringsavverkning</t>
        </is>
      </c>
      <c r="D426" s="1" t="n">
        <v>46178</v>
      </c>
      <c r="E426" s="1" t="n">
        <v>46217</v>
      </c>
      <c r="F426" t="inlineStr">
        <is>
          <t>JÖNKÖPINGS LÄN</t>
        </is>
      </c>
      <c r="G426" t="inlineStr">
        <is>
          <t>VETLANDA</t>
        </is>
      </c>
      <c r="I426" t="n">
        <v>4.3</v>
      </c>
      <c r="J426" t="n">
        <v>0</v>
      </c>
      <c r="K426" t="n">
        <v>0</v>
      </c>
      <c r="L426" t="n">
        <v>0</v>
      </c>
      <c r="M426" t="n">
        <v>0</v>
      </c>
      <c r="N426" t="n">
        <v>0</v>
      </c>
      <c r="O426" t="n">
        <v>0</v>
      </c>
      <c r="P426" t="n">
        <v>0</v>
      </c>
      <c r="Q426" t="n">
        <v>0</v>
      </c>
      <c r="R426" t="n">
        <v>0</v>
      </c>
      <c r="S426" t="n">
        <v>0</v>
      </c>
      <c r="T426" t="n">
        <v>0</v>
      </c>
      <c r="U426" s="2" t="inlineStr"/>
    </row>
    <row r="427" ht="15" customHeight="1">
      <c r="A427" t="inlineStr">
        <is>
          <t>A 19557-2025</t>
        </is>
      </c>
      <c r="B427" t="inlineStr">
        <is>
          <t>avverkningsanmälan</t>
        </is>
      </c>
      <c r="C427" t="inlineStr">
        <is>
          <t>Föryngringsavverkning</t>
        </is>
      </c>
      <c r="D427" s="1" t="n">
        <v>45770</v>
      </c>
      <c r="E427" s="1" t="n">
        <v>46217</v>
      </c>
      <c r="F427" t="inlineStr">
        <is>
          <t>JÖNKÖPINGS LÄN</t>
        </is>
      </c>
      <c r="G427" t="inlineStr">
        <is>
          <t>VETLANDA</t>
        </is>
      </c>
      <c r="I427" t="n">
        <v>2.4</v>
      </c>
      <c r="J427" t="n">
        <v>0</v>
      </c>
      <c r="K427" t="n">
        <v>0</v>
      </c>
      <c r="L427" t="n">
        <v>0</v>
      </c>
      <c r="M427" t="n">
        <v>0</v>
      </c>
      <c r="N427" t="n">
        <v>0</v>
      </c>
      <c r="O427" t="n">
        <v>0</v>
      </c>
      <c r="P427" t="n">
        <v>0</v>
      </c>
      <c r="Q427" t="n">
        <v>0</v>
      </c>
      <c r="R427" t="n">
        <v>0</v>
      </c>
      <c r="S427" t="n">
        <v>0</v>
      </c>
      <c r="T427" t="n">
        <v>0</v>
      </c>
      <c r="U427" s="2" t="inlineStr"/>
    </row>
    <row r="428" ht="15" customHeight="1">
      <c r="A428" t="inlineStr">
        <is>
          <t>A 32807-2025</t>
        </is>
      </c>
      <c r="B428" t="inlineStr">
        <is>
          <t>avverkningsanmälan</t>
        </is>
      </c>
      <c r="C428" t="inlineStr">
        <is>
          <t>Föryngringsavverkning</t>
        </is>
      </c>
      <c r="D428" s="1" t="n">
        <v>45839</v>
      </c>
      <c r="E428" s="1" t="n">
        <v>46217</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55955-2024</t>
        </is>
      </c>
      <c r="B429" t="inlineStr">
        <is>
          <t>avverkningsanmälan</t>
        </is>
      </c>
      <c r="C429" t="inlineStr">
        <is>
          <t>Föryngringsavverkning</t>
        </is>
      </c>
      <c r="D429" s="1" t="n">
        <v>45623</v>
      </c>
      <c r="E429" s="1" t="n">
        <v>46217</v>
      </c>
      <c r="F429" t="inlineStr">
        <is>
          <t>JÖNKÖPINGS LÄN</t>
        </is>
      </c>
      <c r="G429" t="inlineStr">
        <is>
          <t>VETLANDA</t>
        </is>
      </c>
      <c r="I429" t="n">
        <v>1.6</v>
      </c>
      <c r="J429" t="n">
        <v>0</v>
      </c>
      <c r="K429" t="n">
        <v>0</v>
      </c>
      <c r="L429" t="n">
        <v>0</v>
      </c>
      <c r="M429" t="n">
        <v>0</v>
      </c>
      <c r="N429" t="n">
        <v>0</v>
      </c>
      <c r="O429" t="n">
        <v>0</v>
      </c>
      <c r="P429" t="n">
        <v>0</v>
      </c>
      <c r="Q429" t="n">
        <v>0</v>
      </c>
      <c r="R429" t="n">
        <v>0</v>
      </c>
      <c r="S429" t="n">
        <v>0</v>
      </c>
      <c r="T429" t="n">
        <v>0</v>
      </c>
      <c r="U429" s="2" t="inlineStr"/>
    </row>
    <row r="430" ht="15" customHeight="1">
      <c r="A430" t="inlineStr">
        <is>
          <t>A 41902-2025</t>
        </is>
      </c>
      <c r="B430" t="inlineStr">
        <is>
          <t>avverkningsanmälan</t>
        </is>
      </c>
      <c r="C430" t="inlineStr">
        <is>
          <t>Föryngringsavverkning</t>
        </is>
      </c>
      <c r="D430" s="1" t="n">
        <v>45903</v>
      </c>
      <c r="E430" s="1" t="n">
        <v>46217</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51851-2021</t>
        </is>
      </c>
      <c r="B431" t="inlineStr">
        <is>
          <t>avverkningsanmälan</t>
        </is>
      </c>
      <c r="C431" t="inlineStr">
        <is>
          <t>Föryngringsavverkning</t>
        </is>
      </c>
      <c r="D431" s="1" t="n">
        <v>44462</v>
      </c>
      <c r="E431" s="1" t="n">
        <v>46217</v>
      </c>
      <c r="F431" t="inlineStr">
        <is>
          <t>JÖNKÖPINGS LÄN</t>
        </is>
      </c>
      <c r="G431" t="inlineStr">
        <is>
          <t>VETLANDA</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56938-2024</t>
        </is>
      </c>
      <c r="B432" t="inlineStr">
        <is>
          <t>avverkningsanmälan</t>
        </is>
      </c>
      <c r="C432" t="inlineStr">
        <is>
          <t>Föryngringsavverkning</t>
        </is>
      </c>
      <c r="D432" s="1" t="n">
        <v>45628</v>
      </c>
      <c r="E432" s="1" t="n">
        <v>46217</v>
      </c>
      <c r="F432" t="inlineStr">
        <is>
          <t>JÖNKÖPINGS LÄN</t>
        </is>
      </c>
      <c r="G432" t="inlineStr">
        <is>
          <t>VETLANDA</t>
        </is>
      </c>
      <c r="I432" t="n">
        <v>5.6</v>
      </c>
      <c r="J432" t="n">
        <v>0</v>
      </c>
      <c r="K432" t="n">
        <v>0</v>
      </c>
      <c r="L432" t="n">
        <v>0</v>
      </c>
      <c r="M432" t="n">
        <v>0</v>
      </c>
      <c r="N432" t="n">
        <v>0</v>
      </c>
      <c r="O432" t="n">
        <v>0</v>
      </c>
      <c r="P432" t="n">
        <v>0</v>
      </c>
      <c r="Q432" t="n">
        <v>0</v>
      </c>
      <c r="R432" t="n">
        <v>0</v>
      </c>
      <c r="S432" t="n">
        <v>0</v>
      </c>
      <c r="T432" t="n">
        <v>0</v>
      </c>
      <c r="U432" s="2" t="inlineStr"/>
    </row>
    <row r="433" ht="15" customHeight="1">
      <c r="A433" t="inlineStr">
        <is>
          <t>A 32691-2025</t>
        </is>
      </c>
      <c r="B433" t="inlineStr">
        <is>
          <t>avverkningsanmälan</t>
        </is>
      </c>
      <c r="C433" t="inlineStr">
        <is>
          <t>Föryngringsavverkning</t>
        </is>
      </c>
      <c r="D433" s="1" t="n">
        <v>45839</v>
      </c>
      <c r="E433" s="1" t="n">
        <v>46217</v>
      </c>
      <c r="F433" t="inlineStr">
        <is>
          <t>JÖNKÖPINGS LÄN</t>
        </is>
      </c>
      <c r="G433" t="inlineStr">
        <is>
          <t>VETLANDA</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27406-2023</t>
        </is>
      </c>
      <c r="B434" t="inlineStr">
        <is>
          <t>avverkningsanmälan</t>
        </is>
      </c>
      <c r="C434" t="inlineStr">
        <is>
          <t>Föryngringsavverkning</t>
        </is>
      </c>
      <c r="D434" s="1" t="n">
        <v>45097</v>
      </c>
      <c r="E434" s="1" t="n">
        <v>46217</v>
      </c>
      <c r="F434" t="inlineStr">
        <is>
          <t>JÖNKÖPINGS LÄN</t>
        </is>
      </c>
      <c r="G434" t="inlineStr">
        <is>
          <t>VETLANDA</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5940-2026</t>
        </is>
      </c>
      <c r="B435" t="inlineStr">
        <is>
          <t>avverkningsanmälan</t>
        </is>
      </c>
      <c r="C435" t="inlineStr">
        <is>
          <t>Föryngringsavverkning</t>
        </is>
      </c>
      <c r="D435" s="1" t="n">
        <v>46052</v>
      </c>
      <c r="E435" s="1" t="n">
        <v>46217</v>
      </c>
      <c r="F435" t="inlineStr">
        <is>
          <t>JÖNKÖPINGS LÄN</t>
        </is>
      </c>
      <c r="G435" t="inlineStr">
        <is>
          <t>VETLANDA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27449-2023</t>
        </is>
      </c>
      <c r="B436" t="inlineStr">
        <is>
          <t>avverkningsanmälan</t>
        </is>
      </c>
      <c r="C436" t="inlineStr">
        <is>
          <t>Föryngringsavverkning</t>
        </is>
      </c>
      <c r="D436" s="1" t="n">
        <v>45097</v>
      </c>
      <c r="E436" s="1" t="n">
        <v>46217</v>
      </c>
      <c r="F436" t="inlineStr">
        <is>
          <t>JÖNKÖPINGS LÄN</t>
        </is>
      </c>
      <c r="G436" t="inlineStr">
        <is>
          <t>VETLANDA</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A 41291-2025</t>
        </is>
      </c>
      <c r="B437" t="inlineStr">
        <is>
          <t>avverkningsanmälan</t>
        </is>
      </c>
      <c r="C437" t="inlineStr">
        <is>
          <t>Avverkning för annat ändamål</t>
        </is>
      </c>
      <c r="D437" s="1" t="n">
        <v>45898</v>
      </c>
      <c r="E437" s="1" t="n">
        <v>46217</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34493-2024</t>
        </is>
      </c>
      <c r="B438" t="inlineStr">
        <is>
          <t>avverkningsanmälan</t>
        </is>
      </c>
      <c r="C438" t="inlineStr">
        <is>
          <t>Avverkning för annat ändamål</t>
        </is>
      </c>
      <c r="D438" s="1" t="n">
        <v>45525</v>
      </c>
      <c r="E438" s="1" t="n">
        <v>46217</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25011-2025</t>
        </is>
      </c>
      <c r="B439" t="inlineStr">
        <is>
          <t>avverkningsanmälan</t>
        </is>
      </c>
      <c r="C439" t="inlineStr">
        <is>
          <t>Föryngringsavverkning</t>
        </is>
      </c>
      <c r="D439" s="1" t="n">
        <v>45799</v>
      </c>
      <c r="E439" s="1" t="n">
        <v>46217</v>
      </c>
      <c r="F439" t="inlineStr">
        <is>
          <t>JÖNKÖPINGS LÄN</t>
        </is>
      </c>
      <c r="G439" t="inlineStr">
        <is>
          <t>VETLANDA</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1958-2025</t>
        </is>
      </c>
      <c r="B440" t="inlineStr">
        <is>
          <t>avverkningsanmälan</t>
        </is>
      </c>
      <c r="C440" t="inlineStr">
        <is>
          <t>Föryngringsavverkning</t>
        </is>
      </c>
      <c r="D440" s="1" t="n">
        <v>45672</v>
      </c>
      <c r="E440" s="1" t="n">
        <v>46217</v>
      </c>
      <c r="F440" t="inlineStr">
        <is>
          <t>JÖNKÖPINGS LÄN</t>
        </is>
      </c>
      <c r="G440" t="inlineStr">
        <is>
          <t>VETLANDA</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30366-2025</t>
        </is>
      </c>
      <c r="B441" t="inlineStr">
        <is>
          <t>avverkningsanmälan</t>
        </is>
      </c>
      <c r="C441" t="inlineStr">
        <is>
          <t>Föryngringsavverkning</t>
        </is>
      </c>
      <c r="D441" s="1" t="n">
        <v>45827</v>
      </c>
      <c r="E441" s="1" t="n">
        <v>46217</v>
      </c>
      <c r="F441" t="inlineStr">
        <is>
          <t>JÖNKÖPINGS LÄN</t>
        </is>
      </c>
      <c r="G441" t="inlineStr">
        <is>
          <t>VETLANDA</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1583-2025</t>
        </is>
      </c>
      <c r="B442" t="inlineStr">
        <is>
          <t>avverkningsanmälan</t>
        </is>
      </c>
      <c r="C442" t="inlineStr">
        <is>
          <t>Föryngringsavverkning</t>
        </is>
      </c>
      <c r="D442" s="1" t="n">
        <v>45670</v>
      </c>
      <c r="E442" s="1" t="n">
        <v>46217</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53209-2023</t>
        </is>
      </c>
      <c r="B443" t="inlineStr">
        <is>
          <t>avverkningsanmälan</t>
        </is>
      </c>
      <c r="C443" t="inlineStr">
        <is>
          <t>Föryngringsavverkning</t>
        </is>
      </c>
      <c r="D443" s="1" t="n">
        <v>45229</v>
      </c>
      <c r="E443" s="1" t="n">
        <v>46217</v>
      </c>
      <c r="F443" t="inlineStr">
        <is>
          <t>JÖNKÖPINGS LÄN</t>
        </is>
      </c>
      <c r="G443" t="inlineStr">
        <is>
          <t>VETLANDA</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47768-2025</t>
        </is>
      </c>
      <c r="B444" t="inlineStr">
        <is>
          <t>avverkningsanmälan</t>
        </is>
      </c>
      <c r="C444" t="inlineStr">
        <is>
          <t>Föryngringsavverkning</t>
        </is>
      </c>
      <c r="D444" s="1" t="n">
        <v>45931</v>
      </c>
      <c r="E444" s="1" t="n">
        <v>46217</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s="2" t="inlineStr"/>
    </row>
    <row r="445" ht="15" customHeight="1">
      <c r="A445" t="inlineStr">
        <is>
          <t>A 36751-2021</t>
        </is>
      </c>
      <c r="B445" t="inlineStr">
        <is>
          <t>avverkningsanmälan</t>
        </is>
      </c>
      <c r="C445" t="inlineStr">
        <is>
          <t>Föryngringsavverkning</t>
        </is>
      </c>
      <c r="D445" s="1" t="n">
        <v>44392</v>
      </c>
      <c r="E445" s="1" t="n">
        <v>46217</v>
      </c>
      <c r="F445" t="inlineStr">
        <is>
          <t>JÖNKÖPINGS LÄN</t>
        </is>
      </c>
      <c r="G445" t="inlineStr">
        <is>
          <t>VETLANDA</t>
        </is>
      </c>
      <c r="I445" t="n">
        <v>4.7</v>
      </c>
      <c r="J445" t="n">
        <v>0</v>
      </c>
      <c r="K445" t="n">
        <v>0</v>
      </c>
      <c r="L445" t="n">
        <v>0</v>
      </c>
      <c r="M445" t="n">
        <v>0</v>
      </c>
      <c r="N445" t="n">
        <v>0</v>
      </c>
      <c r="O445" t="n">
        <v>0</v>
      </c>
      <c r="P445" t="n">
        <v>0</v>
      </c>
      <c r="Q445" t="n">
        <v>0</v>
      </c>
      <c r="R445" t="n">
        <v>0</v>
      </c>
      <c r="S445" t="n">
        <v>0</v>
      </c>
      <c r="T445" t="n">
        <v>0</v>
      </c>
      <c r="U445" s="2" t="inlineStr"/>
    </row>
    <row r="446" ht="15" customHeight="1">
      <c r="A446" t="inlineStr">
        <is>
          <t>A 38475-2025</t>
        </is>
      </c>
      <c r="B446" t="inlineStr">
        <is>
          <t>avverkningsanmälan</t>
        </is>
      </c>
      <c r="C446" t="inlineStr">
        <is>
          <t>Föryngringsavverkning</t>
        </is>
      </c>
      <c r="D446" s="1" t="n">
        <v>45884</v>
      </c>
      <c r="E446" s="1" t="n">
        <v>46217</v>
      </c>
      <c r="F446" t="inlineStr">
        <is>
          <t>JÖNKÖPINGS LÄN</t>
        </is>
      </c>
      <c r="G446" t="inlineStr">
        <is>
          <t>VETLANDA</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54406-2025</t>
        </is>
      </c>
      <c r="B447" t="inlineStr">
        <is>
          <t>avverkningsanmälan</t>
        </is>
      </c>
      <c r="C447" t="inlineStr">
        <is>
          <t>Föryngringsavverkning</t>
        </is>
      </c>
      <c r="D447" s="1" t="n">
        <v>45965</v>
      </c>
      <c r="E447" s="1" t="n">
        <v>46217</v>
      </c>
      <c r="F447" t="inlineStr">
        <is>
          <t>JÖNKÖPINGS LÄN</t>
        </is>
      </c>
      <c r="G447" t="inlineStr">
        <is>
          <t>VETLANDA</t>
        </is>
      </c>
      <c r="I447" t="n">
        <v>3</v>
      </c>
      <c r="J447" t="n">
        <v>0</v>
      </c>
      <c r="K447" t="n">
        <v>0</v>
      </c>
      <c r="L447" t="n">
        <v>0</v>
      </c>
      <c r="M447" t="n">
        <v>0</v>
      </c>
      <c r="N447" t="n">
        <v>0</v>
      </c>
      <c r="O447" t="n">
        <v>0</v>
      </c>
      <c r="P447" t="n">
        <v>0</v>
      </c>
      <c r="Q447" t="n">
        <v>0</v>
      </c>
      <c r="R447" t="n">
        <v>0</v>
      </c>
      <c r="S447" t="n">
        <v>0</v>
      </c>
      <c r="T447" t="n">
        <v>0</v>
      </c>
      <c r="U447" s="2" t="inlineStr"/>
    </row>
    <row r="448" ht="15" customHeight="1">
      <c r="A448" t="inlineStr">
        <is>
          <t>A 41700-2025</t>
        </is>
      </c>
      <c r="B448" t="inlineStr">
        <is>
          <t>avverkningsanmälan</t>
        </is>
      </c>
      <c r="C448" t="inlineStr">
        <is>
          <t>Föryngringsavverkning</t>
        </is>
      </c>
      <c r="D448" s="1" t="n">
        <v>45902</v>
      </c>
      <c r="E448" s="1" t="n">
        <v>46217</v>
      </c>
      <c r="F448" t="inlineStr">
        <is>
          <t>JÖNKÖPINGS LÄN</t>
        </is>
      </c>
      <c r="G448" t="inlineStr">
        <is>
          <t>VETLANDA</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32695-2025</t>
        </is>
      </c>
      <c r="B449" t="inlineStr">
        <is>
          <t>avverkningsanmälan</t>
        </is>
      </c>
      <c r="C449" t="inlineStr">
        <is>
          <t>Föryngringsavverkning</t>
        </is>
      </c>
      <c r="D449" s="1" t="n">
        <v>45839</v>
      </c>
      <c r="E449" s="1" t="n">
        <v>46217</v>
      </c>
      <c r="F449" t="inlineStr">
        <is>
          <t>JÖNKÖPINGS LÄN</t>
        </is>
      </c>
      <c r="G449" t="inlineStr">
        <is>
          <t>VETLANDA</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47113-2023</t>
        </is>
      </c>
      <c r="B450" t="inlineStr">
        <is>
          <t>avverkningsanmälan</t>
        </is>
      </c>
      <c r="C450" t="inlineStr">
        <is>
          <t>Föryngringsavverkning</t>
        </is>
      </c>
      <c r="D450" s="1" t="n">
        <v>45201</v>
      </c>
      <c r="E450" s="1" t="n">
        <v>46217</v>
      </c>
      <c r="F450" t="inlineStr">
        <is>
          <t>JÖNKÖPINGS LÄN</t>
        </is>
      </c>
      <c r="G450" t="inlineStr">
        <is>
          <t>VETLANDA</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28587-2025</t>
        </is>
      </c>
      <c r="B451" t="inlineStr">
        <is>
          <t>avverkningsanmälan</t>
        </is>
      </c>
      <c r="C451" t="inlineStr">
        <is>
          <t>Föryngringsavverkning</t>
        </is>
      </c>
      <c r="D451" s="1" t="n">
        <v>45819</v>
      </c>
      <c r="E451" s="1" t="n">
        <v>46217</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13815-2025</t>
        </is>
      </c>
      <c r="B452" t="inlineStr">
        <is>
          <t>avverkningsanmälan</t>
        </is>
      </c>
      <c r="C452" t="inlineStr">
        <is>
          <t>Föryngringsavverkning</t>
        </is>
      </c>
      <c r="D452" s="1" t="n">
        <v>45737</v>
      </c>
      <c r="E452" s="1" t="n">
        <v>46217</v>
      </c>
      <c r="F452" t="inlineStr">
        <is>
          <t>JÖNKÖPINGS LÄN</t>
        </is>
      </c>
      <c r="G452" t="inlineStr">
        <is>
          <t>VETLANDA</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36040-2025</t>
        </is>
      </c>
      <c r="B453" t="inlineStr">
        <is>
          <t>avverkningsanmälan</t>
        </is>
      </c>
      <c r="C453" t="inlineStr">
        <is>
          <t>Föryngringsavverkning</t>
        </is>
      </c>
      <c r="D453" s="1" t="n">
        <v>45866</v>
      </c>
      <c r="E453" s="1" t="n">
        <v>46217</v>
      </c>
      <c r="F453" t="inlineStr">
        <is>
          <t>JÖNKÖPINGS LÄN</t>
        </is>
      </c>
      <c r="G453" t="inlineStr">
        <is>
          <t>VETLANDA</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36774-2025</t>
        </is>
      </c>
      <c r="B454" t="inlineStr">
        <is>
          <t>avverkningsanmälan</t>
        </is>
      </c>
      <c r="C454" t="inlineStr">
        <is>
          <t>Föryngringsavverkning</t>
        </is>
      </c>
      <c r="D454" s="1" t="n">
        <v>45873</v>
      </c>
      <c r="E454" s="1" t="n">
        <v>46217</v>
      </c>
      <c r="F454" t="inlineStr">
        <is>
          <t>JÖNKÖPINGS LÄN</t>
        </is>
      </c>
      <c r="G454" t="inlineStr">
        <is>
          <t>VETLANDA</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38269-2025</t>
        </is>
      </c>
      <c r="B455" t="inlineStr">
        <is>
          <t>avverkningsanmälan</t>
        </is>
      </c>
      <c r="C455" t="inlineStr">
        <is>
          <t>Föryngringsavverkning</t>
        </is>
      </c>
      <c r="D455" s="1" t="n">
        <v>45883</v>
      </c>
      <c r="E455" s="1" t="n">
        <v>46217</v>
      </c>
      <c r="F455" t="inlineStr">
        <is>
          <t>JÖNKÖPINGS LÄN</t>
        </is>
      </c>
      <c r="G455" t="inlineStr">
        <is>
          <t>VETLANDA</t>
        </is>
      </c>
      <c r="I455" t="n">
        <v>2.5</v>
      </c>
      <c r="J455" t="n">
        <v>0</v>
      </c>
      <c r="K455" t="n">
        <v>0</v>
      </c>
      <c r="L455" t="n">
        <v>0</v>
      </c>
      <c r="M455" t="n">
        <v>0</v>
      </c>
      <c r="N455" t="n">
        <v>0</v>
      </c>
      <c r="O455" t="n">
        <v>0</v>
      </c>
      <c r="P455" t="n">
        <v>0</v>
      </c>
      <c r="Q455" t="n">
        <v>0</v>
      </c>
      <c r="R455" t="n">
        <v>0</v>
      </c>
      <c r="S455" t="n">
        <v>0</v>
      </c>
      <c r="T455" t="n">
        <v>0</v>
      </c>
      <c r="U455" s="2" t="inlineStr"/>
    </row>
    <row r="456" ht="15" customHeight="1">
      <c r="A456" t="inlineStr">
        <is>
          <t>A 47389-2024</t>
        </is>
      </c>
      <c r="B456" t="inlineStr">
        <is>
          <t>avverkningsanmälan</t>
        </is>
      </c>
      <c r="C456" t="inlineStr">
        <is>
          <t>Föryngringsavverkning</t>
        </is>
      </c>
      <c r="D456" s="1" t="n">
        <v>45587</v>
      </c>
      <c r="E456" s="1" t="n">
        <v>46217</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57946-2024</t>
        </is>
      </c>
      <c r="B457" t="inlineStr">
        <is>
          <t>avverkningsanmälan</t>
        </is>
      </c>
      <c r="C457" t="inlineStr">
        <is>
          <t>Föryngringsavverkning</t>
        </is>
      </c>
      <c r="D457" s="1" t="n">
        <v>45631</v>
      </c>
      <c r="E457" s="1" t="n">
        <v>46217</v>
      </c>
      <c r="F457" t="inlineStr">
        <is>
          <t>JÖNKÖPINGS LÄN</t>
        </is>
      </c>
      <c r="G457" t="inlineStr">
        <is>
          <t>VETLANDA</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5492-2025</t>
        </is>
      </c>
      <c r="B458" t="inlineStr">
        <is>
          <t>avverkningsanmälan</t>
        </is>
      </c>
      <c r="C458" t="inlineStr">
        <is>
          <t>Föryngringsavverkning</t>
        </is>
      </c>
      <c r="D458" s="1" t="n">
        <v>45693</v>
      </c>
      <c r="E458" s="1" t="n">
        <v>46217</v>
      </c>
      <c r="F458" t="inlineStr">
        <is>
          <t>JÖNKÖPINGS LÄN</t>
        </is>
      </c>
      <c r="G458" t="inlineStr">
        <is>
          <t>VETLANDA</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25655-2026</t>
        </is>
      </c>
      <c r="B459" t="inlineStr">
        <is>
          <t>avverkningsanmälan</t>
        </is>
      </c>
      <c r="C459" t="inlineStr">
        <is>
          <t>Föryngringsavverkning</t>
        </is>
      </c>
      <c r="D459" s="1" t="n">
        <v>46178</v>
      </c>
      <c r="E459" s="1" t="n">
        <v>46217</v>
      </c>
      <c r="F459" t="inlineStr">
        <is>
          <t>JÖNKÖPINGS LÄN</t>
        </is>
      </c>
      <c r="G459" t="inlineStr">
        <is>
          <t>VETLANDA</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25656-2026</t>
        </is>
      </c>
      <c r="B460" t="inlineStr">
        <is>
          <t>avverkningsanmälan</t>
        </is>
      </c>
      <c r="C460" t="inlineStr">
        <is>
          <t>Föryngringsavverkning</t>
        </is>
      </c>
      <c r="D460" s="1" t="n">
        <v>46178</v>
      </c>
      <c r="E460" s="1" t="n">
        <v>46217</v>
      </c>
      <c r="F460" t="inlineStr">
        <is>
          <t>JÖNKÖPINGS LÄN</t>
        </is>
      </c>
      <c r="G460" t="inlineStr">
        <is>
          <t>VETLANDA</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25663-2026</t>
        </is>
      </c>
      <c r="B461" t="inlineStr">
        <is>
          <t>avverkningsanmälan</t>
        </is>
      </c>
      <c r="C461" t="inlineStr">
        <is>
          <t>Föryngringsavverkning</t>
        </is>
      </c>
      <c r="D461" s="1" t="n">
        <v>46178</v>
      </c>
      <c r="E461" s="1" t="n">
        <v>46217</v>
      </c>
      <c r="F461" t="inlineStr">
        <is>
          <t>JÖNKÖPINGS LÄN</t>
        </is>
      </c>
      <c r="G461" t="inlineStr">
        <is>
          <t>VETLANDA</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18517-2025</t>
        </is>
      </c>
      <c r="B462" t="inlineStr">
        <is>
          <t>avverkningsanmälan</t>
        </is>
      </c>
      <c r="C462" t="inlineStr">
        <is>
          <t>Föryngringsavverkning</t>
        </is>
      </c>
      <c r="D462" s="1" t="n">
        <v>45763</v>
      </c>
      <c r="E462" s="1" t="n">
        <v>46217</v>
      </c>
      <c r="F462" t="inlineStr">
        <is>
          <t>JÖNKÖPINGS LÄN</t>
        </is>
      </c>
      <c r="G462" t="inlineStr">
        <is>
          <t>VETLANDA</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46285-2025</t>
        </is>
      </c>
      <c r="B463" t="inlineStr">
        <is>
          <t>avverkningsanmälan</t>
        </is>
      </c>
      <c r="C463" t="inlineStr">
        <is>
          <t>Föryngringsavverkning</t>
        </is>
      </c>
      <c r="D463" s="1" t="n">
        <v>45925</v>
      </c>
      <c r="E463" s="1" t="n">
        <v>46217</v>
      </c>
      <c r="F463" t="inlineStr">
        <is>
          <t>JÖNKÖPINGS LÄN</t>
        </is>
      </c>
      <c r="G463" t="inlineStr">
        <is>
          <t>VETLANDA</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1363-2023</t>
        </is>
      </c>
      <c r="B464" t="inlineStr">
        <is>
          <t>avverkningsanmälan</t>
        </is>
      </c>
      <c r="C464" t="inlineStr">
        <is>
          <t>Föryngringsavverkning</t>
        </is>
      </c>
      <c r="D464" s="1" t="n">
        <v>44936</v>
      </c>
      <c r="E464" s="1" t="n">
        <v>46217</v>
      </c>
      <c r="F464" t="inlineStr">
        <is>
          <t>JÖNKÖPINGS LÄN</t>
        </is>
      </c>
      <c r="G464" t="inlineStr">
        <is>
          <t>VETLANDA</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35835-2022</t>
        </is>
      </c>
      <c r="B465" t="inlineStr">
        <is>
          <t>avverkningsanmälan</t>
        </is>
      </c>
      <c r="C465" t="inlineStr">
        <is>
          <t>Föryngringsavverkning</t>
        </is>
      </c>
      <c r="D465" s="1" t="n">
        <v>44802</v>
      </c>
      <c r="E465" s="1" t="n">
        <v>46217</v>
      </c>
      <c r="F465" t="inlineStr">
        <is>
          <t>JÖNKÖPINGS LÄN</t>
        </is>
      </c>
      <c r="G465" t="inlineStr">
        <is>
          <t>VETLANDA</t>
        </is>
      </c>
      <c r="H465" t="inlineStr">
        <is>
          <t>Kyrkan</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15049-2023</t>
        </is>
      </c>
      <c r="B466" t="inlineStr">
        <is>
          <t>avverkningsanmälan</t>
        </is>
      </c>
      <c r="C466" t="inlineStr">
        <is>
          <t>Föryngringsavverkning</t>
        </is>
      </c>
      <c r="D466" s="1" t="n">
        <v>45015</v>
      </c>
      <c r="E466" s="1" t="n">
        <v>46217</v>
      </c>
      <c r="F466" t="inlineStr">
        <is>
          <t>JÖNKÖPINGS LÄN</t>
        </is>
      </c>
      <c r="G466" t="inlineStr">
        <is>
          <t>VETLANDA</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38942-2023</t>
        </is>
      </c>
      <c r="B467" t="inlineStr">
        <is>
          <t>avverkningsanmälan</t>
        </is>
      </c>
      <c r="C467" t="inlineStr">
        <is>
          <t>Föryngringsavverkning</t>
        </is>
      </c>
      <c r="D467" s="1" t="n">
        <v>45163</v>
      </c>
      <c r="E467" s="1" t="n">
        <v>46217</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43554-2025</t>
        </is>
      </c>
      <c r="B468" t="inlineStr">
        <is>
          <t>avverkningsanmälan</t>
        </is>
      </c>
      <c r="C468" t="inlineStr">
        <is>
          <t>Föryngringsavverkning</t>
        </is>
      </c>
      <c r="D468" s="1" t="n">
        <v>45911</v>
      </c>
      <c r="E468" s="1" t="n">
        <v>46217</v>
      </c>
      <c r="F468" t="inlineStr">
        <is>
          <t>JÖNKÖPINGS LÄN</t>
        </is>
      </c>
      <c r="G468" t="inlineStr">
        <is>
          <t>VETLANDA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43558-2025</t>
        </is>
      </c>
      <c r="B469" t="inlineStr">
        <is>
          <t>avverkningsanmälan</t>
        </is>
      </c>
      <c r="C469" t="inlineStr">
        <is>
          <t>Föryngringsavverkning</t>
        </is>
      </c>
      <c r="D469" s="1" t="n">
        <v>45911</v>
      </c>
      <c r="E469" s="1" t="n">
        <v>46217</v>
      </c>
      <c r="F469" t="inlineStr">
        <is>
          <t>JÖNKÖPINGS LÄN</t>
        </is>
      </c>
      <c r="G469" t="inlineStr">
        <is>
          <t>VETLANDA</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33026-2022</t>
        </is>
      </c>
      <c r="B470" t="inlineStr">
        <is>
          <t>avverkningsanmälan</t>
        </is>
      </c>
      <c r="C470" t="inlineStr">
        <is>
          <t>Föryngringsavverkning</t>
        </is>
      </c>
      <c r="D470" s="1" t="n">
        <v>44785</v>
      </c>
      <c r="E470" s="1" t="n">
        <v>46217</v>
      </c>
      <c r="F470" t="inlineStr">
        <is>
          <t>JÖNKÖPINGS LÄN</t>
        </is>
      </c>
      <c r="G470" t="inlineStr">
        <is>
          <t>VETLANDA</t>
        </is>
      </c>
      <c r="I470" t="n">
        <v>7.5</v>
      </c>
      <c r="J470" t="n">
        <v>0</v>
      </c>
      <c r="K470" t="n">
        <v>0</v>
      </c>
      <c r="L470" t="n">
        <v>0</v>
      </c>
      <c r="M470" t="n">
        <v>0</v>
      </c>
      <c r="N470" t="n">
        <v>0</v>
      </c>
      <c r="O470" t="n">
        <v>0</v>
      </c>
      <c r="P470" t="n">
        <v>0</v>
      </c>
      <c r="Q470" t="n">
        <v>0</v>
      </c>
      <c r="R470" t="n">
        <v>0</v>
      </c>
      <c r="S470" t="n">
        <v>0</v>
      </c>
      <c r="T470" t="n">
        <v>0</v>
      </c>
      <c r="U470" s="2" t="inlineStr"/>
    </row>
    <row r="471" ht="15" customHeight="1">
      <c r="A471" t="inlineStr">
        <is>
          <t>A 57308-2024</t>
        </is>
      </c>
      <c r="B471" t="inlineStr">
        <is>
          <t>avverkningsanmälan</t>
        </is>
      </c>
      <c r="C471" t="inlineStr">
        <is>
          <t>Föryngringsavverkning</t>
        </is>
      </c>
      <c r="D471" s="1" t="n">
        <v>45629</v>
      </c>
      <c r="E471" s="1" t="n">
        <v>46217</v>
      </c>
      <c r="F471" t="inlineStr">
        <is>
          <t>JÖNKÖPINGS LÄN</t>
        </is>
      </c>
      <c r="G471" t="inlineStr">
        <is>
          <t>VETLANDA</t>
        </is>
      </c>
      <c r="I471" t="n">
        <v>6.6</v>
      </c>
      <c r="J471" t="n">
        <v>0</v>
      </c>
      <c r="K471" t="n">
        <v>0</v>
      </c>
      <c r="L471" t="n">
        <v>0</v>
      </c>
      <c r="M471" t="n">
        <v>0</v>
      </c>
      <c r="N471" t="n">
        <v>0</v>
      </c>
      <c r="O471" t="n">
        <v>0</v>
      </c>
      <c r="P471" t="n">
        <v>0</v>
      </c>
      <c r="Q471" t="n">
        <v>0</v>
      </c>
      <c r="R471" t="n">
        <v>0</v>
      </c>
      <c r="S471" t="n">
        <v>0</v>
      </c>
      <c r="T471" t="n">
        <v>0</v>
      </c>
      <c r="U471" s="2" t="inlineStr"/>
    </row>
    <row r="472" ht="15" customHeight="1">
      <c r="A472" t="inlineStr">
        <is>
          <t>A 22230-2025</t>
        </is>
      </c>
      <c r="B472" t="inlineStr">
        <is>
          <t>avverkningsanmälan</t>
        </is>
      </c>
      <c r="C472" t="inlineStr">
        <is>
          <t>Föryngringsavverkning</t>
        </is>
      </c>
      <c r="D472" s="1" t="n">
        <v>45785</v>
      </c>
      <c r="E472" s="1" t="n">
        <v>46217</v>
      </c>
      <c r="F472" t="inlineStr">
        <is>
          <t>JÖNKÖPINGS LÄN</t>
        </is>
      </c>
      <c r="G472" t="inlineStr">
        <is>
          <t>VETLANDA</t>
        </is>
      </c>
      <c r="I472" t="n">
        <v>4.4</v>
      </c>
      <c r="J472" t="n">
        <v>0</v>
      </c>
      <c r="K472" t="n">
        <v>0</v>
      </c>
      <c r="L472" t="n">
        <v>0</v>
      </c>
      <c r="M472" t="n">
        <v>0</v>
      </c>
      <c r="N472" t="n">
        <v>0</v>
      </c>
      <c r="O472" t="n">
        <v>0</v>
      </c>
      <c r="P472" t="n">
        <v>0</v>
      </c>
      <c r="Q472" t="n">
        <v>0</v>
      </c>
      <c r="R472" t="n">
        <v>0</v>
      </c>
      <c r="S472" t="n">
        <v>0</v>
      </c>
      <c r="T472" t="n">
        <v>0</v>
      </c>
      <c r="U472" s="2" t="inlineStr"/>
    </row>
    <row r="473" ht="15" customHeight="1">
      <c r="A473" t="inlineStr">
        <is>
          <t>A 39087-2023</t>
        </is>
      </c>
      <c r="B473" t="inlineStr">
        <is>
          <t>avverkningsanmälan</t>
        </is>
      </c>
      <c r="C473" t="inlineStr">
        <is>
          <t>Föryngringsavverkning</t>
        </is>
      </c>
      <c r="D473" s="1" t="n">
        <v>45164</v>
      </c>
      <c r="E473" s="1" t="n">
        <v>46217</v>
      </c>
      <c r="F473" t="inlineStr">
        <is>
          <t>JÖNKÖPINGS LÄN</t>
        </is>
      </c>
      <c r="G473" t="inlineStr">
        <is>
          <t>VETLANDA</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45419-2025</t>
        </is>
      </c>
      <c r="B474" t="inlineStr">
        <is>
          <t>avverkningsanmälan</t>
        </is>
      </c>
      <c r="C474" t="inlineStr">
        <is>
          <t>Föryngringsavverkning</t>
        </is>
      </c>
      <c r="D474" s="1" t="n">
        <v>45922</v>
      </c>
      <c r="E474" s="1" t="n">
        <v>46217</v>
      </c>
      <c r="F474" t="inlineStr">
        <is>
          <t>JÖNKÖPINGS LÄN</t>
        </is>
      </c>
      <c r="G474" t="inlineStr">
        <is>
          <t>VETLANDA</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12621-2023</t>
        </is>
      </c>
      <c r="B475" t="inlineStr">
        <is>
          <t>avverkningsanmälan</t>
        </is>
      </c>
      <c r="C475" t="inlineStr">
        <is>
          <t>Föryngringsavverkning</t>
        </is>
      </c>
      <c r="D475" s="1" t="n">
        <v>45000</v>
      </c>
      <c r="E475" s="1" t="n">
        <v>46217</v>
      </c>
      <c r="F475" t="inlineStr">
        <is>
          <t>JÖNKÖPINGS LÄN</t>
        </is>
      </c>
      <c r="G475" t="inlineStr">
        <is>
          <t>VETLANDA</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31165-2022</t>
        </is>
      </c>
      <c r="B476" t="inlineStr">
        <is>
          <t>avverkningsanmälan</t>
        </is>
      </c>
      <c r="C476" t="inlineStr">
        <is>
          <t>Avverkning för annat ändamål</t>
        </is>
      </c>
      <c r="D476" s="1" t="n">
        <v>44770</v>
      </c>
      <c r="E476" s="1" t="n">
        <v>46217</v>
      </c>
      <c r="F476" t="inlineStr">
        <is>
          <t>JÖNKÖPINGS LÄN</t>
        </is>
      </c>
      <c r="G476" t="inlineStr">
        <is>
          <t>VETLANDA</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61291-2024</t>
        </is>
      </c>
      <c r="B477" t="inlineStr">
        <is>
          <t>avverkningsanmälan</t>
        </is>
      </c>
      <c r="C477" t="inlineStr">
        <is>
          <t>Föryngringsavverkning</t>
        </is>
      </c>
      <c r="D477" s="1" t="n">
        <v>45645</v>
      </c>
      <c r="E477" s="1" t="n">
        <v>46217</v>
      </c>
      <c r="F477" t="inlineStr">
        <is>
          <t>JÖNKÖPINGS LÄN</t>
        </is>
      </c>
      <c r="G477" t="inlineStr">
        <is>
          <t>VETLANDA</t>
        </is>
      </c>
      <c r="H477" t="inlineStr">
        <is>
          <t>Sveaskog</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61292-2024</t>
        </is>
      </c>
      <c r="B478" t="inlineStr">
        <is>
          <t>avverkningsanmälan</t>
        </is>
      </c>
      <c r="C478" t="inlineStr">
        <is>
          <t>Föryngringsavverkning</t>
        </is>
      </c>
      <c r="D478" s="1" t="n">
        <v>45645</v>
      </c>
      <c r="E478" s="1" t="n">
        <v>46217</v>
      </c>
      <c r="F478" t="inlineStr">
        <is>
          <t>JÖNKÖPINGS LÄN</t>
        </is>
      </c>
      <c r="G478" t="inlineStr">
        <is>
          <t>VETLANDA</t>
        </is>
      </c>
      <c r="H478" t="inlineStr">
        <is>
          <t>Sveaskog</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46261-2025</t>
        </is>
      </c>
      <c r="B479" t="inlineStr">
        <is>
          <t>avverkningsanmälan</t>
        </is>
      </c>
      <c r="C479" t="inlineStr">
        <is>
          <t>Föryngringsavverkning</t>
        </is>
      </c>
      <c r="D479" s="1" t="n">
        <v>45925</v>
      </c>
      <c r="E479" s="1" t="n">
        <v>46217</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5491-2022</t>
        </is>
      </c>
      <c r="B480" t="inlineStr">
        <is>
          <t>avverkningsanmälan</t>
        </is>
      </c>
      <c r="C480" t="inlineStr">
        <is>
          <t>Föryngringsavverkning</t>
        </is>
      </c>
      <c r="D480" s="1" t="n">
        <v>44595</v>
      </c>
      <c r="E480" s="1" t="n">
        <v>46217</v>
      </c>
      <c r="F480" t="inlineStr">
        <is>
          <t>JÖNKÖPINGS LÄN</t>
        </is>
      </c>
      <c r="G480" t="inlineStr">
        <is>
          <t>VETLANDA</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46258-2025</t>
        </is>
      </c>
      <c r="B481" t="inlineStr">
        <is>
          <t>avverkningsanmälan</t>
        </is>
      </c>
      <c r="C481" t="inlineStr">
        <is>
          <t>Föryngringsavverkning</t>
        </is>
      </c>
      <c r="D481" s="1" t="n">
        <v>45925</v>
      </c>
      <c r="E481" s="1" t="n">
        <v>46217</v>
      </c>
      <c r="F481" t="inlineStr">
        <is>
          <t>JÖNKÖPINGS LÄN</t>
        </is>
      </c>
      <c r="G481" t="inlineStr">
        <is>
          <t>VETLANDA</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23375-2023</t>
        </is>
      </c>
      <c r="B482" t="inlineStr">
        <is>
          <t>avverkningsanmälan</t>
        </is>
      </c>
      <c r="C482" t="inlineStr">
        <is>
          <t>Föryngringsavverkning</t>
        </is>
      </c>
      <c r="D482" s="1" t="n">
        <v>45076</v>
      </c>
      <c r="E482" s="1" t="n">
        <v>46217</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26282-2026</t>
        </is>
      </c>
      <c r="B483" t="inlineStr">
        <is>
          <t>avverkningsanmälan</t>
        </is>
      </c>
      <c r="C483" t="inlineStr">
        <is>
          <t>Föryngringsavverkning</t>
        </is>
      </c>
      <c r="D483" s="1" t="n">
        <v>46182</v>
      </c>
      <c r="E483" s="1" t="n">
        <v>46217</v>
      </c>
      <c r="F483" t="inlineStr">
        <is>
          <t>JÖNKÖPINGS LÄN</t>
        </is>
      </c>
      <c r="G483" t="inlineStr">
        <is>
          <t>VETLANDA</t>
        </is>
      </c>
      <c r="I483" t="n">
        <v>1.7</v>
      </c>
      <c r="J483" t="n">
        <v>0</v>
      </c>
      <c r="K483" t="n">
        <v>0</v>
      </c>
      <c r="L483" t="n">
        <v>0</v>
      </c>
      <c r="M483" t="n">
        <v>0</v>
      </c>
      <c r="N483" t="n">
        <v>0</v>
      </c>
      <c r="O483" t="n">
        <v>0</v>
      </c>
      <c r="P483" t="n">
        <v>0</v>
      </c>
      <c r="Q483" t="n">
        <v>0</v>
      </c>
      <c r="R483" t="n">
        <v>0</v>
      </c>
      <c r="S483" t="n">
        <v>0</v>
      </c>
      <c r="T483" t="n">
        <v>0</v>
      </c>
      <c r="U483" s="2" t="inlineStr"/>
    </row>
    <row r="484" ht="15" customHeight="1">
      <c r="A484" t="inlineStr">
        <is>
          <t>A 46259-2025</t>
        </is>
      </c>
      <c r="B484" t="inlineStr">
        <is>
          <t>avverkningsanmälan</t>
        </is>
      </c>
      <c r="C484" t="inlineStr">
        <is>
          <t>Föryngringsavverkning</t>
        </is>
      </c>
      <c r="D484" s="1" t="n">
        <v>45925</v>
      </c>
      <c r="E484" s="1" t="n">
        <v>46217</v>
      </c>
      <c r="F484" t="inlineStr">
        <is>
          <t>JÖNKÖPINGS LÄN</t>
        </is>
      </c>
      <c r="G484" t="inlineStr">
        <is>
          <t>VETLANDA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47386-2025</t>
        </is>
      </c>
      <c r="B485" t="inlineStr">
        <is>
          <t>avverkningsanmälan</t>
        </is>
      </c>
      <c r="C485" t="inlineStr">
        <is>
          <t>Föryngringsavverkning</t>
        </is>
      </c>
      <c r="D485" s="1" t="n">
        <v>45930</v>
      </c>
      <c r="E485" s="1" t="n">
        <v>46217</v>
      </c>
      <c r="F485" t="inlineStr">
        <is>
          <t>JÖNKÖPINGS LÄN</t>
        </is>
      </c>
      <c r="G485" t="inlineStr">
        <is>
          <t>VETLANDA</t>
        </is>
      </c>
      <c r="H485" t="inlineStr">
        <is>
          <t>Kyrkan</t>
        </is>
      </c>
      <c r="I485" t="n">
        <v>5.2</v>
      </c>
      <c r="J485" t="n">
        <v>0</v>
      </c>
      <c r="K485" t="n">
        <v>0</v>
      </c>
      <c r="L485" t="n">
        <v>0</v>
      </c>
      <c r="M485" t="n">
        <v>0</v>
      </c>
      <c r="N485" t="n">
        <v>0</v>
      </c>
      <c r="O485" t="n">
        <v>0</v>
      </c>
      <c r="P485" t="n">
        <v>0</v>
      </c>
      <c r="Q485" t="n">
        <v>0</v>
      </c>
      <c r="R485" t="n">
        <v>0</v>
      </c>
      <c r="S485" t="n">
        <v>0</v>
      </c>
      <c r="T485" t="n">
        <v>0</v>
      </c>
      <c r="U485" s="2" t="inlineStr"/>
    </row>
    <row r="486" ht="15" customHeight="1">
      <c r="A486" t="inlineStr">
        <is>
          <t>A 30346-2025</t>
        </is>
      </c>
      <c r="B486" t="inlineStr">
        <is>
          <t>avverkningsanmälan</t>
        </is>
      </c>
      <c r="C486" t="inlineStr">
        <is>
          <t>Föryngringsavverkning</t>
        </is>
      </c>
      <c r="D486" s="1" t="n">
        <v>45827</v>
      </c>
      <c r="E486" s="1" t="n">
        <v>46217</v>
      </c>
      <c r="F486" t="inlineStr">
        <is>
          <t>JÖNKÖPINGS LÄN</t>
        </is>
      </c>
      <c r="G486" t="inlineStr">
        <is>
          <t>VETLANDA</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40459-2023</t>
        </is>
      </c>
      <c r="B487" t="inlineStr">
        <is>
          <t>avverkningsanmälan</t>
        </is>
      </c>
      <c r="C487" t="inlineStr">
        <is>
          <t>Föryngringsavverkning</t>
        </is>
      </c>
      <c r="D487" s="1" t="n">
        <v>45170</v>
      </c>
      <c r="E487" s="1" t="n">
        <v>46217</v>
      </c>
      <c r="F487" t="inlineStr">
        <is>
          <t>JÖNKÖPINGS LÄN</t>
        </is>
      </c>
      <c r="G487" t="inlineStr">
        <is>
          <t>VETLANDA</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32651-2022</t>
        </is>
      </c>
      <c r="B488" t="inlineStr">
        <is>
          <t>avverkningsanmälan</t>
        </is>
      </c>
      <c r="C488" t="inlineStr">
        <is>
          <t>Föryngringsavverkning</t>
        </is>
      </c>
      <c r="D488" s="1" t="n">
        <v>44783</v>
      </c>
      <c r="E488" s="1" t="n">
        <v>46217</v>
      </c>
      <c r="F488" t="inlineStr">
        <is>
          <t>JÖNKÖPINGS LÄN</t>
        </is>
      </c>
      <c r="G488" t="inlineStr">
        <is>
          <t>VETLANDA</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10175-2023</t>
        </is>
      </c>
      <c r="B489" t="inlineStr">
        <is>
          <t>avverkningsanmälan</t>
        </is>
      </c>
      <c r="C489" t="inlineStr">
        <is>
          <t>Föryngringsavverkning</t>
        </is>
      </c>
      <c r="D489" s="1" t="n">
        <v>44986</v>
      </c>
      <c r="E489" s="1" t="n">
        <v>46217</v>
      </c>
      <c r="F489" t="inlineStr">
        <is>
          <t>JÖNKÖPINGS LÄN</t>
        </is>
      </c>
      <c r="G489" t="inlineStr">
        <is>
          <t>VETLANDA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31021-2023</t>
        </is>
      </c>
      <c r="B490" t="inlineStr">
        <is>
          <t>avverkningsanmälan</t>
        </is>
      </c>
      <c r="C490" t="inlineStr">
        <is>
          <t>Föryngringsavverkning</t>
        </is>
      </c>
      <c r="D490" s="1" t="n">
        <v>45113</v>
      </c>
      <c r="E490" s="1" t="n">
        <v>46217</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31463-2023</t>
        </is>
      </c>
      <c r="B491" t="inlineStr">
        <is>
          <t>avverkningsanmälan</t>
        </is>
      </c>
      <c r="C491" t="inlineStr">
        <is>
          <t>Föryngringsavverkning</t>
        </is>
      </c>
      <c r="D491" s="1" t="n">
        <v>45114</v>
      </c>
      <c r="E491" s="1" t="n">
        <v>46217</v>
      </c>
      <c r="F491" t="inlineStr">
        <is>
          <t>JÖNKÖPINGS LÄN</t>
        </is>
      </c>
      <c r="G491" t="inlineStr">
        <is>
          <t>VETLANDA</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57794-2024</t>
        </is>
      </c>
      <c r="B492" t="inlineStr">
        <is>
          <t>avverkningsanmälan</t>
        </is>
      </c>
      <c r="C492" t="inlineStr">
        <is>
          <t>Föryngringsavverkning</t>
        </is>
      </c>
      <c r="D492" s="1" t="n">
        <v>45631</v>
      </c>
      <c r="E492" s="1" t="n">
        <v>46217</v>
      </c>
      <c r="F492" t="inlineStr">
        <is>
          <t>JÖNKÖPINGS LÄN</t>
        </is>
      </c>
      <c r="G492" t="inlineStr">
        <is>
          <t>VETLANDA</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47357-2025</t>
        </is>
      </c>
      <c r="B493" t="inlineStr">
        <is>
          <t>avverkningsanmälan</t>
        </is>
      </c>
      <c r="C493" t="inlineStr">
        <is>
          <t>Föryngringsavverkning</t>
        </is>
      </c>
      <c r="D493" s="1" t="n">
        <v>45930</v>
      </c>
      <c r="E493" s="1" t="n">
        <v>46217</v>
      </c>
      <c r="F493" t="inlineStr">
        <is>
          <t>JÖNKÖPINGS LÄN</t>
        </is>
      </c>
      <c r="G493" t="inlineStr">
        <is>
          <t>VETLANDA</t>
        </is>
      </c>
      <c r="H493" t="inlineStr">
        <is>
          <t>Kyrkan</t>
        </is>
      </c>
      <c r="I493" t="n">
        <v>6.8</v>
      </c>
      <c r="J493" t="n">
        <v>0</v>
      </c>
      <c r="K493" t="n">
        <v>0</v>
      </c>
      <c r="L493" t="n">
        <v>0</v>
      </c>
      <c r="M493" t="n">
        <v>0</v>
      </c>
      <c r="N493" t="n">
        <v>0</v>
      </c>
      <c r="O493" t="n">
        <v>0</v>
      </c>
      <c r="P493" t="n">
        <v>0</v>
      </c>
      <c r="Q493" t="n">
        <v>0</v>
      </c>
      <c r="R493" t="n">
        <v>0</v>
      </c>
      <c r="S493" t="n">
        <v>0</v>
      </c>
      <c r="T493" t="n">
        <v>0</v>
      </c>
      <c r="U493" s="2" t="inlineStr"/>
    </row>
    <row r="494" ht="15" customHeight="1">
      <c r="A494" t="inlineStr">
        <is>
          <t>A 64198-2021</t>
        </is>
      </c>
      <c r="B494" t="inlineStr">
        <is>
          <t>avverkningsanmälan</t>
        </is>
      </c>
      <c r="C494" t="inlineStr">
        <is>
          <t>Föryngringsavverkning</t>
        </is>
      </c>
      <c r="D494" s="1" t="n">
        <v>44510</v>
      </c>
      <c r="E494" s="1" t="n">
        <v>46217</v>
      </c>
      <c r="F494" t="inlineStr">
        <is>
          <t>JÖNKÖPINGS LÄN</t>
        </is>
      </c>
      <c r="G494" t="inlineStr">
        <is>
          <t>VETLANDA</t>
        </is>
      </c>
      <c r="I494" t="n">
        <v>2.8</v>
      </c>
      <c r="J494" t="n">
        <v>0</v>
      </c>
      <c r="K494" t="n">
        <v>0</v>
      </c>
      <c r="L494" t="n">
        <v>0</v>
      </c>
      <c r="M494" t="n">
        <v>0</v>
      </c>
      <c r="N494" t="n">
        <v>0</v>
      </c>
      <c r="O494" t="n">
        <v>0</v>
      </c>
      <c r="P494" t="n">
        <v>0</v>
      </c>
      <c r="Q494" t="n">
        <v>0</v>
      </c>
      <c r="R494" t="n">
        <v>0</v>
      </c>
      <c r="S494" t="n">
        <v>0</v>
      </c>
      <c r="T494" t="n">
        <v>0</v>
      </c>
      <c r="U494" s="2" t="inlineStr"/>
    </row>
    <row r="495" ht="15" customHeight="1">
      <c r="A495" t="inlineStr">
        <is>
          <t>A 47717-2025</t>
        </is>
      </c>
      <c r="B495" t="inlineStr">
        <is>
          <t>avverkningsanmälan</t>
        </is>
      </c>
      <c r="C495" t="inlineStr">
        <is>
          <t>Föryngringsavverkning</t>
        </is>
      </c>
      <c r="D495" s="1" t="n">
        <v>45931</v>
      </c>
      <c r="E495" s="1" t="n">
        <v>46217</v>
      </c>
      <c r="F495" t="inlineStr">
        <is>
          <t>JÖNKÖPINGS LÄN</t>
        </is>
      </c>
      <c r="G495" t="inlineStr">
        <is>
          <t>VETLANDA</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33245-2025</t>
        </is>
      </c>
      <c r="B496" t="inlineStr">
        <is>
          <t>avverkningsanmälan</t>
        </is>
      </c>
      <c r="C496" t="inlineStr">
        <is>
          <t>Föryngringsavverkning</t>
        </is>
      </c>
      <c r="D496" s="1" t="n">
        <v>45840</v>
      </c>
      <c r="E496" s="1" t="n">
        <v>46217</v>
      </c>
      <c r="F496" t="inlineStr">
        <is>
          <t>JÖNKÖPINGS LÄN</t>
        </is>
      </c>
      <c r="G496" t="inlineStr">
        <is>
          <t>VETLANDA</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5277-2025</t>
        </is>
      </c>
      <c r="B497" t="inlineStr">
        <is>
          <t>avverkningsanmälan</t>
        </is>
      </c>
      <c r="C497" t="inlineStr">
        <is>
          <t>Föryngringsavverkning</t>
        </is>
      </c>
      <c r="D497" s="1" t="n">
        <v>45692</v>
      </c>
      <c r="E497" s="1" t="n">
        <v>46217</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34498-2024</t>
        </is>
      </c>
      <c r="B498" t="inlineStr">
        <is>
          <t>avverkningsanmälan</t>
        </is>
      </c>
      <c r="C498" t="inlineStr">
        <is>
          <t>Föryngringsavverkning</t>
        </is>
      </c>
      <c r="D498" s="1" t="n">
        <v>45525</v>
      </c>
      <c r="E498" s="1" t="n">
        <v>46217</v>
      </c>
      <c r="F498" t="inlineStr">
        <is>
          <t>JÖNKÖPINGS LÄN</t>
        </is>
      </c>
      <c r="G498" t="inlineStr">
        <is>
          <t>VETLANDA</t>
        </is>
      </c>
      <c r="I498" t="n">
        <v>6.4</v>
      </c>
      <c r="J498" t="n">
        <v>0</v>
      </c>
      <c r="K498" t="n">
        <v>0</v>
      </c>
      <c r="L498" t="n">
        <v>0</v>
      </c>
      <c r="M498" t="n">
        <v>0</v>
      </c>
      <c r="N498" t="n">
        <v>0</v>
      </c>
      <c r="O498" t="n">
        <v>0</v>
      </c>
      <c r="P498" t="n">
        <v>0</v>
      </c>
      <c r="Q498" t="n">
        <v>0</v>
      </c>
      <c r="R498" t="n">
        <v>0</v>
      </c>
      <c r="S498" t="n">
        <v>0</v>
      </c>
      <c r="T498" t="n">
        <v>0</v>
      </c>
      <c r="U498" s="2" t="inlineStr"/>
    </row>
    <row r="499" ht="15" customHeight="1">
      <c r="A499" t="inlineStr">
        <is>
          <t>A 5163-2025</t>
        </is>
      </c>
      <c r="B499" t="inlineStr">
        <is>
          <t>avverkningsanmälan</t>
        </is>
      </c>
      <c r="C499" t="inlineStr">
        <is>
          <t>Föryngringsavverkning</t>
        </is>
      </c>
      <c r="D499" s="1" t="n">
        <v>45691</v>
      </c>
      <c r="E499" s="1" t="n">
        <v>46217</v>
      </c>
      <c r="F499" t="inlineStr">
        <is>
          <t>JÖNKÖPINGS LÄN</t>
        </is>
      </c>
      <c r="G499" t="inlineStr">
        <is>
          <t>VETLANDA</t>
        </is>
      </c>
      <c r="I499" t="n">
        <v>0.3</v>
      </c>
      <c r="J499" t="n">
        <v>0</v>
      </c>
      <c r="K499" t="n">
        <v>0</v>
      </c>
      <c r="L499" t="n">
        <v>0</v>
      </c>
      <c r="M499" t="n">
        <v>0</v>
      </c>
      <c r="N499" t="n">
        <v>0</v>
      </c>
      <c r="O499" t="n">
        <v>0</v>
      </c>
      <c r="P499" t="n">
        <v>0</v>
      </c>
      <c r="Q499" t="n">
        <v>0</v>
      </c>
      <c r="R499" t="n">
        <v>0</v>
      </c>
      <c r="S499" t="n">
        <v>0</v>
      </c>
      <c r="T499" t="n">
        <v>0</v>
      </c>
      <c r="U499" s="2" t="inlineStr"/>
    </row>
    <row r="500" ht="15" customHeight="1">
      <c r="A500" t="inlineStr">
        <is>
          <t>A 3183-2022</t>
        </is>
      </c>
      <c r="B500" t="inlineStr">
        <is>
          <t>avverkningsanmälan</t>
        </is>
      </c>
      <c r="C500" t="inlineStr">
        <is>
          <t>Föryngringsavverkning</t>
        </is>
      </c>
      <c r="D500" s="1" t="n">
        <v>44582</v>
      </c>
      <c r="E500" s="1" t="n">
        <v>46217</v>
      </c>
      <c r="F500" t="inlineStr">
        <is>
          <t>JÖNKÖPINGS LÄN</t>
        </is>
      </c>
      <c r="G500" t="inlineStr">
        <is>
          <t>VETLANDA</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48656-2025</t>
        </is>
      </c>
      <c r="B501" t="inlineStr">
        <is>
          <t>avverkningsanmälan</t>
        </is>
      </c>
      <c r="C501" t="inlineStr">
        <is>
          <t>Föryngringsavverkning</t>
        </is>
      </c>
      <c r="D501" s="1" t="n">
        <v>45936</v>
      </c>
      <c r="E501" s="1" t="n">
        <v>46217</v>
      </c>
      <c r="F501" t="inlineStr">
        <is>
          <t>JÖNKÖPINGS LÄN</t>
        </is>
      </c>
      <c r="G501" t="inlineStr">
        <is>
          <t>VETLANDA</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8501-2025</t>
        </is>
      </c>
      <c r="B502" t="inlineStr">
        <is>
          <t>avverkningsanmälan</t>
        </is>
      </c>
      <c r="C502" t="inlineStr">
        <is>
          <t>Föryngringsavverkning</t>
        </is>
      </c>
      <c r="D502" s="1" t="n">
        <v>45709</v>
      </c>
      <c r="E502" s="1" t="n">
        <v>46217</v>
      </c>
      <c r="F502" t="inlineStr">
        <is>
          <t>JÖNKÖPINGS LÄN</t>
        </is>
      </c>
      <c r="G502" t="inlineStr">
        <is>
          <t>VETLANDA</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44261-2022</t>
        </is>
      </c>
      <c r="B503" t="inlineStr">
        <is>
          <t>avverkningsanmälan</t>
        </is>
      </c>
      <c r="C503" t="inlineStr">
        <is>
          <t>Föryngringsavverkning</t>
        </is>
      </c>
      <c r="D503" s="1" t="n">
        <v>44839</v>
      </c>
      <c r="E503" s="1" t="n">
        <v>46217</v>
      </c>
      <c r="F503" t="inlineStr">
        <is>
          <t>JÖNKÖPINGS LÄN</t>
        </is>
      </c>
      <c r="G503" t="inlineStr">
        <is>
          <t>VETLANDA</t>
        </is>
      </c>
      <c r="I503" t="n">
        <v>1.9</v>
      </c>
      <c r="J503" t="n">
        <v>0</v>
      </c>
      <c r="K503" t="n">
        <v>0</v>
      </c>
      <c r="L503" t="n">
        <v>0</v>
      </c>
      <c r="M503" t="n">
        <v>0</v>
      </c>
      <c r="N503" t="n">
        <v>0</v>
      </c>
      <c r="O503" t="n">
        <v>0</v>
      </c>
      <c r="P503" t="n">
        <v>0</v>
      </c>
      <c r="Q503" t="n">
        <v>0</v>
      </c>
      <c r="R503" t="n">
        <v>0</v>
      </c>
      <c r="S503" t="n">
        <v>0</v>
      </c>
      <c r="T503" t="n">
        <v>0</v>
      </c>
      <c r="U503" s="2" t="inlineStr"/>
    </row>
    <row r="504" ht="15" customHeight="1">
      <c r="A504" t="inlineStr">
        <is>
          <t>A 60607-2024</t>
        </is>
      </c>
      <c r="B504" t="inlineStr">
        <is>
          <t>avverkningsanmälan</t>
        </is>
      </c>
      <c r="C504" t="inlineStr">
        <is>
          <t>Föryngringsavverkning</t>
        </is>
      </c>
      <c r="D504" s="1" t="n">
        <v>45644</v>
      </c>
      <c r="E504" s="1" t="n">
        <v>46217</v>
      </c>
      <c r="F504" t="inlineStr">
        <is>
          <t>JÖNKÖPINGS LÄN</t>
        </is>
      </c>
      <c r="G504" t="inlineStr">
        <is>
          <t>VETLANDA</t>
        </is>
      </c>
      <c r="I504" t="n">
        <v>0.4</v>
      </c>
      <c r="J504" t="n">
        <v>0</v>
      </c>
      <c r="K504" t="n">
        <v>0</v>
      </c>
      <c r="L504" t="n">
        <v>0</v>
      </c>
      <c r="M504" t="n">
        <v>0</v>
      </c>
      <c r="N504" t="n">
        <v>0</v>
      </c>
      <c r="O504" t="n">
        <v>0</v>
      </c>
      <c r="P504" t="n">
        <v>0</v>
      </c>
      <c r="Q504" t="n">
        <v>0</v>
      </c>
      <c r="R504" t="n">
        <v>0</v>
      </c>
      <c r="S504" t="n">
        <v>0</v>
      </c>
      <c r="T504" t="n">
        <v>0</v>
      </c>
      <c r="U504" s="2" t="inlineStr"/>
    </row>
    <row r="505" ht="15" customHeight="1">
      <c r="A505" t="inlineStr">
        <is>
          <t>A 54508-2021</t>
        </is>
      </c>
      <c r="B505" t="inlineStr">
        <is>
          <t>avverkningsanmälan</t>
        </is>
      </c>
      <c r="C505" t="inlineStr">
        <is>
          <t>Föryngringsavverkning</t>
        </is>
      </c>
      <c r="D505" s="1" t="n">
        <v>44473</v>
      </c>
      <c r="E505" s="1" t="n">
        <v>46217</v>
      </c>
      <c r="F505" t="inlineStr">
        <is>
          <t>JÖNKÖPINGS LÄN</t>
        </is>
      </c>
      <c r="G505" t="inlineStr">
        <is>
          <t>VETLANDA</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33767-2023</t>
        </is>
      </c>
      <c r="B506" t="inlineStr">
        <is>
          <t>avverkningsanmälan</t>
        </is>
      </c>
      <c r="C506" t="inlineStr">
        <is>
          <t>Föryngringsavverkning</t>
        </is>
      </c>
      <c r="D506" s="1" t="n">
        <v>45133</v>
      </c>
      <c r="E506" s="1" t="n">
        <v>46217</v>
      </c>
      <c r="F506" t="inlineStr">
        <is>
          <t>JÖNKÖPINGS LÄN</t>
        </is>
      </c>
      <c r="G506" t="inlineStr">
        <is>
          <t>VETLANDA</t>
        </is>
      </c>
      <c r="I506" t="n">
        <v>6.2</v>
      </c>
      <c r="J506" t="n">
        <v>0</v>
      </c>
      <c r="K506" t="n">
        <v>0</v>
      </c>
      <c r="L506" t="n">
        <v>0</v>
      </c>
      <c r="M506" t="n">
        <v>0</v>
      </c>
      <c r="N506" t="n">
        <v>0</v>
      </c>
      <c r="O506" t="n">
        <v>0</v>
      </c>
      <c r="P506" t="n">
        <v>0</v>
      </c>
      <c r="Q506" t="n">
        <v>0</v>
      </c>
      <c r="R506" t="n">
        <v>0</v>
      </c>
      <c r="S506" t="n">
        <v>0</v>
      </c>
      <c r="T506" t="n">
        <v>0</v>
      </c>
      <c r="U506" s="2" t="inlineStr"/>
    </row>
    <row r="507" ht="15" customHeight="1">
      <c r="A507" t="inlineStr">
        <is>
          <t>A 48595-2025</t>
        </is>
      </c>
      <c r="B507" t="inlineStr">
        <is>
          <t>avverkningsanmälan</t>
        </is>
      </c>
      <c r="C507" t="inlineStr">
        <is>
          <t>Föryngringsavverkning</t>
        </is>
      </c>
      <c r="D507" s="1" t="n">
        <v>45936</v>
      </c>
      <c r="E507" s="1" t="n">
        <v>46217</v>
      </c>
      <c r="F507" t="inlineStr">
        <is>
          <t>JÖNKÖPINGS LÄN</t>
        </is>
      </c>
      <c r="G507" t="inlineStr">
        <is>
          <t>VETLANDA</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36691-2021</t>
        </is>
      </c>
      <c r="B508" t="inlineStr">
        <is>
          <t>avverkningsanmälan</t>
        </is>
      </c>
      <c r="C508" t="inlineStr">
        <is>
          <t>Föryngringsavverkning</t>
        </is>
      </c>
      <c r="D508" s="1" t="n">
        <v>44392</v>
      </c>
      <c r="E508" s="1" t="n">
        <v>46217</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36751-2021</t>
        </is>
      </c>
      <c r="B509" t="inlineStr">
        <is>
          <t>avverkningsanmälan</t>
        </is>
      </c>
      <c r="C509" t="inlineStr">
        <is>
          <t>Föryngringsavverkning</t>
        </is>
      </c>
      <c r="D509" s="1" t="n">
        <v>44392</v>
      </c>
      <c r="E509" s="1" t="n">
        <v>46217</v>
      </c>
      <c r="F509" t="inlineStr">
        <is>
          <t>JÖNKÖPINGS LÄN</t>
        </is>
      </c>
      <c r="G509" t="inlineStr">
        <is>
          <t>VETLANDA</t>
        </is>
      </c>
      <c r="I509" t="n">
        <v>4.7</v>
      </c>
      <c r="J509" t="n">
        <v>0</v>
      </c>
      <c r="K509" t="n">
        <v>0</v>
      </c>
      <c r="L509" t="n">
        <v>0</v>
      </c>
      <c r="M509" t="n">
        <v>0</v>
      </c>
      <c r="N509" t="n">
        <v>0</v>
      </c>
      <c r="O509" t="n">
        <v>0</v>
      </c>
      <c r="P509" t="n">
        <v>0</v>
      </c>
      <c r="Q509" t="n">
        <v>0</v>
      </c>
      <c r="R509" t="n">
        <v>0</v>
      </c>
      <c r="S509" t="n">
        <v>0</v>
      </c>
      <c r="T509" t="n">
        <v>0</v>
      </c>
      <c r="U509" s="2" t="inlineStr"/>
    </row>
    <row r="510" ht="15" customHeight="1">
      <c r="A510" t="inlineStr">
        <is>
          <t>A 18665-2025</t>
        </is>
      </c>
      <c r="B510" t="inlineStr">
        <is>
          <t>avverkningsanmälan</t>
        </is>
      </c>
      <c r="C510" t="inlineStr">
        <is>
          <t>Föryngringsavverkning</t>
        </is>
      </c>
      <c r="D510" s="1" t="n">
        <v>45763</v>
      </c>
      <c r="E510" s="1" t="n">
        <v>46217</v>
      </c>
      <c r="F510" t="inlineStr">
        <is>
          <t>JÖNKÖPINGS LÄN</t>
        </is>
      </c>
      <c r="G510" t="inlineStr">
        <is>
          <t>VETLANDA</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53327-2023</t>
        </is>
      </c>
      <c r="B511" t="inlineStr">
        <is>
          <t>avverkningsanmälan</t>
        </is>
      </c>
      <c r="C511" t="inlineStr">
        <is>
          <t>Föryngringsavverkning</t>
        </is>
      </c>
      <c r="D511" s="1" t="n">
        <v>45222</v>
      </c>
      <c r="E511" s="1" t="n">
        <v>46217</v>
      </c>
      <c r="F511" t="inlineStr">
        <is>
          <t>JÖNKÖPINGS LÄN</t>
        </is>
      </c>
      <c r="G511" t="inlineStr">
        <is>
          <t>VETLANDA</t>
        </is>
      </c>
      <c r="I511" t="n">
        <v>3.2</v>
      </c>
      <c r="J511" t="n">
        <v>0</v>
      </c>
      <c r="K511" t="n">
        <v>0</v>
      </c>
      <c r="L511" t="n">
        <v>0</v>
      </c>
      <c r="M511" t="n">
        <v>0</v>
      </c>
      <c r="N511" t="n">
        <v>0</v>
      </c>
      <c r="O511" t="n">
        <v>0</v>
      </c>
      <c r="P511" t="n">
        <v>0</v>
      </c>
      <c r="Q511" t="n">
        <v>0</v>
      </c>
      <c r="R511" t="n">
        <v>0</v>
      </c>
      <c r="S511" t="n">
        <v>0</v>
      </c>
      <c r="T511" t="n">
        <v>0</v>
      </c>
      <c r="U511" s="2" t="inlineStr"/>
    </row>
    <row r="512" ht="15" customHeight="1">
      <c r="A512" t="inlineStr">
        <is>
          <t>A 10170-2025</t>
        </is>
      </c>
      <c r="B512" t="inlineStr">
        <is>
          <t>avverkningsanmälan</t>
        </is>
      </c>
      <c r="C512" t="inlineStr">
        <is>
          <t>Föryngringsavverkning</t>
        </is>
      </c>
      <c r="D512" s="1" t="n">
        <v>45719</v>
      </c>
      <c r="E512" s="1" t="n">
        <v>46217</v>
      </c>
      <c r="F512" t="inlineStr">
        <is>
          <t>JÖNKÖPINGS LÄN</t>
        </is>
      </c>
      <c r="G512" t="inlineStr">
        <is>
          <t>VETLANDA</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38726-2022</t>
        </is>
      </c>
      <c r="B513" t="inlineStr">
        <is>
          <t>avverkningsanmälan</t>
        </is>
      </c>
      <c r="C513" t="inlineStr">
        <is>
          <t>Föryngringsavverkning</t>
        </is>
      </c>
      <c r="D513" s="1" t="n">
        <v>44815</v>
      </c>
      <c r="E513" s="1" t="n">
        <v>46217</v>
      </c>
      <c r="F513" t="inlineStr">
        <is>
          <t>JÖNKÖPINGS LÄN</t>
        </is>
      </c>
      <c r="G513" t="inlineStr">
        <is>
          <t>VETLANDA</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56909-2022</t>
        </is>
      </c>
      <c r="B514" t="inlineStr">
        <is>
          <t>avverkningsanmälan</t>
        </is>
      </c>
      <c r="C514" t="inlineStr">
        <is>
          <t>Föryngringsavverkning</t>
        </is>
      </c>
      <c r="D514" s="1" t="n">
        <v>44894</v>
      </c>
      <c r="E514" s="1" t="n">
        <v>46217</v>
      </c>
      <c r="F514" t="inlineStr">
        <is>
          <t>JÖNKÖPINGS LÄN</t>
        </is>
      </c>
      <c r="G514" t="inlineStr">
        <is>
          <t>VETLANDA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20154-2024</t>
        </is>
      </c>
      <c r="B515" t="inlineStr">
        <is>
          <t>avverkningsanmälan</t>
        </is>
      </c>
      <c r="C515" t="inlineStr">
        <is>
          <t>Föryngringsavverkning</t>
        </is>
      </c>
      <c r="D515" s="1" t="n">
        <v>45434</v>
      </c>
      <c r="E515" s="1" t="n">
        <v>46217</v>
      </c>
      <c r="F515" t="inlineStr">
        <is>
          <t>JÖNKÖPINGS LÄN</t>
        </is>
      </c>
      <c r="G515" t="inlineStr">
        <is>
          <t>VETLANDA</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5136-2025</t>
        </is>
      </c>
      <c r="B516" t="inlineStr">
        <is>
          <t>avverkningsanmälan</t>
        </is>
      </c>
      <c r="C516" t="inlineStr">
        <is>
          <t>Föryngringsavverkning</t>
        </is>
      </c>
      <c r="D516" s="1" t="n">
        <v>45691</v>
      </c>
      <c r="E516" s="1" t="n">
        <v>46217</v>
      </c>
      <c r="F516" t="inlineStr">
        <is>
          <t>JÖNKÖPINGS LÄN</t>
        </is>
      </c>
      <c r="G516" t="inlineStr">
        <is>
          <t>VETLANDA</t>
        </is>
      </c>
      <c r="H516" t="inlineStr">
        <is>
          <t>Sveaskog</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50330-2025</t>
        </is>
      </c>
      <c r="B517" t="inlineStr">
        <is>
          <t>avverkningsanmälan</t>
        </is>
      </c>
      <c r="C517" t="inlineStr">
        <is>
          <t>Föryngringsavverkning</t>
        </is>
      </c>
      <c r="D517" s="1" t="n">
        <v>45944</v>
      </c>
      <c r="E517" s="1" t="n">
        <v>46217</v>
      </c>
      <c r="F517" t="inlineStr">
        <is>
          <t>JÖNKÖPINGS LÄN</t>
        </is>
      </c>
      <c r="G517" t="inlineStr">
        <is>
          <t>VETLANDA</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37676-2022</t>
        </is>
      </c>
      <c r="B518" t="inlineStr">
        <is>
          <t>avverkningsanmälan</t>
        </is>
      </c>
      <c r="C518" t="inlineStr">
        <is>
          <t>Föryngringsavverkning</t>
        </is>
      </c>
      <c r="D518" s="1" t="n">
        <v>44810</v>
      </c>
      <c r="E518" s="1" t="n">
        <v>46217</v>
      </c>
      <c r="F518" t="inlineStr">
        <is>
          <t>JÖNKÖPINGS LÄN</t>
        </is>
      </c>
      <c r="G518" t="inlineStr">
        <is>
          <t>VETLANDA</t>
        </is>
      </c>
      <c r="I518" t="n">
        <v>4.9</v>
      </c>
      <c r="J518" t="n">
        <v>0</v>
      </c>
      <c r="K518" t="n">
        <v>0</v>
      </c>
      <c r="L518" t="n">
        <v>0</v>
      </c>
      <c r="M518" t="n">
        <v>0</v>
      </c>
      <c r="N518" t="n">
        <v>0</v>
      </c>
      <c r="O518" t="n">
        <v>0</v>
      </c>
      <c r="P518" t="n">
        <v>0</v>
      </c>
      <c r="Q518" t="n">
        <v>0</v>
      </c>
      <c r="R518" t="n">
        <v>0</v>
      </c>
      <c r="S518" t="n">
        <v>0</v>
      </c>
      <c r="T518" t="n">
        <v>0</v>
      </c>
      <c r="U518" s="2" t="inlineStr"/>
    </row>
    <row r="519" ht="15" customHeight="1">
      <c r="A519" t="inlineStr">
        <is>
          <t>A 48217-2023</t>
        </is>
      </c>
      <c r="B519" t="inlineStr">
        <is>
          <t>avverkningsanmälan</t>
        </is>
      </c>
      <c r="C519" t="inlineStr">
        <is>
          <t>Föryngringsavverkning</t>
        </is>
      </c>
      <c r="D519" s="1" t="n">
        <v>45205</v>
      </c>
      <c r="E519" s="1" t="n">
        <v>46217</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22529-2023</t>
        </is>
      </c>
      <c r="B520" t="inlineStr">
        <is>
          <t>avverkningsanmälan</t>
        </is>
      </c>
      <c r="C520" t="inlineStr">
        <is>
          <t>Föryngringsavverkning</t>
        </is>
      </c>
      <c r="D520" s="1" t="n">
        <v>45071</v>
      </c>
      <c r="E520" s="1" t="n">
        <v>46217</v>
      </c>
      <c r="F520" t="inlineStr">
        <is>
          <t>JÖNKÖPINGS LÄN</t>
        </is>
      </c>
      <c r="G520" t="inlineStr">
        <is>
          <t>VETLANDA</t>
        </is>
      </c>
      <c r="I520" t="n">
        <v>2.8</v>
      </c>
      <c r="J520" t="n">
        <v>0</v>
      </c>
      <c r="K520" t="n">
        <v>0</v>
      </c>
      <c r="L520" t="n">
        <v>0</v>
      </c>
      <c r="M520" t="n">
        <v>0</v>
      </c>
      <c r="N520" t="n">
        <v>0</v>
      </c>
      <c r="O520" t="n">
        <v>0</v>
      </c>
      <c r="P520" t="n">
        <v>0</v>
      </c>
      <c r="Q520" t="n">
        <v>0</v>
      </c>
      <c r="R520" t="n">
        <v>0</v>
      </c>
      <c r="S520" t="n">
        <v>0</v>
      </c>
      <c r="T520" t="n">
        <v>0</v>
      </c>
      <c r="U520" s="2" t="inlineStr"/>
    </row>
    <row r="521" ht="15" customHeight="1">
      <c r="A521" t="inlineStr">
        <is>
          <t>A 44112-2021</t>
        </is>
      </c>
      <c r="B521" t="inlineStr">
        <is>
          <t>avverkningsanmälan</t>
        </is>
      </c>
      <c r="C521" t="inlineStr">
        <is>
          <t>Avverkning för annat ändamål</t>
        </is>
      </c>
      <c r="D521" s="1" t="n">
        <v>44434</v>
      </c>
      <c r="E521" s="1" t="n">
        <v>46217</v>
      </c>
      <c r="F521" t="inlineStr">
        <is>
          <t>JÖNKÖPINGS LÄN</t>
        </is>
      </c>
      <c r="G521" t="inlineStr">
        <is>
          <t>VETLANDA</t>
        </is>
      </c>
      <c r="I521" t="n">
        <v>0.3</v>
      </c>
      <c r="J521" t="n">
        <v>0</v>
      </c>
      <c r="K521" t="n">
        <v>0</v>
      </c>
      <c r="L521" t="n">
        <v>0</v>
      </c>
      <c r="M521" t="n">
        <v>0</v>
      </c>
      <c r="N521" t="n">
        <v>0</v>
      </c>
      <c r="O521" t="n">
        <v>0</v>
      </c>
      <c r="P521" t="n">
        <v>0</v>
      </c>
      <c r="Q521" t="n">
        <v>0</v>
      </c>
      <c r="R521" t="n">
        <v>0</v>
      </c>
      <c r="S521" t="n">
        <v>0</v>
      </c>
      <c r="T521" t="n">
        <v>0</v>
      </c>
      <c r="U521" s="2" t="inlineStr"/>
    </row>
    <row r="522" ht="15" customHeight="1">
      <c r="A522" t="inlineStr">
        <is>
          <t>A 50795-2025</t>
        </is>
      </c>
      <c r="B522" t="inlineStr">
        <is>
          <t>avverkningsanmälan</t>
        </is>
      </c>
      <c r="C522" t="inlineStr">
        <is>
          <t>Föryngringsavverkning</t>
        </is>
      </c>
      <c r="D522" s="1" t="n">
        <v>45946</v>
      </c>
      <c r="E522" s="1" t="n">
        <v>46217</v>
      </c>
      <c r="F522" t="inlineStr">
        <is>
          <t>JÖNKÖPINGS LÄN</t>
        </is>
      </c>
      <c r="G522" t="inlineStr">
        <is>
          <t>VETLANDA</t>
        </is>
      </c>
      <c r="I522" t="n">
        <v>2.8</v>
      </c>
      <c r="J522" t="n">
        <v>0</v>
      </c>
      <c r="K522" t="n">
        <v>0</v>
      </c>
      <c r="L522" t="n">
        <v>0</v>
      </c>
      <c r="M522" t="n">
        <v>0</v>
      </c>
      <c r="N522" t="n">
        <v>0</v>
      </c>
      <c r="O522" t="n">
        <v>0</v>
      </c>
      <c r="P522" t="n">
        <v>0</v>
      </c>
      <c r="Q522" t="n">
        <v>0</v>
      </c>
      <c r="R522" t="n">
        <v>0</v>
      </c>
      <c r="S522" t="n">
        <v>0</v>
      </c>
      <c r="T522" t="n">
        <v>0</v>
      </c>
      <c r="U522" s="2" t="inlineStr"/>
    </row>
    <row r="523" ht="15" customHeight="1">
      <c r="A523" t="inlineStr">
        <is>
          <t>A 63407-2023</t>
        </is>
      </c>
      <c r="B523" t="inlineStr">
        <is>
          <t>avverkningsanmälan</t>
        </is>
      </c>
      <c r="C523" t="inlineStr">
        <is>
          <t>Föryngringsavverkning</t>
        </is>
      </c>
      <c r="D523" s="1" t="n">
        <v>45274</v>
      </c>
      <c r="E523" s="1" t="n">
        <v>46217</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43018-2021</t>
        </is>
      </c>
      <c r="B524" t="inlineStr">
        <is>
          <t>avverkningsanmälan</t>
        </is>
      </c>
      <c r="C524" t="inlineStr">
        <is>
          <t>Föryngringsavverkning</t>
        </is>
      </c>
      <c r="D524" s="1" t="n">
        <v>44431</v>
      </c>
      <c r="E524" s="1" t="n">
        <v>46217</v>
      </c>
      <c r="F524" t="inlineStr">
        <is>
          <t>JÖNKÖPINGS LÄN</t>
        </is>
      </c>
      <c r="G524" t="inlineStr">
        <is>
          <t>VETLANDA</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40876-2023</t>
        </is>
      </c>
      <c r="B525" t="inlineStr">
        <is>
          <t>avverkningsanmälan</t>
        </is>
      </c>
      <c r="C525" t="inlineStr">
        <is>
          <t>Föryngringsavverkning</t>
        </is>
      </c>
      <c r="D525" s="1" t="n">
        <v>45173</v>
      </c>
      <c r="E525" s="1" t="n">
        <v>46217</v>
      </c>
      <c r="F525" t="inlineStr">
        <is>
          <t>JÖNKÖPINGS LÄN</t>
        </is>
      </c>
      <c r="G525" t="inlineStr">
        <is>
          <t>VETLANDA</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51365-2025</t>
        </is>
      </c>
      <c r="B526" t="inlineStr">
        <is>
          <t>avverkningsanmälan</t>
        </is>
      </c>
      <c r="C526" t="inlineStr">
        <is>
          <t>Föryngringsavverkning</t>
        </is>
      </c>
      <c r="D526" s="1" t="n">
        <v>45950</v>
      </c>
      <c r="E526" s="1" t="n">
        <v>46217</v>
      </c>
      <c r="F526" t="inlineStr">
        <is>
          <t>JÖNKÖPINGS LÄN</t>
        </is>
      </c>
      <c r="G526" t="inlineStr">
        <is>
          <t>VETLANDA</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24259-2023</t>
        </is>
      </c>
      <c r="B527" t="inlineStr">
        <is>
          <t>avverkningsanmälan</t>
        </is>
      </c>
      <c r="C527" t="inlineStr">
        <is>
          <t>Föryngringsavverkning</t>
        </is>
      </c>
      <c r="D527" s="1" t="n">
        <v>45079</v>
      </c>
      <c r="E527" s="1" t="n">
        <v>46217</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26925-2022</t>
        </is>
      </c>
      <c r="B528" t="inlineStr">
        <is>
          <t>avverkningsanmälan</t>
        </is>
      </c>
      <c r="C528" t="inlineStr">
        <is>
          <t>Föryngringsavverkning</t>
        </is>
      </c>
      <c r="D528" s="1" t="n">
        <v>44740</v>
      </c>
      <c r="E528" s="1" t="n">
        <v>46217</v>
      </c>
      <c r="F528" t="inlineStr">
        <is>
          <t>JÖNKÖPINGS LÄN</t>
        </is>
      </c>
      <c r="G528" t="inlineStr">
        <is>
          <t>VETLANDA</t>
        </is>
      </c>
      <c r="H528" t="inlineStr">
        <is>
          <t>Kyrkan</t>
        </is>
      </c>
      <c r="I528" t="n">
        <v>2.7</v>
      </c>
      <c r="J528" t="n">
        <v>0</v>
      </c>
      <c r="K528" t="n">
        <v>0</v>
      </c>
      <c r="L528" t="n">
        <v>0</v>
      </c>
      <c r="M528" t="n">
        <v>0</v>
      </c>
      <c r="N528" t="n">
        <v>0</v>
      </c>
      <c r="O528" t="n">
        <v>0</v>
      </c>
      <c r="P528" t="n">
        <v>0</v>
      </c>
      <c r="Q528" t="n">
        <v>0</v>
      </c>
      <c r="R528" t="n">
        <v>0</v>
      </c>
      <c r="S528" t="n">
        <v>0</v>
      </c>
      <c r="T528" t="n">
        <v>0</v>
      </c>
      <c r="U528" s="2" t="inlineStr"/>
    </row>
    <row r="529" ht="15" customHeight="1">
      <c r="A529" t="inlineStr">
        <is>
          <t>A 44070-2021</t>
        </is>
      </c>
      <c r="B529" t="inlineStr">
        <is>
          <t>avverkningsanmälan</t>
        </is>
      </c>
      <c r="C529" t="inlineStr">
        <is>
          <t>Föryngringsavverkning</t>
        </is>
      </c>
      <c r="D529" s="1" t="n">
        <v>44434</v>
      </c>
      <c r="E529" s="1" t="n">
        <v>46217</v>
      </c>
      <c r="F529" t="inlineStr">
        <is>
          <t>JÖNKÖPINGS LÄN</t>
        </is>
      </c>
      <c r="G529" t="inlineStr">
        <is>
          <t>VETLANDA</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13710-2023</t>
        </is>
      </c>
      <c r="B530" t="inlineStr">
        <is>
          <t>avverkningsanmälan</t>
        </is>
      </c>
      <c r="C530" t="inlineStr">
        <is>
          <t>Föryngringsavverkning</t>
        </is>
      </c>
      <c r="D530" s="1" t="n">
        <v>45001</v>
      </c>
      <c r="E530" s="1" t="n">
        <v>46217</v>
      </c>
      <c r="F530" t="inlineStr">
        <is>
          <t>JÖNKÖPINGS LÄN</t>
        </is>
      </c>
      <c r="G530" t="inlineStr">
        <is>
          <t>VETLANDA</t>
        </is>
      </c>
      <c r="H530" t="inlineStr">
        <is>
          <t>Kyrkan</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7186-2025</t>
        </is>
      </c>
      <c r="B531" t="inlineStr">
        <is>
          <t>avverkningsanmälan</t>
        </is>
      </c>
      <c r="C531" t="inlineStr">
        <is>
          <t>Föryngringsavverkning</t>
        </is>
      </c>
      <c r="D531" s="1" t="n">
        <v>45702</v>
      </c>
      <c r="E531" s="1" t="n">
        <v>46217</v>
      </c>
      <c r="F531" t="inlineStr">
        <is>
          <t>JÖNKÖPINGS LÄN</t>
        </is>
      </c>
      <c r="G531" t="inlineStr">
        <is>
          <t>VETLANDA</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52327-2025</t>
        </is>
      </c>
      <c r="B532" t="inlineStr">
        <is>
          <t>avverkningsanmälan</t>
        </is>
      </c>
      <c r="C532" t="inlineStr">
        <is>
          <t>Föryngringsavverkning</t>
        </is>
      </c>
      <c r="D532" s="1" t="n">
        <v>45953</v>
      </c>
      <c r="E532" s="1" t="n">
        <v>46217</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52301-2025</t>
        </is>
      </c>
      <c r="B533" t="inlineStr">
        <is>
          <t>avverkningsanmälan</t>
        </is>
      </c>
      <c r="C533" t="inlineStr">
        <is>
          <t>Föryngringsavverkning</t>
        </is>
      </c>
      <c r="D533" s="1" t="n">
        <v>45953</v>
      </c>
      <c r="E533" s="1" t="n">
        <v>46217</v>
      </c>
      <c r="F533" t="inlineStr">
        <is>
          <t>JÖNKÖPINGS LÄN</t>
        </is>
      </c>
      <c r="G533" t="inlineStr">
        <is>
          <t>VETLANDA</t>
        </is>
      </c>
      <c r="I533" t="n">
        <v>4.8</v>
      </c>
      <c r="J533" t="n">
        <v>0</v>
      </c>
      <c r="K533" t="n">
        <v>0</v>
      </c>
      <c r="L533" t="n">
        <v>0</v>
      </c>
      <c r="M533" t="n">
        <v>0</v>
      </c>
      <c r="N533" t="n">
        <v>0</v>
      </c>
      <c r="O533" t="n">
        <v>0</v>
      </c>
      <c r="P533" t="n">
        <v>0</v>
      </c>
      <c r="Q533" t="n">
        <v>0</v>
      </c>
      <c r="R533" t="n">
        <v>0</v>
      </c>
      <c r="S533" t="n">
        <v>0</v>
      </c>
      <c r="T533" t="n">
        <v>0</v>
      </c>
      <c r="U533" s="2" t="inlineStr"/>
    </row>
    <row r="534" ht="15" customHeight="1">
      <c r="A534" t="inlineStr">
        <is>
          <t>A 44034-2024</t>
        </is>
      </c>
      <c r="B534" t="inlineStr">
        <is>
          <t>avverkningsanmälan</t>
        </is>
      </c>
      <c r="C534" t="inlineStr">
        <is>
          <t>Föryngringsavverkning</t>
        </is>
      </c>
      <c r="D534" s="1" t="n">
        <v>45572</v>
      </c>
      <c r="E534" s="1" t="n">
        <v>46217</v>
      </c>
      <c r="F534" t="inlineStr">
        <is>
          <t>JÖNKÖPINGS LÄN</t>
        </is>
      </c>
      <c r="G534" t="inlineStr">
        <is>
          <t>VETLANDA</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2549-2024</t>
        </is>
      </c>
      <c r="B535" t="inlineStr">
        <is>
          <t>avverkningsanmälan</t>
        </is>
      </c>
      <c r="C535" t="inlineStr">
        <is>
          <t>Föryngringsavverkning</t>
        </is>
      </c>
      <c r="D535" s="1" t="n">
        <v>45313</v>
      </c>
      <c r="E535" s="1" t="n">
        <v>46217</v>
      </c>
      <c r="F535" t="inlineStr">
        <is>
          <t>JÖNKÖPINGS LÄN</t>
        </is>
      </c>
      <c r="G535" t="inlineStr">
        <is>
          <t>VETLANDA</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33679-2025</t>
        </is>
      </c>
      <c r="B536" t="inlineStr">
        <is>
          <t>avverkningsanmälan</t>
        </is>
      </c>
      <c r="C536" t="inlineStr">
        <is>
          <t>Föryngringsavverkning</t>
        </is>
      </c>
      <c r="D536" s="1" t="n">
        <v>45841</v>
      </c>
      <c r="E536" s="1" t="n">
        <v>46217</v>
      </c>
      <c r="F536" t="inlineStr">
        <is>
          <t>JÖNKÖPINGS LÄN</t>
        </is>
      </c>
      <c r="G536" t="inlineStr">
        <is>
          <t>VETLANDA</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26289-2026</t>
        </is>
      </c>
      <c r="B537" t="inlineStr">
        <is>
          <t>avverkningsanmälan</t>
        </is>
      </c>
      <c r="C537" t="inlineStr">
        <is>
          <t>Föryngringsavverkning</t>
        </is>
      </c>
      <c r="D537" s="1" t="n">
        <v>46182</v>
      </c>
      <c r="E537" s="1" t="n">
        <v>46217</v>
      </c>
      <c r="F537" t="inlineStr">
        <is>
          <t>JÖNKÖPINGS LÄN</t>
        </is>
      </c>
      <c r="G537" t="inlineStr">
        <is>
          <t>VETLANDA</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22075-2023</t>
        </is>
      </c>
      <c r="B538" t="inlineStr">
        <is>
          <t>avverkningsanmälan</t>
        </is>
      </c>
      <c r="C538" t="inlineStr">
        <is>
          <t>Föryngringsavverkning</t>
        </is>
      </c>
      <c r="D538" s="1" t="n">
        <v>45069</v>
      </c>
      <c r="E538" s="1" t="n">
        <v>46217</v>
      </c>
      <c r="F538" t="inlineStr">
        <is>
          <t>JÖNKÖPINGS LÄN</t>
        </is>
      </c>
      <c r="G538" t="inlineStr">
        <is>
          <t>VETLANDA</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26297-2026</t>
        </is>
      </c>
      <c r="B539" t="inlineStr">
        <is>
          <t>avverkningsanmälan</t>
        </is>
      </c>
      <c r="C539" t="inlineStr">
        <is>
          <t>Föryngringsavverkning</t>
        </is>
      </c>
      <c r="D539" s="1" t="n">
        <v>46182</v>
      </c>
      <c r="E539" s="1" t="n">
        <v>46217</v>
      </c>
      <c r="F539" t="inlineStr">
        <is>
          <t>JÖNKÖPINGS LÄN</t>
        </is>
      </c>
      <c r="G539" t="inlineStr">
        <is>
          <t>VETLANDA</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61471-2022</t>
        </is>
      </c>
      <c r="B540" t="inlineStr">
        <is>
          <t>avverkningsanmälan</t>
        </is>
      </c>
      <c r="C540" t="inlineStr">
        <is>
          <t>Föryngringsavverkning</t>
        </is>
      </c>
      <c r="D540" s="1" t="n">
        <v>44916</v>
      </c>
      <c r="E540" s="1" t="n">
        <v>46217</v>
      </c>
      <c r="F540" t="inlineStr">
        <is>
          <t>JÖNKÖPINGS LÄN</t>
        </is>
      </c>
      <c r="G540" t="inlineStr">
        <is>
          <t>VETLANDA</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29207-2023</t>
        </is>
      </c>
      <c r="B541" t="inlineStr">
        <is>
          <t>avverkningsanmälan</t>
        </is>
      </c>
      <c r="C541" t="inlineStr">
        <is>
          <t>Föryngringsavverkning</t>
        </is>
      </c>
      <c r="D541" s="1" t="n">
        <v>45105</v>
      </c>
      <c r="E541" s="1" t="n">
        <v>46217</v>
      </c>
      <c r="F541" t="inlineStr">
        <is>
          <t>JÖNKÖPINGS LÄN</t>
        </is>
      </c>
      <c r="G541" t="inlineStr">
        <is>
          <t>VETLANDA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54254-2023</t>
        </is>
      </c>
      <c r="B542" t="inlineStr">
        <is>
          <t>avverkningsanmälan</t>
        </is>
      </c>
      <c r="C542" t="inlineStr">
        <is>
          <t>Avverkning för annat ändamål</t>
        </is>
      </c>
      <c r="D542" s="1" t="n">
        <v>45232</v>
      </c>
      <c r="E542" s="1" t="n">
        <v>46217</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22253-2025</t>
        </is>
      </c>
      <c r="B543" t="inlineStr">
        <is>
          <t>avverkningsanmälan</t>
        </is>
      </c>
      <c r="C543" t="inlineStr">
        <is>
          <t>Föryngringsavverkning</t>
        </is>
      </c>
      <c r="D543" s="1" t="n">
        <v>45785</v>
      </c>
      <c r="E543" s="1" t="n">
        <v>46217</v>
      </c>
      <c r="F543" t="inlineStr">
        <is>
          <t>JÖNKÖPINGS LÄN</t>
        </is>
      </c>
      <c r="G543" t="inlineStr">
        <is>
          <t>VETLANDA</t>
        </is>
      </c>
      <c r="I543" t="n">
        <v>1.9</v>
      </c>
      <c r="J543" t="n">
        <v>0</v>
      </c>
      <c r="K543" t="n">
        <v>0</v>
      </c>
      <c r="L543" t="n">
        <v>0</v>
      </c>
      <c r="M543" t="n">
        <v>0</v>
      </c>
      <c r="N543" t="n">
        <v>0</v>
      </c>
      <c r="O543" t="n">
        <v>0</v>
      </c>
      <c r="P543" t="n">
        <v>0</v>
      </c>
      <c r="Q543" t="n">
        <v>0</v>
      </c>
      <c r="R543" t="n">
        <v>0</v>
      </c>
      <c r="S543" t="n">
        <v>0</v>
      </c>
      <c r="T543" t="n">
        <v>0</v>
      </c>
      <c r="U543" s="2" t="inlineStr"/>
    </row>
    <row r="544" ht="15" customHeight="1">
      <c r="A544" t="inlineStr">
        <is>
          <t>A 39621-2022</t>
        </is>
      </c>
      <c r="B544" t="inlineStr">
        <is>
          <t>avverkningsanmälan</t>
        </is>
      </c>
      <c r="C544" t="inlineStr">
        <is>
          <t>Föryngringsavverkning</t>
        </is>
      </c>
      <c r="D544" s="1" t="n">
        <v>44818</v>
      </c>
      <c r="E544" s="1" t="n">
        <v>46217</v>
      </c>
      <c r="F544" t="inlineStr">
        <is>
          <t>JÖNKÖPINGS LÄN</t>
        </is>
      </c>
      <c r="G544" t="inlineStr">
        <is>
          <t>VETLANDA</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24537-2023</t>
        </is>
      </c>
      <c r="B545" t="inlineStr">
        <is>
          <t>avverkningsanmälan</t>
        </is>
      </c>
      <c r="C545" t="inlineStr">
        <is>
          <t>Föryngringsavverkning</t>
        </is>
      </c>
      <c r="D545" s="1" t="n">
        <v>45082</v>
      </c>
      <c r="E545" s="1" t="n">
        <v>46217</v>
      </c>
      <c r="F545" t="inlineStr">
        <is>
          <t>JÖNKÖPINGS LÄN</t>
        </is>
      </c>
      <c r="G545" t="inlineStr">
        <is>
          <t>VETLANDA</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43437-2024</t>
        </is>
      </c>
      <c r="B546" t="inlineStr">
        <is>
          <t>avverkningsanmälan</t>
        </is>
      </c>
      <c r="C546" t="inlineStr">
        <is>
          <t>Föryngringsavverkning</t>
        </is>
      </c>
      <c r="D546" s="1" t="n">
        <v>45568</v>
      </c>
      <c r="E546" s="1" t="n">
        <v>46217</v>
      </c>
      <c r="F546" t="inlineStr">
        <is>
          <t>JÖNKÖPINGS LÄN</t>
        </is>
      </c>
      <c r="G546" t="inlineStr">
        <is>
          <t>VETLANDA</t>
        </is>
      </c>
      <c r="H546" t="inlineStr">
        <is>
          <t>Kyrkan</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64383-2021</t>
        </is>
      </c>
      <c r="B547" t="inlineStr">
        <is>
          <t>avverkningsanmälan</t>
        </is>
      </c>
      <c r="C547" t="inlineStr">
        <is>
          <t>Föryngringsavverkning</t>
        </is>
      </c>
      <c r="D547" s="1" t="n">
        <v>44511</v>
      </c>
      <c r="E547" s="1" t="n">
        <v>46217</v>
      </c>
      <c r="F547" t="inlineStr">
        <is>
          <t>JÖNKÖPINGS LÄN</t>
        </is>
      </c>
      <c r="G547" t="inlineStr">
        <is>
          <t>VETLANDA</t>
        </is>
      </c>
      <c r="I547" t="n">
        <v>3.6</v>
      </c>
      <c r="J547" t="n">
        <v>0</v>
      </c>
      <c r="K547" t="n">
        <v>0</v>
      </c>
      <c r="L547" t="n">
        <v>0</v>
      </c>
      <c r="M547" t="n">
        <v>0</v>
      </c>
      <c r="N547" t="n">
        <v>0</v>
      </c>
      <c r="O547" t="n">
        <v>0</v>
      </c>
      <c r="P547" t="n">
        <v>0</v>
      </c>
      <c r="Q547" t="n">
        <v>0</v>
      </c>
      <c r="R547" t="n">
        <v>0</v>
      </c>
      <c r="S547" t="n">
        <v>0</v>
      </c>
      <c r="T547" t="n">
        <v>0</v>
      </c>
      <c r="U547" s="2" t="inlineStr"/>
    </row>
    <row r="548" ht="15" customHeight="1">
      <c r="A548" t="inlineStr">
        <is>
          <t>A 36768-2024</t>
        </is>
      </c>
      <c r="B548" t="inlineStr">
        <is>
          <t>avverkningsanmälan</t>
        </is>
      </c>
      <c r="C548" t="inlineStr">
        <is>
          <t>Föryngringsavverkning</t>
        </is>
      </c>
      <c r="D548" s="1" t="n">
        <v>45538</v>
      </c>
      <c r="E548" s="1" t="n">
        <v>46217</v>
      </c>
      <c r="F548" t="inlineStr">
        <is>
          <t>JÖNKÖPINGS LÄN</t>
        </is>
      </c>
      <c r="G548" t="inlineStr">
        <is>
          <t>VETLANDA</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52260-2021</t>
        </is>
      </c>
      <c r="B549" t="inlineStr">
        <is>
          <t>avverkningsanmälan</t>
        </is>
      </c>
      <c r="C549" t="inlineStr">
        <is>
          <t>Föryngringsavverkning</t>
        </is>
      </c>
      <c r="D549" s="1" t="n">
        <v>44463</v>
      </c>
      <c r="E549" s="1" t="n">
        <v>46217</v>
      </c>
      <c r="F549" t="inlineStr">
        <is>
          <t>JÖNKÖPINGS LÄN</t>
        </is>
      </c>
      <c r="G549" t="inlineStr">
        <is>
          <t>VETLANDA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54525-2025</t>
        </is>
      </c>
      <c r="B550" t="inlineStr">
        <is>
          <t>avverkningsanmälan</t>
        </is>
      </c>
      <c r="C550" t="inlineStr">
        <is>
          <t>Föryngringsavverkning</t>
        </is>
      </c>
      <c r="D550" s="1" t="n">
        <v>45965</v>
      </c>
      <c r="E550" s="1" t="n">
        <v>46217</v>
      </c>
      <c r="F550" t="inlineStr">
        <is>
          <t>JÖNKÖPINGS LÄN</t>
        </is>
      </c>
      <c r="G550" t="inlineStr">
        <is>
          <t>VETLANDA</t>
        </is>
      </c>
      <c r="I550" t="n">
        <v>2.6</v>
      </c>
      <c r="J550" t="n">
        <v>0</v>
      </c>
      <c r="K550" t="n">
        <v>0</v>
      </c>
      <c r="L550" t="n">
        <v>0</v>
      </c>
      <c r="M550" t="n">
        <v>0</v>
      </c>
      <c r="N550" t="n">
        <v>0</v>
      </c>
      <c r="O550" t="n">
        <v>0</v>
      </c>
      <c r="P550" t="n">
        <v>0</v>
      </c>
      <c r="Q550" t="n">
        <v>0</v>
      </c>
      <c r="R550" t="n">
        <v>0</v>
      </c>
      <c r="S550" t="n">
        <v>0</v>
      </c>
      <c r="T550" t="n">
        <v>0</v>
      </c>
      <c r="U550" s="2" t="inlineStr"/>
    </row>
    <row r="551" ht="15" customHeight="1">
      <c r="A551" t="inlineStr">
        <is>
          <t>A 45261-2021</t>
        </is>
      </c>
      <c r="B551" t="inlineStr">
        <is>
          <t>avverkningsanmälan</t>
        </is>
      </c>
      <c r="C551" t="inlineStr">
        <is>
          <t>Föryngringsavverkning</t>
        </is>
      </c>
      <c r="D551" s="1" t="n">
        <v>44439</v>
      </c>
      <c r="E551" s="1" t="n">
        <v>46217</v>
      </c>
      <c r="F551" t="inlineStr">
        <is>
          <t>JÖNKÖPINGS LÄN</t>
        </is>
      </c>
      <c r="G551" t="inlineStr">
        <is>
          <t>VETLANDA</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29413-2022</t>
        </is>
      </c>
      <c r="B552" t="inlineStr">
        <is>
          <t>avverkningsanmälan</t>
        </is>
      </c>
      <c r="C552" t="inlineStr">
        <is>
          <t>Föryngringsavverkning</t>
        </is>
      </c>
      <c r="D552" s="1" t="n">
        <v>44753</v>
      </c>
      <c r="E552" s="1" t="n">
        <v>46217</v>
      </c>
      <c r="F552" t="inlineStr">
        <is>
          <t>JÖNKÖPINGS LÄN</t>
        </is>
      </c>
      <c r="G552" t="inlineStr">
        <is>
          <t>VETLANDA</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48006-2024</t>
        </is>
      </c>
      <c r="B553" t="inlineStr">
        <is>
          <t>avverkningsanmälan</t>
        </is>
      </c>
      <c r="C553" t="inlineStr">
        <is>
          <t>Föryngringsavverkning</t>
        </is>
      </c>
      <c r="D553" s="1" t="n">
        <v>45589</v>
      </c>
      <c r="E553" s="1" t="n">
        <v>46217</v>
      </c>
      <c r="F553" t="inlineStr">
        <is>
          <t>JÖNKÖPINGS LÄN</t>
        </is>
      </c>
      <c r="G553" t="inlineStr">
        <is>
          <t>VETLANDA</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16038-2025</t>
        </is>
      </c>
      <c r="B554" t="inlineStr">
        <is>
          <t>avverkningsanmälan</t>
        </is>
      </c>
      <c r="C554" t="inlineStr">
        <is>
          <t>Föryngringsavverkning</t>
        </is>
      </c>
      <c r="D554" s="1" t="n">
        <v>45748</v>
      </c>
      <c r="E554" s="1" t="n">
        <v>46217</v>
      </c>
      <c r="F554" t="inlineStr">
        <is>
          <t>JÖNKÖPINGS LÄN</t>
        </is>
      </c>
      <c r="G554" t="inlineStr">
        <is>
          <t>VETLANDA</t>
        </is>
      </c>
      <c r="H554" t="inlineStr">
        <is>
          <t>Kyrkan</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16039-2025</t>
        </is>
      </c>
      <c r="B555" t="inlineStr">
        <is>
          <t>avverkningsanmälan</t>
        </is>
      </c>
      <c r="C555" t="inlineStr">
        <is>
          <t>Föryngringsavverkning</t>
        </is>
      </c>
      <c r="D555" s="1" t="n">
        <v>45748</v>
      </c>
      <c r="E555" s="1" t="n">
        <v>46217</v>
      </c>
      <c r="F555" t="inlineStr">
        <is>
          <t>JÖNKÖPINGS LÄN</t>
        </is>
      </c>
      <c r="G555" t="inlineStr">
        <is>
          <t>VETLANDA</t>
        </is>
      </c>
      <c r="H555" t="inlineStr">
        <is>
          <t>Kyrkan</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52427-2022</t>
        </is>
      </c>
      <c r="B556" t="inlineStr">
        <is>
          <t>avverkningsanmälan</t>
        </is>
      </c>
      <c r="C556" t="inlineStr">
        <is>
          <t>Föryngringsavverkning</t>
        </is>
      </c>
      <c r="D556" s="1" t="n">
        <v>44869</v>
      </c>
      <c r="E556" s="1" t="n">
        <v>46217</v>
      </c>
      <c r="F556" t="inlineStr">
        <is>
          <t>JÖNKÖPINGS LÄN</t>
        </is>
      </c>
      <c r="G556" t="inlineStr">
        <is>
          <t>VETLANDA</t>
        </is>
      </c>
      <c r="I556" t="n">
        <v>5.3</v>
      </c>
      <c r="J556" t="n">
        <v>0</v>
      </c>
      <c r="K556" t="n">
        <v>0</v>
      </c>
      <c r="L556" t="n">
        <v>0</v>
      </c>
      <c r="M556" t="n">
        <v>0</v>
      </c>
      <c r="N556" t="n">
        <v>0</v>
      </c>
      <c r="O556" t="n">
        <v>0</v>
      </c>
      <c r="P556" t="n">
        <v>0</v>
      </c>
      <c r="Q556" t="n">
        <v>0</v>
      </c>
      <c r="R556" t="n">
        <v>0</v>
      </c>
      <c r="S556" t="n">
        <v>0</v>
      </c>
      <c r="T556" t="n">
        <v>0</v>
      </c>
      <c r="U556" s="2" t="inlineStr"/>
    </row>
    <row r="557" ht="15" customHeight="1">
      <c r="A557" t="inlineStr">
        <is>
          <t>A 17962-2026</t>
        </is>
      </c>
      <c r="B557" t="inlineStr">
        <is>
          <t>avverkningsanmälan</t>
        </is>
      </c>
      <c r="C557" t="inlineStr">
        <is>
          <t>Föryngringsavverkning</t>
        </is>
      </c>
      <c r="D557" s="1" t="n">
        <v>46122</v>
      </c>
      <c r="E557" s="1" t="n">
        <v>46217</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16805-2025</t>
        </is>
      </c>
      <c r="B558" t="inlineStr">
        <is>
          <t>avverkningsanmälan</t>
        </is>
      </c>
      <c r="C558" t="inlineStr">
        <is>
          <t>Föryngringsavverkning</t>
        </is>
      </c>
      <c r="D558" s="1" t="n">
        <v>45754</v>
      </c>
      <c r="E558" s="1" t="n">
        <v>46217</v>
      </c>
      <c r="F558" t="inlineStr">
        <is>
          <t>JÖNKÖPINGS LÄN</t>
        </is>
      </c>
      <c r="G558" t="inlineStr">
        <is>
          <t>VETLANDA</t>
        </is>
      </c>
      <c r="H558" t="inlineStr">
        <is>
          <t>Sveaskog</t>
        </is>
      </c>
      <c r="I558" t="n">
        <v>3.9</v>
      </c>
      <c r="J558" t="n">
        <v>0</v>
      </c>
      <c r="K558" t="n">
        <v>0</v>
      </c>
      <c r="L558" t="n">
        <v>0</v>
      </c>
      <c r="M558" t="n">
        <v>0</v>
      </c>
      <c r="N558" t="n">
        <v>0</v>
      </c>
      <c r="O558" t="n">
        <v>0</v>
      </c>
      <c r="P558" t="n">
        <v>0</v>
      </c>
      <c r="Q558" t="n">
        <v>0</v>
      </c>
      <c r="R558" t="n">
        <v>0</v>
      </c>
      <c r="S558" t="n">
        <v>0</v>
      </c>
      <c r="T558" t="n">
        <v>0</v>
      </c>
      <c r="U558" s="2" t="inlineStr"/>
    </row>
    <row r="559" ht="15" customHeight="1">
      <c r="A559" t="inlineStr">
        <is>
          <t>A 55944-2021</t>
        </is>
      </c>
      <c r="B559" t="inlineStr">
        <is>
          <t>avverkningsanmälan</t>
        </is>
      </c>
      <c r="C559" t="inlineStr">
        <is>
          <t>Föryngringsavverkning</t>
        </is>
      </c>
      <c r="D559" s="1" t="n">
        <v>44477</v>
      </c>
      <c r="E559" s="1" t="n">
        <v>46217</v>
      </c>
      <c r="F559" t="inlineStr">
        <is>
          <t>JÖNKÖPINGS LÄN</t>
        </is>
      </c>
      <c r="G559" t="inlineStr">
        <is>
          <t>VETLANDA</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56254-2025</t>
        </is>
      </c>
      <c r="B560" t="inlineStr">
        <is>
          <t>avverkningsanmälan</t>
        </is>
      </c>
      <c r="C560" t="inlineStr">
        <is>
          <t>Föryngringsavverkning</t>
        </is>
      </c>
      <c r="D560" s="1" t="n">
        <v>45974</v>
      </c>
      <c r="E560" s="1" t="n">
        <v>46217</v>
      </c>
      <c r="F560" t="inlineStr">
        <is>
          <t>JÖNKÖPINGS LÄN</t>
        </is>
      </c>
      <c r="G560" t="inlineStr">
        <is>
          <t>VETLANDA</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20805-2024</t>
        </is>
      </c>
      <c r="B561" t="inlineStr">
        <is>
          <t>avverkningsanmälan</t>
        </is>
      </c>
      <c r="C561" t="inlineStr">
        <is>
          <t>Föryngringsavverkning</t>
        </is>
      </c>
      <c r="D561" s="1" t="n">
        <v>45438</v>
      </c>
      <c r="E561" s="1" t="n">
        <v>46217</v>
      </c>
      <c r="F561" t="inlineStr">
        <is>
          <t>JÖNKÖPINGS LÄN</t>
        </is>
      </c>
      <c r="G561" t="inlineStr">
        <is>
          <t>VETLANDA</t>
        </is>
      </c>
      <c r="I561" t="n">
        <v>3.6</v>
      </c>
      <c r="J561" t="n">
        <v>0</v>
      </c>
      <c r="K561" t="n">
        <v>0</v>
      </c>
      <c r="L561" t="n">
        <v>0</v>
      </c>
      <c r="M561" t="n">
        <v>0</v>
      </c>
      <c r="N561" t="n">
        <v>0</v>
      </c>
      <c r="O561" t="n">
        <v>0</v>
      </c>
      <c r="P561" t="n">
        <v>0</v>
      </c>
      <c r="Q561" t="n">
        <v>0</v>
      </c>
      <c r="R561" t="n">
        <v>0</v>
      </c>
      <c r="S561" t="n">
        <v>0</v>
      </c>
      <c r="T561" t="n">
        <v>0</v>
      </c>
      <c r="U561" s="2" t="inlineStr"/>
    </row>
    <row r="562" ht="15" customHeight="1">
      <c r="A562" t="inlineStr">
        <is>
          <t>A 34794-2024</t>
        </is>
      </c>
      <c r="B562" t="inlineStr">
        <is>
          <t>avverkningsanmälan</t>
        </is>
      </c>
      <c r="C562" t="inlineStr">
        <is>
          <t>Föryngringsavverkning</t>
        </is>
      </c>
      <c r="D562" s="1" t="n">
        <v>45526</v>
      </c>
      <c r="E562" s="1" t="n">
        <v>46217</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16070-2024</t>
        </is>
      </c>
      <c r="B563" t="inlineStr">
        <is>
          <t>avverkningsanmälan</t>
        </is>
      </c>
      <c r="C563" t="inlineStr">
        <is>
          <t>Föryngringsavverkning</t>
        </is>
      </c>
      <c r="D563" s="1" t="n">
        <v>45406</v>
      </c>
      <c r="E563" s="1" t="n">
        <v>46217</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28841-2023</t>
        </is>
      </c>
      <c r="B564" t="inlineStr">
        <is>
          <t>avverkningsanmälan</t>
        </is>
      </c>
      <c r="C564" t="inlineStr">
        <is>
          <t>Föryngringsavverkning</t>
        </is>
      </c>
      <c r="D564" s="1" t="n">
        <v>45104</v>
      </c>
      <c r="E564" s="1" t="n">
        <v>46217</v>
      </c>
      <c r="F564" t="inlineStr">
        <is>
          <t>JÖNKÖPINGS LÄN</t>
        </is>
      </c>
      <c r="G564" t="inlineStr">
        <is>
          <t>VETLANDA</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58102-2021</t>
        </is>
      </c>
      <c r="B565" t="inlineStr">
        <is>
          <t>avverkningsanmälan</t>
        </is>
      </c>
      <c r="C565" t="inlineStr">
        <is>
          <t>Föryngringsavverkning</t>
        </is>
      </c>
      <c r="D565" s="1" t="n">
        <v>44487</v>
      </c>
      <c r="E565" s="1" t="n">
        <v>46217</v>
      </c>
      <c r="F565" t="inlineStr">
        <is>
          <t>JÖNKÖPINGS LÄN</t>
        </is>
      </c>
      <c r="G565" t="inlineStr">
        <is>
          <t>VETLANDA</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471-2024</t>
        </is>
      </c>
      <c r="B566" t="inlineStr">
        <is>
          <t>avverkningsanmälan</t>
        </is>
      </c>
      <c r="C566" t="inlineStr">
        <is>
          <t>Föryngringsavverkning</t>
        </is>
      </c>
      <c r="D566" s="1" t="n">
        <v>45297</v>
      </c>
      <c r="E566" s="1" t="n">
        <v>46217</v>
      </c>
      <c r="F566" t="inlineStr">
        <is>
          <t>JÖNKÖPINGS LÄN</t>
        </is>
      </c>
      <c r="G566" t="inlineStr">
        <is>
          <t>VETLANDA</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63789-2023</t>
        </is>
      </c>
      <c r="B567" t="inlineStr">
        <is>
          <t>avverkningsanmälan</t>
        </is>
      </c>
      <c r="C567" t="inlineStr">
        <is>
          <t>Föryngringsavverkning</t>
        </is>
      </c>
      <c r="D567" s="1" t="n">
        <v>45278</v>
      </c>
      <c r="E567" s="1" t="n">
        <v>46217</v>
      </c>
      <c r="F567" t="inlineStr">
        <is>
          <t>JÖNKÖPINGS LÄN</t>
        </is>
      </c>
      <c r="G567" t="inlineStr">
        <is>
          <t>VETLANDA</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19844-2025</t>
        </is>
      </c>
      <c r="B568" t="inlineStr">
        <is>
          <t>avverkningsanmälan</t>
        </is>
      </c>
      <c r="C568" t="inlineStr">
        <is>
          <t>Avverkning för att bevara och utveckla /försöksver</t>
        </is>
      </c>
      <c r="D568" s="1" t="n">
        <v>45771</v>
      </c>
      <c r="E568" s="1" t="n">
        <v>46217</v>
      </c>
      <c r="F568" t="inlineStr">
        <is>
          <t>JÖNKÖPINGS LÄN</t>
        </is>
      </c>
      <c r="G568" t="inlineStr">
        <is>
          <t>VETLANDA</t>
        </is>
      </c>
      <c r="H568" t="inlineStr">
        <is>
          <t>Sveaskog</t>
        </is>
      </c>
      <c r="I568" t="n">
        <v>8.699999999999999</v>
      </c>
      <c r="J568" t="n">
        <v>0</v>
      </c>
      <c r="K568" t="n">
        <v>0</v>
      </c>
      <c r="L568" t="n">
        <v>0</v>
      </c>
      <c r="M568" t="n">
        <v>0</v>
      </c>
      <c r="N568" t="n">
        <v>0</v>
      </c>
      <c r="O568" t="n">
        <v>0</v>
      </c>
      <c r="P568" t="n">
        <v>0</v>
      </c>
      <c r="Q568" t="n">
        <v>0</v>
      </c>
      <c r="R568" t="n">
        <v>0</v>
      </c>
      <c r="S568" t="n">
        <v>0</v>
      </c>
      <c r="T568" t="n">
        <v>0</v>
      </c>
      <c r="U568" s="2" t="inlineStr"/>
    </row>
    <row r="569" ht="15" customHeight="1">
      <c r="A569" t="inlineStr">
        <is>
          <t>A 19845-2025</t>
        </is>
      </c>
      <c r="B569" t="inlineStr">
        <is>
          <t>avverkningsanmälan</t>
        </is>
      </c>
      <c r="C569" t="inlineStr">
        <is>
          <t>Avverkning för att bevara och utveckla /försöksver</t>
        </is>
      </c>
      <c r="D569" s="1" t="n">
        <v>45771</v>
      </c>
      <c r="E569" s="1" t="n">
        <v>46217</v>
      </c>
      <c r="F569" t="inlineStr">
        <is>
          <t>JÖNKÖPINGS LÄN</t>
        </is>
      </c>
      <c r="G569" t="inlineStr">
        <is>
          <t>VETLANDA</t>
        </is>
      </c>
      <c r="H569" t="inlineStr">
        <is>
          <t>Sveaskog</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8220-2024</t>
        </is>
      </c>
      <c r="B570" t="inlineStr">
        <is>
          <t>avverkningsanmälan</t>
        </is>
      </c>
      <c r="C570" t="inlineStr">
        <is>
          <t>Föryngringsavverkning</t>
        </is>
      </c>
      <c r="D570" s="1" t="n">
        <v>45351</v>
      </c>
      <c r="E570" s="1" t="n">
        <v>46217</v>
      </c>
      <c r="F570" t="inlineStr">
        <is>
          <t>JÖNKÖPINGS LÄN</t>
        </is>
      </c>
      <c r="G570" t="inlineStr">
        <is>
          <t>VETLANDA</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58433-2023</t>
        </is>
      </c>
      <c r="B571" t="inlineStr">
        <is>
          <t>avverkningsanmälan</t>
        </is>
      </c>
      <c r="C571" t="inlineStr">
        <is>
          <t>Föryngringsavverkning</t>
        </is>
      </c>
      <c r="D571" s="1" t="n">
        <v>45250</v>
      </c>
      <c r="E571" s="1" t="n">
        <v>46217</v>
      </c>
      <c r="F571" t="inlineStr">
        <is>
          <t>JÖNKÖPINGS LÄN</t>
        </is>
      </c>
      <c r="G571" t="inlineStr">
        <is>
          <t>VETLANDA</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11962-2024</t>
        </is>
      </c>
      <c r="B572" t="inlineStr">
        <is>
          <t>avverkningsanmälan</t>
        </is>
      </c>
      <c r="C572" t="inlineStr">
        <is>
          <t>Föryngringsavverkning</t>
        </is>
      </c>
      <c r="D572" s="1" t="n">
        <v>45376</v>
      </c>
      <c r="E572" s="1" t="n">
        <v>46217</v>
      </c>
      <c r="F572" t="inlineStr">
        <is>
          <t>JÖNKÖPINGS LÄN</t>
        </is>
      </c>
      <c r="G572" t="inlineStr">
        <is>
          <t>VETLANDA</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28126-2023</t>
        </is>
      </c>
      <c r="B573" t="inlineStr">
        <is>
          <t>avverkningsanmälan</t>
        </is>
      </c>
      <c r="C573" t="inlineStr">
        <is>
          <t>Föryngringsavverkning</t>
        </is>
      </c>
      <c r="D573" s="1" t="n">
        <v>45099</v>
      </c>
      <c r="E573" s="1" t="n">
        <v>46217</v>
      </c>
      <c r="F573" t="inlineStr">
        <is>
          <t>JÖNKÖPINGS LÄN</t>
        </is>
      </c>
      <c r="G573" t="inlineStr">
        <is>
          <t>VETLANDA</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56592-2025</t>
        </is>
      </c>
      <c r="B574" t="inlineStr">
        <is>
          <t>avverkningsanmälan</t>
        </is>
      </c>
      <c r="C574" t="inlineStr">
        <is>
          <t>Föryngringsavverkning</t>
        </is>
      </c>
      <c r="D574" s="1" t="n">
        <v>45975</v>
      </c>
      <c r="E574" s="1" t="n">
        <v>46217</v>
      </c>
      <c r="F574" t="inlineStr">
        <is>
          <t>JÖNKÖPINGS LÄN</t>
        </is>
      </c>
      <c r="G574" t="inlineStr">
        <is>
          <t>VETLANDA</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27430-2023</t>
        </is>
      </c>
      <c r="B575" t="inlineStr">
        <is>
          <t>avverkningsanmälan</t>
        </is>
      </c>
      <c r="C575" t="inlineStr">
        <is>
          <t>Föryngringsavverkning</t>
        </is>
      </c>
      <c r="D575" s="1" t="n">
        <v>45097</v>
      </c>
      <c r="E575" s="1" t="n">
        <v>46217</v>
      </c>
      <c r="F575" t="inlineStr">
        <is>
          <t>JÖNKÖPINGS LÄN</t>
        </is>
      </c>
      <c r="G575" t="inlineStr">
        <is>
          <t>VETLANDA</t>
        </is>
      </c>
      <c r="I575" t="n">
        <v>4.7</v>
      </c>
      <c r="J575" t="n">
        <v>0</v>
      </c>
      <c r="K575" t="n">
        <v>0</v>
      </c>
      <c r="L575" t="n">
        <v>0</v>
      </c>
      <c r="M575" t="n">
        <v>0</v>
      </c>
      <c r="N575" t="n">
        <v>0</v>
      </c>
      <c r="O575" t="n">
        <v>0</v>
      </c>
      <c r="P575" t="n">
        <v>0</v>
      </c>
      <c r="Q575" t="n">
        <v>0</v>
      </c>
      <c r="R575" t="n">
        <v>0</v>
      </c>
      <c r="S575" t="n">
        <v>0</v>
      </c>
      <c r="T575" t="n">
        <v>0</v>
      </c>
      <c r="U575" s="2" t="inlineStr"/>
    </row>
    <row r="576" ht="15" customHeight="1">
      <c r="A576" t="inlineStr">
        <is>
          <t>A 19431-2025</t>
        </is>
      </c>
      <c r="B576" t="inlineStr">
        <is>
          <t>avverkningsanmälan</t>
        </is>
      </c>
      <c r="C576" t="inlineStr">
        <is>
          <t>Avverkning för att bevara och utveckla /försöksver</t>
        </is>
      </c>
      <c r="D576" s="1" t="n">
        <v>45769</v>
      </c>
      <c r="E576" s="1" t="n">
        <v>46217</v>
      </c>
      <c r="F576" t="inlineStr">
        <is>
          <t>JÖNKÖPINGS LÄN</t>
        </is>
      </c>
      <c r="G576" t="inlineStr">
        <is>
          <t>VETLANDA</t>
        </is>
      </c>
      <c r="H576" t="inlineStr">
        <is>
          <t>Sveaskog</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28838-2023</t>
        </is>
      </c>
      <c r="B577" t="inlineStr">
        <is>
          <t>avverkningsanmälan</t>
        </is>
      </c>
      <c r="C577" t="inlineStr">
        <is>
          <t>Föryngringsavverkning</t>
        </is>
      </c>
      <c r="D577" s="1" t="n">
        <v>45104</v>
      </c>
      <c r="E577" s="1" t="n">
        <v>46217</v>
      </c>
      <c r="F577" t="inlineStr">
        <is>
          <t>JÖNKÖPINGS LÄN</t>
        </is>
      </c>
      <c r="G577" t="inlineStr">
        <is>
          <t>VETLANDA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57690-2025</t>
        </is>
      </c>
      <c r="B578" t="inlineStr">
        <is>
          <t>avverkningsanmälan</t>
        </is>
      </c>
      <c r="C578" t="inlineStr">
        <is>
          <t>Föryngringsavverkning</t>
        </is>
      </c>
      <c r="D578" s="1" t="n">
        <v>45981</v>
      </c>
      <c r="E578" s="1" t="n">
        <v>46217</v>
      </c>
      <c r="F578" t="inlineStr">
        <is>
          <t>JÖNKÖPINGS LÄN</t>
        </is>
      </c>
      <c r="G578" t="inlineStr">
        <is>
          <t>VETLANDA</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57642-2025</t>
        </is>
      </c>
      <c r="B579" t="inlineStr">
        <is>
          <t>avverkningsanmälan</t>
        </is>
      </c>
      <c r="C579" t="inlineStr">
        <is>
          <t>Föryngringsavverkning</t>
        </is>
      </c>
      <c r="D579" s="1" t="n">
        <v>45981</v>
      </c>
      <c r="E579" s="1" t="n">
        <v>46217</v>
      </c>
      <c r="F579" t="inlineStr">
        <is>
          <t>JÖNKÖPINGS LÄN</t>
        </is>
      </c>
      <c r="G579" t="inlineStr">
        <is>
          <t>VETLANDA</t>
        </is>
      </c>
      <c r="H579" t="inlineStr">
        <is>
          <t>Sveaskog</t>
        </is>
      </c>
      <c r="I579" t="n">
        <v>1.4</v>
      </c>
      <c r="J579" t="n">
        <v>0</v>
      </c>
      <c r="K579" t="n">
        <v>0</v>
      </c>
      <c r="L579" t="n">
        <v>0</v>
      </c>
      <c r="M579" t="n">
        <v>0</v>
      </c>
      <c r="N579" t="n">
        <v>0</v>
      </c>
      <c r="O579" t="n">
        <v>0</v>
      </c>
      <c r="P579" t="n">
        <v>0</v>
      </c>
      <c r="Q579" t="n">
        <v>0</v>
      </c>
      <c r="R579" t="n">
        <v>0</v>
      </c>
      <c r="S579" t="n">
        <v>0</v>
      </c>
      <c r="T579" t="n">
        <v>0</v>
      </c>
      <c r="U579" s="2" t="inlineStr"/>
    </row>
    <row r="580" ht="15" customHeight="1">
      <c r="A580" t="inlineStr">
        <is>
          <t>A 2815-2024</t>
        </is>
      </c>
      <c r="B580" t="inlineStr">
        <is>
          <t>avverkningsanmälan</t>
        </is>
      </c>
      <c r="C580" t="inlineStr">
        <is>
          <t>Föryngringsavverkning</t>
        </is>
      </c>
      <c r="D580" s="1" t="n">
        <v>45314</v>
      </c>
      <c r="E580" s="1" t="n">
        <v>46217</v>
      </c>
      <c r="F580" t="inlineStr">
        <is>
          <t>JÖNKÖPINGS LÄN</t>
        </is>
      </c>
      <c r="G580" t="inlineStr">
        <is>
          <t>VETLANDA</t>
        </is>
      </c>
      <c r="I580" t="n">
        <v>2.2</v>
      </c>
      <c r="J580" t="n">
        <v>0</v>
      </c>
      <c r="K580" t="n">
        <v>0</v>
      </c>
      <c r="L580" t="n">
        <v>0</v>
      </c>
      <c r="M580" t="n">
        <v>0</v>
      </c>
      <c r="N580" t="n">
        <v>0</v>
      </c>
      <c r="O580" t="n">
        <v>0</v>
      </c>
      <c r="P580" t="n">
        <v>0</v>
      </c>
      <c r="Q580" t="n">
        <v>0</v>
      </c>
      <c r="R580" t="n">
        <v>0</v>
      </c>
      <c r="S580" t="n">
        <v>0</v>
      </c>
      <c r="T580" t="n">
        <v>0</v>
      </c>
      <c r="U580" s="2" t="inlineStr"/>
    </row>
    <row r="581" ht="15" customHeight="1">
      <c r="A581" t="inlineStr">
        <is>
          <t>A 57822-2025</t>
        </is>
      </c>
      <c r="B581" t="inlineStr">
        <is>
          <t>avverkningsanmälan</t>
        </is>
      </c>
      <c r="C581" t="inlineStr">
        <is>
          <t>Föryngringsavverkning</t>
        </is>
      </c>
      <c r="D581" s="1" t="n">
        <v>45981</v>
      </c>
      <c r="E581" s="1" t="n">
        <v>46217</v>
      </c>
      <c r="F581" t="inlineStr">
        <is>
          <t>JÖNKÖPINGS LÄN</t>
        </is>
      </c>
      <c r="G581" t="inlineStr">
        <is>
          <t>VETLANDA</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12666-2024</t>
        </is>
      </c>
      <c r="B582" t="inlineStr">
        <is>
          <t>avverkningsanmälan</t>
        </is>
      </c>
      <c r="C582" t="inlineStr">
        <is>
          <t>Föryngringsavverkning</t>
        </is>
      </c>
      <c r="D582" s="1" t="n">
        <v>45384</v>
      </c>
      <c r="E582" s="1" t="n">
        <v>46217</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57930-2025</t>
        </is>
      </c>
      <c r="B583" t="inlineStr">
        <is>
          <t>avverkningsanmälan</t>
        </is>
      </c>
      <c r="C583" t="inlineStr">
        <is>
          <t>Föryngringsavverkning</t>
        </is>
      </c>
      <c r="D583" s="1" t="n">
        <v>45981</v>
      </c>
      <c r="E583" s="1" t="n">
        <v>46217</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58000-2025</t>
        </is>
      </c>
      <c r="B584" t="inlineStr">
        <is>
          <t>avverkningsanmälan</t>
        </is>
      </c>
      <c r="C584" t="inlineStr">
        <is>
          <t>Föryngringsavverkning</t>
        </is>
      </c>
      <c r="D584" s="1" t="n">
        <v>45982</v>
      </c>
      <c r="E584" s="1" t="n">
        <v>46217</v>
      </c>
      <c r="F584" t="inlineStr">
        <is>
          <t>JÖNKÖPINGS LÄN</t>
        </is>
      </c>
      <c r="G584" t="inlineStr">
        <is>
          <t>VETLANDA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3541-2023</t>
        </is>
      </c>
      <c r="B585" t="inlineStr">
        <is>
          <t>avverkningsanmälan</t>
        </is>
      </c>
      <c r="C585" t="inlineStr">
        <is>
          <t>Föryngringsavverkning</t>
        </is>
      </c>
      <c r="D585" s="1" t="n">
        <v>44946</v>
      </c>
      <c r="E585" s="1" t="n">
        <v>46217</v>
      </c>
      <c r="F585" t="inlineStr">
        <is>
          <t>JÖNKÖPINGS LÄN</t>
        </is>
      </c>
      <c r="G585" t="inlineStr">
        <is>
          <t>VETLANDA</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27312-2026</t>
        </is>
      </c>
      <c r="B586" t="inlineStr">
        <is>
          <t>avverkningsanmälan</t>
        </is>
      </c>
      <c r="C586" t="inlineStr">
        <is>
          <t>Föryngringsavverkning</t>
        </is>
      </c>
      <c r="D586" s="1" t="n">
        <v>46184</v>
      </c>
      <c r="E586" s="1" t="n">
        <v>46217</v>
      </c>
      <c r="F586" t="inlineStr">
        <is>
          <t>JÖNKÖPINGS LÄN</t>
        </is>
      </c>
      <c r="G586" t="inlineStr">
        <is>
          <t>VETLANDA</t>
        </is>
      </c>
      <c r="I586" t="n">
        <v>5.4</v>
      </c>
      <c r="J586" t="n">
        <v>0</v>
      </c>
      <c r="K586" t="n">
        <v>0</v>
      </c>
      <c r="L586" t="n">
        <v>0</v>
      </c>
      <c r="M586" t="n">
        <v>0</v>
      </c>
      <c r="N586" t="n">
        <v>0</v>
      </c>
      <c r="O586" t="n">
        <v>0</v>
      </c>
      <c r="P586" t="n">
        <v>0</v>
      </c>
      <c r="Q586" t="n">
        <v>0</v>
      </c>
      <c r="R586" t="n">
        <v>0</v>
      </c>
      <c r="S586" t="n">
        <v>0</v>
      </c>
      <c r="T586" t="n">
        <v>0</v>
      </c>
      <c r="U586" s="2" t="inlineStr"/>
    </row>
    <row r="587" ht="15" customHeight="1">
      <c r="A587" t="inlineStr">
        <is>
          <t>A 27139-2026</t>
        </is>
      </c>
      <c r="B587" t="inlineStr">
        <is>
          <t>avverkningsanmälan</t>
        </is>
      </c>
      <c r="C587" t="inlineStr">
        <is>
          <t>Föryngringsavverkning</t>
        </is>
      </c>
      <c r="D587" s="1" t="n">
        <v>46188</v>
      </c>
      <c r="E587" s="1" t="n">
        <v>46217</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27310-2026</t>
        </is>
      </c>
      <c r="B588" t="inlineStr">
        <is>
          <t>avverkningsanmälan</t>
        </is>
      </c>
      <c r="C588" t="inlineStr">
        <is>
          <t>Föryngringsavverkning</t>
        </is>
      </c>
      <c r="D588" s="1" t="n">
        <v>46184</v>
      </c>
      <c r="E588" s="1" t="n">
        <v>46217</v>
      </c>
      <c r="F588" t="inlineStr">
        <is>
          <t>JÖNKÖPINGS LÄN</t>
        </is>
      </c>
      <c r="G588" t="inlineStr">
        <is>
          <t>VETLANDA</t>
        </is>
      </c>
      <c r="I588" t="n">
        <v>4.9</v>
      </c>
      <c r="J588" t="n">
        <v>0</v>
      </c>
      <c r="K588" t="n">
        <v>0</v>
      </c>
      <c r="L588" t="n">
        <v>0</v>
      </c>
      <c r="M588" t="n">
        <v>0</v>
      </c>
      <c r="N588" t="n">
        <v>0</v>
      </c>
      <c r="O588" t="n">
        <v>0</v>
      </c>
      <c r="P588" t="n">
        <v>0</v>
      </c>
      <c r="Q588" t="n">
        <v>0</v>
      </c>
      <c r="R588" t="n">
        <v>0</v>
      </c>
      <c r="S588" t="n">
        <v>0</v>
      </c>
      <c r="T588" t="n">
        <v>0</v>
      </c>
      <c r="U588" s="2" t="inlineStr"/>
    </row>
    <row r="589" ht="15" customHeight="1">
      <c r="A589" t="inlineStr">
        <is>
          <t>A 26884-2026</t>
        </is>
      </c>
      <c r="B589" t="inlineStr">
        <is>
          <t>avverkningsanmälan</t>
        </is>
      </c>
      <c r="C589" t="inlineStr">
        <is>
          <t>Föryngringsavverkning</t>
        </is>
      </c>
      <c r="D589" s="1" t="n">
        <v>46185</v>
      </c>
      <c r="E589" s="1" t="n">
        <v>46217</v>
      </c>
      <c r="F589" t="inlineStr">
        <is>
          <t>JÖNKÖPINGS LÄN</t>
        </is>
      </c>
      <c r="G589" t="inlineStr">
        <is>
          <t>VETLANDA</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27001-2026</t>
        </is>
      </c>
      <c r="B590" t="inlineStr">
        <is>
          <t>avverkningsanmälan</t>
        </is>
      </c>
      <c r="C590" t="inlineStr">
        <is>
          <t>Föryngringsavverkning</t>
        </is>
      </c>
      <c r="D590" s="1" t="n">
        <v>46185</v>
      </c>
      <c r="E590" s="1" t="n">
        <v>46217</v>
      </c>
      <c r="F590" t="inlineStr">
        <is>
          <t>JÖNKÖPINGS LÄN</t>
        </is>
      </c>
      <c r="G590" t="inlineStr">
        <is>
          <t>VETLANDA</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27350-2026</t>
        </is>
      </c>
      <c r="B591" t="inlineStr">
        <is>
          <t>avverkningsanmälan</t>
        </is>
      </c>
      <c r="C591" t="inlineStr">
        <is>
          <t>Föryngringsavverkning</t>
        </is>
      </c>
      <c r="D591" s="1" t="n">
        <v>46184</v>
      </c>
      <c r="E591" s="1" t="n">
        <v>46217</v>
      </c>
      <c r="F591" t="inlineStr">
        <is>
          <t>JÖNKÖPINGS LÄN</t>
        </is>
      </c>
      <c r="G591" t="inlineStr">
        <is>
          <t>VETLANDA</t>
        </is>
      </c>
      <c r="I591" t="n">
        <v>3.1</v>
      </c>
      <c r="J591" t="n">
        <v>0</v>
      </c>
      <c r="K591" t="n">
        <v>0</v>
      </c>
      <c r="L591" t="n">
        <v>0</v>
      </c>
      <c r="M591" t="n">
        <v>0</v>
      </c>
      <c r="N591" t="n">
        <v>0</v>
      </c>
      <c r="O591" t="n">
        <v>0</v>
      </c>
      <c r="P591" t="n">
        <v>0</v>
      </c>
      <c r="Q591" t="n">
        <v>0</v>
      </c>
      <c r="R591" t="n">
        <v>0</v>
      </c>
      <c r="S591" t="n">
        <v>0</v>
      </c>
      <c r="T591" t="n">
        <v>0</v>
      </c>
      <c r="U591" s="2" t="inlineStr"/>
    </row>
    <row r="592" ht="15" customHeight="1">
      <c r="A592" t="inlineStr">
        <is>
          <t>A 27622-2026</t>
        </is>
      </c>
      <c r="B592" t="inlineStr">
        <is>
          <t>avverkningsanmälan</t>
        </is>
      </c>
      <c r="C592" t="inlineStr">
        <is>
          <t>Föryngringsavverkning</t>
        </is>
      </c>
      <c r="D592" s="1" t="n">
        <v>46190</v>
      </c>
      <c r="E592" s="1" t="n">
        <v>46217</v>
      </c>
      <c r="F592" t="inlineStr">
        <is>
          <t>JÖNKÖPINGS LÄN</t>
        </is>
      </c>
      <c r="G592" t="inlineStr">
        <is>
          <t>VETLANDA</t>
        </is>
      </c>
      <c r="I592" t="n">
        <v>1.9</v>
      </c>
      <c r="J592" t="n">
        <v>0</v>
      </c>
      <c r="K592" t="n">
        <v>0</v>
      </c>
      <c r="L592" t="n">
        <v>0</v>
      </c>
      <c r="M592" t="n">
        <v>0</v>
      </c>
      <c r="N592" t="n">
        <v>0</v>
      </c>
      <c r="O592" t="n">
        <v>0</v>
      </c>
      <c r="P592" t="n">
        <v>0</v>
      </c>
      <c r="Q592" t="n">
        <v>0</v>
      </c>
      <c r="R592" t="n">
        <v>0</v>
      </c>
      <c r="S592" t="n">
        <v>0</v>
      </c>
      <c r="T592" t="n">
        <v>0</v>
      </c>
      <c r="U592" s="2" t="inlineStr"/>
    </row>
    <row r="593" ht="15" customHeight="1">
      <c r="A593" t="inlineStr">
        <is>
          <t>A 25470-2023</t>
        </is>
      </c>
      <c r="B593" t="inlineStr">
        <is>
          <t>avverkningsanmälan</t>
        </is>
      </c>
      <c r="C593" t="inlineStr">
        <is>
          <t>Föryngringsavverkning</t>
        </is>
      </c>
      <c r="D593" s="1" t="n">
        <v>45089</v>
      </c>
      <c r="E593" s="1" t="n">
        <v>46217</v>
      </c>
      <c r="F593" t="inlineStr">
        <is>
          <t>JÖNKÖPINGS LÄN</t>
        </is>
      </c>
      <c r="G593" t="inlineStr">
        <is>
          <t>VETLANDA</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6051-2024</t>
        </is>
      </c>
      <c r="B594" t="inlineStr">
        <is>
          <t>avverkningsanmälan</t>
        </is>
      </c>
      <c r="C594" t="inlineStr">
        <is>
          <t>Föryngringsavverkning</t>
        </is>
      </c>
      <c r="D594" s="1" t="n">
        <v>45336</v>
      </c>
      <c r="E594" s="1" t="n">
        <v>46217</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7034-2025</t>
        </is>
      </c>
      <c r="B595" t="inlineStr">
        <is>
          <t>avverkningsanmälan</t>
        </is>
      </c>
      <c r="C595" t="inlineStr">
        <is>
          <t>Föryngringsavverkning</t>
        </is>
      </c>
      <c r="D595" s="1" t="n">
        <v>45701</v>
      </c>
      <c r="E595" s="1" t="n">
        <v>46217</v>
      </c>
      <c r="F595" t="inlineStr">
        <is>
          <t>JÖNKÖPINGS LÄN</t>
        </is>
      </c>
      <c r="G595" t="inlineStr">
        <is>
          <t>VETLANDA</t>
        </is>
      </c>
      <c r="H595" t="inlineStr">
        <is>
          <t>Sveaskog</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29031-2023</t>
        </is>
      </c>
      <c r="B596" t="inlineStr">
        <is>
          <t>avverkningsanmälan</t>
        </is>
      </c>
      <c r="C596" t="inlineStr">
        <is>
          <t>Föryngringsavverkning</t>
        </is>
      </c>
      <c r="D596" s="1" t="n">
        <v>45104</v>
      </c>
      <c r="E596" s="1" t="n">
        <v>46217</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29033-2023</t>
        </is>
      </c>
      <c r="B597" t="inlineStr">
        <is>
          <t>avverkningsanmälan</t>
        </is>
      </c>
      <c r="C597" t="inlineStr">
        <is>
          <t>Föryngringsavverkning</t>
        </is>
      </c>
      <c r="D597" s="1" t="n">
        <v>45104</v>
      </c>
      <c r="E597" s="1" t="n">
        <v>46217</v>
      </c>
      <c r="F597" t="inlineStr">
        <is>
          <t>JÖNKÖPINGS LÄN</t>
        </is>
      </c>
      <c r="G597" t="inlineStr">
        <is>
          <t>VETLANDA</t>
        </is>
      </c>
      <c r="I597" t="n">
        <v>7.6</v>
      </c>
      <c r="J597" t="n">
        <v>0</v>
      </c>
      <c r="K597" t="n">
        <v>0</v>
      </c>
      <c r="L597" t="n">
        <v>0</v>
      </c>
      <c r="M597" t="n">
        <v>0</v>
      </c>
      <c r="N597" t="n">
        <v>0</v>
      </c>
      <c r="O597" t="n">
        <v>0</v>
      </c>
      <c r="P597" t="n">
        <v>0</v>
      </c>
      <c r="Q597" t="n">
        <v>0</v>
      </c>
      <c r="R597" t="n">
        <v>0</v>
      </c>
      <c r="S597" t="n">
        <v>0</v>
      </c>
      <c r="T597" t="n">
        <v>0</v>
      </c>
      <c r="U597" s="2" t="inlineStr"/>
    </row>
    <row r="598" ht="15" customHeight="1">
      <c r="A598" t="inlineStr">
        <is>
          <t>A 22212-2026</t>
        </is>
      </c>
      <c r="B598" t="inlineStr">
        <is>
          <t>avverkningsanmälan</t>
        </is>
      </c>
      <c r="C598" t="inlineStr">
        <is>
          <t>Föryngringsavverkning</t>
        </is>
      </c>
      <c r="D598" s="1" t="n">
        <v>46153</v>
      </c>
      <c r="E598" s="1" t="n">
        <v>46217</v>
      </c>
      <c r="F598" t="inlineStr">
        <is>
          <t>JÖNKÖPINGS LÄN</t>
        </is>
      </c>
      <c r="G598" t="inlineStr">
        <is>
          <t>VETLANDA</t>
        </is>
      </c>
      <c r="I598" t="n">
        <v>5.1</v>
      </c>
      <c r="J598" t="n">
        <v>0</v>
      </c>
      <c r="K598" t="n">
        <v>0</v>
      </c>
      <c r="L598" t="n">
        <v>0</v>
      </c>
      <c r="M598" t="n">
        <v>0</v>
      </c>
      <c r="N598" t="n">
        <v>0</v>
      </c>
      <c r="O598" t="n">
        <v>0</v>
      </c>
      <c r="P598" t="n">
        <v>0</v>
      </c>
      <c r="Q598" t="n">
        <v>0</v>
      </c>
      <c r="R598" t="n">
        <v>0</v>
      </c>
      <c r="S598" t="n">
        <v>0</v>
      </c>
      <c r="T598" t="n">
        <v>0</v>
      </c>
      <c r="U598" s="2" t="inlineStr"/>
    </row>
    <row r="599" ht="15" customHeight="1">
      <c r="A599" t="inlineStr">
        <is>
          <t>A 28248-2026</t>
        </is>
      </c>
      <c r="B599" t="inlineStr">
        <is>
          <t>avverkningsanmälan</t>
        </is>
      </c>
      <c r="C599" t="inlineStr">
        <is>
          <t>Föryngringsavverkning</t>
        </is>
      </c>
      <c r="D599" s="1" t="n">
        <v>46196</v>
      </c>
      <c r="E599" s="1" t="n">
        <v>46217</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59762-2025</t>
        </is>
      </c>
      <c r="B600" t="inlineStr">
        <is>
          <t>avverkningsanmälan</t>
        </is>
      </c>
      <c r="C600" t="inlineStr">
        <is>
          <t>Föryngringsavverkning</t>
        </is>
      </c>
      <c r="D600" s="1" t="n">
        <v>45992</v>
      </c>
      <c r="E600" s="1" t="n">
        <v>46217</v>
      </c>
      <c r="F600" t="inlineStr">
        <is>
          <t>JÖNKÖPINGS LÄN</t>
        </is>
      </c>
      <c r="G600" t="inlineStr">
        <is>
          <t>VETLANDA</t>
        </is>
      </c>
      <c r="I600" t="n">
        <v>2</v>
      </c>
      <c r="J600" t="n">
        <v>0</v>
      </c>
      <c r="K600" t="n">
        <v>0</v>
      </c>
      <c r="L600" t="n">
        <v>0</v>
      </c>
      <c r="M600" t="n">
        <v>0</v>
      </c>
      <c r="N600" t="n">
        <v>0</v>
      </c>
      <c r="O600" t="n">
        <v>0</v>
      </c>
      <c r="P600" t="n">
        <v>0</v>
      </c>
      <c r="Q600" t="n">
        <v>0</v>
      </c>
      <c r="R600" t="n">
        <v>0</v>
      </c>
      <c r="S600" t="n">
        <v>0</v>
      </c>
      <c r="T600" t="n">
        <v>0</v>
      </c>
      <c r="U600" s="2" t="inlineStr"/>
    </row>
    <row r="601" ht="15" customHeight="1">
      <c r="A601" t="inlineStr">
        <is>
          <t>A 11524-2024</t>
        </is>
      </c>
      <c r="B601" t="inlineStr">
        <is>
          <t>avverkningsanmälan</t>
        </is>
      </c>
      <c r="C601" t="inlineStr">
        <is>
          <t>Föryngringsavverkning</t>
        </is>
      </c>
      <c r="D601" s="1" t="n">
        <v>45372</v>
      </c>
      <c r="E601" s="1" t="n">
        <v>46217</v>
      </c>
      <c r="F601" t="inlineStr">
        <is>
          <t>JÖNKÖPINGS LÄN</t>
        </is>
      </c>
      <c r="G601" t="inlineStr">
        <is>
          <t>VETLANDA</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59733-2025</t>
        </is>
      </c>
      <c r="B602" t="inlineStr">
        <is>
          <t>avverkningsanmälan</t>
        </is>
      </c>
      <c r="C602" t="inlineStr">
        <is>
          <t>Föryngringsavverkning</t>
        </is>
      </c>
      <c r="D602" s="1" t="n">
        <v>45992</v>
      </c>
      <c r="E602" s="1" t="n">
        <v>46217</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59746-2025</t>
        </is>
      </c>
      <c r="B603" t="inlineStr">
        <is>
          <t>avverkningsanmälan</t>
        </is>
      </c>
      <c r="C603" t="inlineStr">
        <is>
          <t>Föryngringsavverkning</t>
        </is>
      </c>
      <c r="D603" s="1" t="n">
        <v>45992</v>
      </c>
      <c r="E603" s="1" t="n">
        <v>46217</v>
      </c>
      <c r="F603" t="inlineStr">
        <is>
          <t>JÖNKÖPINGS LÄN</t>
        </is>
      </c>
      <c r="G603" t="inlineStr">
        <is>
          <t>VETLANDA</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53952-2023</t>
        </is>
      </c>
      <c r="B604" t="inlineStr">
        <is>
          <t>avverkningsanmälan</t>
        </is>
      </c>
      <c r="C604" t="inlineStr">
        <is>
          <t>Föryngringsavverkning</t>
        </is>
      </c>
      <c r="D604" s="1" t="n">
        <v>45231</v>
      </c>
      <c r="E604" s="1" t="n">
        <v>46217</v>
      </c>
      <c r="F604" t="inlineStr">
        <is>
          <t>JÖNKÖPINGS LÄN</t>
        </is>
      </c>
      <c r="G604" t="inlineStr">
        <is>
          <t>VETLANDA</t>
        </is>
      </c>
      <c r="I604" t="n">
        <v>4.7</v>
      </c>
      <c r="J604" t="n">
        <v>0</v>
      </c>
      <c r="K604" t="n">
        <v>0</v>
      </c>
      <c r="L604" t="n">
        <v>0</v>
      </c>
      <c r="M604" t="n">
        <v>0</v>
      </c>
      <c r="N604" t="n">
        <v>0</v>
      </c>
      <c r="O604" t="n">
        <v>0</v>
      </c>
      <c r="P604" t="n">
        <v>0</v>
      </c>
      <c r="Q604" t="n">
        <v>0</v>
      </c>
      <c r="R604" t="n">
        <v>0</v>
      </c>
      <c r="S604" t="n">
        <v>0</v>
      </c>
      <c r="T604" t="n">
        <v>0</v>
      </c>
      <c r="U604" s="2" t="inlineStr"/>
    </row>
    <row r="605" ht="15" customHeight="1">
      <c r="A605" t="inlineStr">
        <is>
          <t>A 59742-2025</t>
        </is>
      </c>
      <c r="B605" t="inlineStr">
        <is>
          <t>avverkningsanmälan</t>
        </is>
      </c>
      <c r="C605" t="inlineStr">
        <is>
          <t>Föryngringsavverkning</t>
        </is>
      </c>
      <c r="D605" s="1" t="n">
        <v>45992</v>
      </c>
      <c r="E605" s="1" t="n">
        <v>46217</v>
      </c>
      <c r="F605" t="inlineStr">
        <is>
          <t>JÖNKÖPINGS LÄN</t>
        </is>
      </c>
      <c r="G605" t="inlineStr">
        <is>
          <t>VETLANDA</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59759-2025</t>
        </is>
      </c>
      <c r="B606" t="inlineStr">
        <is>
          <t>avverkningsanmälan</t>
        </is>
      </c>
      <c r="C606" t="inlineStr">
        <is>
          <t>Föryngringsavverkning</t>
        </is>
      </c>
      <c r="D606" s="1" t="n">
        <v>45992</v>
      </c>
      <c r="E606" s="1" t="n">
        <v>46217</v>
      </c>
      <c r="F606" t="inlineStr">
        <is>
          <t>JÖNKÖPINGS LÄN</t>
        </is>
      </c>
      <c r="G606" t="inlineStr">
        <is>
          <t>VETLANDA</t>
        </is>
      </c>
      <c r="I606" t="n">
        <v>4.7</v>
      </c>
      <c r="J606" t="n">
        <v>0</v>
      </c>
      <c r="K606" t="n">
        <v>0</v>
      </c>
      <c r="L606" t="n">
        <v>0</v>
      </c>
      <c r="M606" t="n">
        <v>0</v>
      </c>
      <c r="N606" t="n">
        <v>0</v>
      </c>
      <c r="O606" t="n">
        <v>0</v>
      </c>
      <c r="P606" t="n">
        <v>0</v>
      </c>
      <c r="Q606" t="n">
        <v>0</v>
      </c>
      <c r="R606" t="n">
        <v>0</v>
      </c>
      <c r="S606" t="n">
        <v>0</v>
      </c>
      <c r="T606" t="n">
        <v>0</v>
      </c>
      <c r="U606" s="2" t="inlineStr"/>
    </row>
    <row r="607" ht="15" customHeight="1">
      <c r="A607" t="inlineStr">
        <is>
          <t>A 28330-2023</t>
        </is>
      </c>
      <c r="B607" t="inlineStr">
        <is>
          <t>avverkningsanmälan</t>
        </is>
      </c>
      <c r="C607" t="inlineStr">
        <is>
          <t>Föryngringsavverkning</t>
        </is>
      </c>
      <c r="D607" s="1" t="n">
        <v>45099</v>
      </c>
      <c r="E607" s="1" t="n">
        <v>46217</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45968-2024</t>
        </is>
      </c>
      <c r="B608" t="inlineStr">
        <is>
          <t>avverkningsanmälan</t>
        </is>
      </c>
      <c r="C608" t="inlineStr">
        <is>
          <t>Föryngringsavverkning</t>
        </is>
      </c>
      <c r="D608" s="1" t="n">
        <v>45580</v>
      </c>
      <c r="E608" s="1" t="n">
        <v>46217</v>
      </c>
      <c r="F608" t="inlineStr">
        <is>
          <t>JÖNKÖPINGS LÄN</t>
        </is>
      </c>
      <c r="G608" t="inlineStr">
        <is>
          <t>VETLANDA</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5180-2024</t>
        </is>
      </c>
      <c r="B609" t="inlineStr">
        <is>
          <t>avverkningsanmälan</t>
        </is>
      </c>
      <c r="C609" t="inlineStr">
        <is>
          <t>Föryngringsavverkning</t>
        </is>
      </c>
      <c r="D609" s="1" t="n">
        <v>45330</v>
      </c>
      <c r="E609" s="1" t="n">
        <v>46217</v>
      </c>
      <c r="F609" t="inlineStr">
        <is>
          <t>JÖNKÖPINGS LÄN</t>
        </is>
      </c>
      <c r="G609" t="inlineStr">
        <is>
          <t>VETLANDA</t>
        </is>
      </c>
      <c r="I609" t="n">
        <v>4.2</v>
      </c>
      <c r="J609" t="n">
        <v>0</v>
      </c>
      <c r="K609" t="n">
        <v>0</v>
      </c>
      <c r="L609" t="n">
        <v>0</v>
      </c>
      <c r="M609" t="n">
        <v>0</v>
      </c>
      <c r="N609" t="n">
        <v>0</v>
      </c>
      <c r="O609" t="n">
        <v>0</v>
      </c>
      <c r="P609" t="n">
        <v>0</v>
      </c>
      <c r="Q609" t="n">
        <v>0</v>
      </c>
      <c r="R609" t="n">
        <v>0</v>
      </c>
      <c r="S609" t="n">
        <v>0</v>
      </c>
      <c r="T609" t="n">
        <v>0</v>
      </c>
      <c r="U609" s="2" t="inlineStr"/>
    </row>
    <row r="610" ht="15" customHeight="1">
      <c r="A610" t="inlineStr">
        <is>
          <t>A 59578-2023</t>
        </is>
      </c>
      <c r="B610" t="inlineStr">
        <is>
          <t>avverkningsanmälan</t>
        </is>
      </c>
      <c r="C610" t="inlineStr">
        <is>
          <t>Föryngringsavverkning</t>
        </is>
      </c>
      <c r="D610" s="1" t="n">
        <v>45254</v>
      </c>
      <c r="E610" s="1" t="n">
        <v>46217</v>
      </c>
      <c r="F610" t="inlineStr">
        <is>
          <t>JÖNKÖPINGS LÄN</t>
        </is>
      </c>
      <c r="G610" t="inlineStr">
        <is>
          <t>VETLANDA</t>
        </is>
      </c>
      <c r="H610" t="inlineStr">
        <is>
          <t>Övriga Aktiebolag</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58057-2023</t>
        </is>
      </c>
      <c r="B611" t="inlineStr">
        <is>
          <t>avverkningsanmälan</t>
        </is>
      </c>
      <c r="C611" t="inlineStr">
        <is>
          <t>Föryngringsavverkning</t>
        </is>
      </c>
      <c r="D611" s="1" t="n">
        <v>45247</v>
      </c>
      <c r="E611" s="1" t="n">
        <v>46217</v>
      </c>
      <c r="F611" t="inlineStr">
        <is>
          <t>JÖNKÖPINGS LÄN</t>
        </is>
      </c>
      <c r="G611" t="inlineStr">
        <is>
          <t>VETLANDA</t>
        </is>
      </c>
      <c r="I611" t="n">
        <v>6.7</v>
      </c>
      <c r="J611" t="n">
        <v>0</v>
      </c>
      <c r="K611" t="n">
        <v>0</v>
      </c>
      <c r="L611" t="n">
        <v>0</v>
      </c>
      <c r="M611" t="n">
        <v>0</v>
      </c>
      <c r="N611" t="n">
        <v>0</v>
      </c>
      <c r="O611" t="n">
        <v>0</v>
      </c>
      <c r="P611" t="n">
        <v>0</v>
      </c>
      <c r="Q611" t="n">
        <v>0</v>
      </c>
      <c r="R611" t="n">
        <v>0</v>
      </c>
      <c r="S611" t="n">
        <v>0</v>
      </c>
      <c r="T611" t="n">
        <v>0</v>
      </c>
      <c r="U611" s="2" t="inlineStr"/>
    </row>
    <row r="612" ht="15" customHeight="1">
      <c r="A612" t="inlineStr">
        <is>
          <t>A 50740-2021</t>
        </is>
      </c>
      <c r="B612" t="inlineStr">
        <is>
          <t>avverkningsanmälan</t>
        </is>
      </c>
      <c r="C612" t="inlineStr">
        <is>
          <t>Föryngringsavverkning</t>
        </is>
      </c>
      <c r="D612" s="1" t="n">
        <v>44460</v>
      </c>
      <c r="E612" s="1" t="n">
        <v>46217</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62056-2023</t>
        </is>
      </c>
      <c r="B613" t="inlineStr">
        <is>
          <t>avverkningsanmälan</t>
        </is>
      </c>
      <c r="C613" t="inlineStr">
        <is>
          <t>Föryngringsavverkning</t>
        </is>
      </c>
      <c r="D613" s="1" t="n">
        <v>45265</v>
      </c>
      <c r="E613" s="1" t="n">
        <v>46217</v>
      </c>
      <c r="F613" t="inlineStr">
        <is>
          <t>JÖNKÖPINGS LÄN</t>
        </is>
      </c>
      <c r="G613" t="inlineStr">
        <is>
          <t>VETLANDA</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42417-2022</t>
        </is>
      </c>
      <c r="B614" t="inlineStr">
        <is>
          <t>avverkningsanmälan</t>
        </is>
      </c>
      <c r="C614" t="inlineStr">
        <is>
          <t>Föryngringsavverkning</t>
        </is>
      </c>
      <c r="D614" s="1" t="n">
        <v>44831</v>
      </c>
      <c r="E614" s="1" t="n">
        <v>46217</v>
      </c>
      <c r="F614" t="inlineStr">
        <is>
          <t>JÖNKÖPINGS LÄN</t>
        </is>
      </c>
      <c r="G614" t="inlineStr">
        <is>
          <t>VETLANDA</t>
        </is>
      </c>
      <c r="I614" t="n">
        <v>6.7</v>
      </c>
      <c r="J614" t="n">
        <v>0</v>
      </c>
      <c r="K614" t="n">
        <v>0</v>
      </c>
      <c r="L614" t="n">
        <v>0</v>
      </c>
      <c r="M614" t="n">
        <v>0</v>
      </c>
      <c r="N614" t="n">
        <v>0</v>
      </c>
      <c r="O614" t="n">
        <v>0</v>
      </c>
      <c r="P614" t="n">
        <v>0</v>
      </c>
      <c r="Q614" t="n">
        <v>0</v>
      </c>
      <c r="R614" t="n">
        <v>0</v>
      </c>
      <c r="S614" t="n">
        <v>0</v>
      </c>
      <c r="T614" t="n">
        <v>0</v>
      </c>
      <c r="U614" s="2" t="inlineStr"/>
    </row>
    <row r="615" ht="15" customHeight="1">
      <c r="A615" t="inlineStr">
        <is>
          <t>A 64240-2021</t>
        </is>
      </c>
      <c r="B615" t="inlineStr">
        <is>
          <t>avverkningsanmälan</t>
        </is>
      </c>
      <c r="C615" t="inlineStr">
        <is>
          <t>Föryngringsavverkning</t>
        </is>
      </c>
      <c r="D615" s="1" t="n">
        <v>44510</v>
      </c>
      <c r="E615" s="1" t="n">
        <v>46217</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s="2" t="inlineStr"/>
    </row>
    <row r="616" ht="15" customHeight="1">
      <c r="A616" t="inlineStr">
        <is>
          <t>A 22209-2026</t>
        </is>
      </c>
      <c r="B616" t="inlineStr">
        <is>
          <t>avverkningsanmälan</t>
        </is>
      </c>
      <c r="C616" t="inlineStr">
        <is>
          <t>Föryngringsavverkning</t>
        </is>
      </c>
      <c r="D616" s="1" t="n">
        <v>46153</v>
      </c>
      <c r="E616" s="1" t="n">
        <v>46217</v>
      </c>
      <c r="F616" t="inlineStr">
        <is>
          <t>JÖNKÖPINGS LÄN</t>
        </is>
      </c>
      <c r="G616" t="inlineStr">
        <is>
          <t>VETLANDA</t>
        </is>
      </c>
      <c r="I616" t="n">
        <v>6.9</v>
      </c>
      <c r="J616" t="n">
        <v>0</v>
      </c>
      <c r="K616" t="n">
        <v>0</v>
      </c>
      <c r="L616" t="n">
        <v>0</v>
      </c>
      <c r="M616" t="n">
        <v>0</v>
      </c>
      <c r="N616" t="n">
        <v>0</v>
      </c>
      <c r="O616" t="n">
        <v>0</v>
      </c>
      <c r="P616" t="n">
        <v>0</v>
      </c>
      <c r="Q616" t="n">
        <v>0</v>
      </c>
      <c r="R616" t="n">
        <v>0</v>
      </c>
      <c r="S616" t="n">
        <v>0</v>
      </c>
      <c r="T616" t="n">
        <v>0</v>
      </c>
      <c r="U616" s="2" t="inlineStr"/>
    </row>
    <row r="617" ht="15" customHeight="1">
      <c r="A617" t="inlineStr">
        <is>
          <t>A 5365-2024</t>
        </is>
      </c>
      <c r="B617" t="inlineStr">
        <is>
          <t>avverkningsanmälan</t>
        </is>
      </c>
      <c r="C617" t="inlineStr">
        <is>
          <t>Föryngringsavverkning</t>
        </is>
      </c>
      <c r="D617" s="1" t="n">
        <v>45331</v>
      </c>
      <c r="E617" s="1" t="n">
        <v>46217</v>
      </c>
      <c r="F617" t="inlineStr">
        <is>
          <t>JÖNKÖPINGS LÄN</t>
        </is>
      </c>
      <c r="G617" t="inlineStr">
        <is>
          <t>VETLANDA</t>
        </is>
      </c>
      <c r="I617" t="n">
        <v>3.9</v>
      </c>
      <c r="J617" t="n">
        <v>0</v>
      </c>
      <c r="K617" t="n">
        <v>0</v>
      </c>
      <c r="L617" t="n">
        <v>0</v>
      </c>
      <c r="M617" t="n">
        <v>0</v>
      </c>
      <c r="N617" t="n">
        <v>0</v>
      </c>
      <c r="O617" t="n">
        <v>0</v>
      </c>
      <c r="P617" t="n">
        <v>0</v>
      </c>
      <c r="Q617" t="n">
        <v>0</v>
      </c>
      <c r="R617" t="n">
        <v>0</v>
      </c>
      <c r="S617" t="n">
        <v>0</v>
      </c>
      <c r="T617" t="n">
        <v>0</v>
      </c>
      <c r="U617" s="2" t="inlineStr"/>
    </row>
    <row r="618" ht="15" customHeight="1">
      <c r="A618" t="inlineStr">
        <is>
          <t>A 45010-2024</t>
        </is>
      </c>
      <c r="B618" t="inlineStr">
        <is>
          <t>avverkningsanmälan</t>
        </is>
      </c>
      <c r="C618" t="inlineStr">
        <is>
          <t>Föryngringsavverkning</t>
        </is>
      </c>
      <c r="D618" s="1" t="n">
        <v>45575</v>
      </c>
      <c r="E618" s="1" t="n">
        <v>46217</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51851-2021</t>
        </is>
      </c>
      <c r="B619" t="inlineStr">
        <is>
          <t>avverkningsanmälan</t>
        </is>
      </c>
      <c r="C619" t="inlineStr">
        <is>
          <t>Föryngringsavverkning</t>
        </is>
      </c>
      <c r="D619" s="1" t="n">
        <v>44462</v>
      </c>
      <c r="E619" s="1" t="n">
        <v>46217</v>
      </c>
      <c r="F619" t="inlineStr">
        <is>
          <t>JÖNKÖPINGS LÄN</t>
        </is>
      </c>
      <c r="G619" t="inlineStr">
        <is>
          <t>VETLANDA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60997-2025</t>
        </is>
      </c>
      <c r="B620" t="inlineStr">
        <is>
          <t>avverkningsanmälan</t>
        </is>
      </c>
      <c r="C620" t="inlineStr">
        <is>
          <t>Föryngringsavverkning</t>
        </is>
      </c>
      <c r="D620" s="1" t="n">
        <v>45999</v>
      </c>
      <c r="E620" s="1" t="n">
        <v>46217</v>
      </c>
      <c r="F620" t="inlineStr">
        <is>
          <t>JÖNKÖPINGS LÄN</t>
        </is>
      </c>
      <c r="G620" t="inlineStr">
        <is>
          <t>VETLANDA</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60958-2025</t>
        </is>
      </c>
      <c r="B621" t="inlineStr">
        <is>
          <t>avverkningsanmälan</t>
        </is>
      </c>
      <c r="C621" t="inlineStr">
        <is>
          <t>Föryngringsavverkning</t>
        </is>
      </c>
      <c r="D621" s="1" t="n">
        <v>45999</v>
      </c>
      <c r="E621" s="1" t="n">
        <v>46217</v>
      </c>
      <c r="F621" t="inlineStr">
        <is>
          <t>JÖNKÖPINGS LÄN</t>
        </is>
      </c>
      <c r="G621" t="inlineStr">
        <is>
          <t>VETLANDA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38932-2023</t>
        </is>
      </c>
      <c r="B622" t="inlineStr">
        <is>
          <t>avverkningsanmälan</t>
        </is>
      </c>
      <c r="C622" t="inlineStr">
        <is>
          <t>Föryngringsavverkning</t>
        </is>
      </c>
      <c r="D622" s="1" t="n">
        <v>45163</v>
      </c>
      <c r="E622" s="1" t="n">
        <v>46217</v>
      </c>
      <c r="F622" t="inlineStr">
        <is>
          <t>JÖNKÖPINGS LÄN</t>
        </is>
      </c>
      <c r="G622" t="inlineStr">
        <is>
          <t>VETLANDA</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26431-2023</t>
        </is>
      </c>
      <c r="B623" t="inlineStr">
        <is>
          <t>avverkningsanmälan</t>
        </is>
      </c>
      <c r="C623" t="inlineStr">
        <is>
          <t>Föryngringsavverkning</t>
        </is>
      </c>
      <c r="D623" s="1" t="n">
        <v>45092</v>
      </c>
      <c r="E623" s="1" t="n">
        <v>46217</v>
      </c>
      <c r="F623" t="inlineStr">
        <is>
          <t>JÖNKÖPINGS LÄN</t>
        </is>
      </c>
      <c r="G623" t="inlineStr">
        <is>
          <t>VETLANDA</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17227-2024</t>
        </is>
      </c>
      <c r="B624" t="inlineStr">
        <is>
          <t>avverkningsanmälan</t>
        </is>
      </c>
      <c r="C624" t="inlineStr">
        <is>
          <t>Föryngringsavverkning</t>
        </is>
      </c>
      <c r="D624" s="1" t="n">
        <v>45414</v>
      </c>
      <c r="E624" s="1" t="n">
        <v>46217</v>
      </c>
      <c r="F624" t="inlineStr">
        <is>
          <t>JÖNKÖPINGS LÄN</t>
        </is>
      </c>
      <c r="G624" t="inlineStr">
        <is>
          <t>VETLANDA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13635-2023</t>
        </is>
      </c>
      <c r="B625" t="inlineStr">
        <is>
          <t>avverkningsanmälan</t>
        </is>
      </c>
      <c r="C625" t="inlineStr">
        <is>
          <t>Föryngringsavverkning</t>
        </is>
      </c>
      <c r="D625" s="1" t="n">
        <v>45006</v>
      </c>
      <c r="E625" s="1" t="n">
        <v>46217</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62721-2021</t>
        </is>
      </c>
      <c r="B626" t="inlineStr">
        <is>
          <t>avverkningsanmälan</t>
        </is>
      </c>
      <c r="C626" t="inlineStr">
        <is>
          <t>Föryngringsavverkning</t>
        </is>
      </c>
      <c r="D626" s="1" t="n">
        <v>44503</v>
      </c>
      <c r="E626" s="1" t="n">
        <v>46217</v>
      </c>
      <c r="F626" t="inlineStr">
        <is>
          <t>JÖNKÖPINGS LÄN</t>
        </is>
      </c>
      <c r="G626" t="inlineStr">
        <is>
          <t>VETLANDA</t>
        </is>
      </c>
      <c r="I626" t="n">
        <v>4.5</v>
      </c>
      <c r="J626" t="n">
        <v>0</v>
      </c>
      <c r="K626" t="n">
        <v>0</v>
      </c>
      <c r="L626" t="n">
        <v>0</v>
      </c>
      <c r="M626" t="n">
        <v>0</v>
      </c>
      <c r="N626" t="n">
        <v>0</v>
      </c>
      <c r="O626" t="n">
        <v>0</v>
      </c>
      <c r="P626" t="n">
        <v>0</v>
      </c>
      <c r="Q626" t="n">
        <v>0</v>
      </c>
      <c r="R626" t="n">
        <v>0</v>
      </c>
      <c r="S626" t="n">
        <v>0</v>
      </c>
      <c r="T626" t="n">
        <v>0</v>
      </c>
      <c r="U626" s="2" t="inlineStr"/>
    </row>
    <row r="627" ht="15" customHeight="1">
      <c r="A627" t="inlineStr">
        <is>
          <t>A 43698-2024</t>
        </is>
      </c>
      <c r="B627" t="inlineStr">
        <is>
          <t>avverkningsanmälan</t>
        </is>
      </c>
      <c r="C627" t="inlineStr">
        <is>
          <t>Föryngringsavverkning</t>
        </is>
      </c>
      <c r="D627" s="1" t="n">
        <v>45569</v>
      </c>
      <c r="E627" s="1" t="n">
        <v>46217</v>
      </c>
      <c r="F627" t="inlineStr">
        <is>
          <t>JÖNKÖPINGS LÄN</t>
        </is>
      </c>
      <c r="G627" t="inlineStr">
        <is>
          <t>VETLANDA</t>
        </is>
      </c>
      <c r="H627" t="inlineStr">
        <is>
          <t>Kyrkan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61483-2025</t>
        </is>
      </c>
      <c r="B628" t="inlineStr">
        <is>
          <t>avverkningsanmälan</t>
        </is>
      </c>
      <c r="C628" t="inlineStr">
        <is>
          <t>Föryngringsavverkning</t>
        </is>
      </c>
      <c r="D628" s="1" t="n">
        <v>46001</v>
      </c>
      <c r="E628" s="1" t="n">
        <v>46217</v>
      </c>
      <c r="F628" t="inlineStr">
        <is>
          <t>JÖNKÖPINGS LÄN</t>
        </is>
      </c>
      <c r="G628" t="inlineStr">
        <is>
          <t>VETLANDA</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22000-2026</t>
        </is>
      </c>
      <c r="B629" t="inlineStr">
        <is>
          <t>avverkningsanmälan</t>
        </is>
      </c>
      <c r="C629" t="inlineStr">
        <is>
          <t>Föryngringsavverkning</t>
        </is>
      </c>
      <c r="D629" s="1" t="n">
        <v>46153</v>
      </c>
      <c r="E629" s="1" t="n">
        <v>46217</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21999-2026</t>
        </is>
      </c>
      <c r="B630" t="inlineStr">
        <is>
          <t>avverkningsanmälan</t>
        </is>
      </c>
      <c r="C630" t="inlineStr">
        <is>
          <t>Föryngringsavverkning</t>
        </is>
      </c>
      <c r="D630" s="1" t="n">
        <v>46153</v>
      </c>
      <c r="E630" s="1" t="n">
        <v>46217</v>
      </c>
      <c r="F630" t="inlineStr">
        <is>
          <t>JÖNKÖPINGS LÄN</t>
        </is>
      </c>
      <c r="G630" t="inlineStr">
        <is>
          <t>VETLANDA</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22263-2026</t>
        </is>
      </c>
      <c r="B631" t="inlineStr">
        <is>
          <t>avverkningsanmälan</t>
        </is>
      </c>
      <c r="C631" t="inlineStr">
        <is>
          <t>Föryngringsavverkning</t>
        </is>
      </c>
      <c r="D631" s="1" t="n">
        <v>46154</v>
      </c>
      <c r="E631" s="1" t="n">
        <v>46217</v>
      </c>
      <c r="F631" t="inlineStr">
        <is>
          <t>JÖNKÖPINGS LÄN</t>
        </is>
      </c>
      <c r="G631" t="inlineStr">
        <is>
          <t>VETLANDA</t>
        </is>
      </c>
      <c r="H631" t="inlineStr">
        <is>
          <t>Sveaskog</t>
        </is>
      </c>
      <c r="I631" t="n">
        <v>2</v>
      </c>
      <c r="J631" t="n">
        <v>0</v>
      </c>
      <c r="K631" t="n">
        <v>0</v>
      </c>
      <c r="L631" t="n">
        <v>0</v>
      </c>
      <c r="M631" t="n">
        <v>0</v>
      </c>
      <c r="N631" t="n">
        <v>0</v>
      </c>
      <c r="O631" t="n">
        <v>0</v>
      </c>
      <c r="P631" t="n">
        <v>0</v>
      </c>
      <c r="Q631" t="n">
        <v>0</v>
      </c>
      <c r="R631" t="n">
        <v>0</v>
      </c>
      <c r="S631" t="n">
        <v>0</v>
      </c>
      <c r="T631" t="n">
        <v>0</v>
      </c>
      <c r="U631" s="2" t="inlineStr"/>
    </row>
    <row r="632" ht="15" customHeight="1">
      <c r="A632" t="inlineStr">
        <is>
          <t>A 28207-2026</t>
        </is>
      </c>
      <c r="B632" t="inlineStr">
        <is>
          <t>avverkningsanmälan</t>
        </is>
      </c>
      <c r="C632" t="inlineStr">
        <is>
          <t>Föryngringsavverkning</t>
        </is>
      </c>
      <c r="D632" s="1" t="n">
        <v>46196</v>
      </c>
      <c r="E632" s="1" t="n">
        <v>46217</v>
      </c>
      <c r="F632" t="inlineStr">
        <is>
          <t>JÖNKÖPINGS LÄN</t>
        </is>
      </c>
      <c r="G632" t="inlineStr">
        <is>
          <t>VETLANDA</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9667-2023</t>
        </is>
      </c>
      <c r="B633" t="inlineStr">
        <is>
          <t>avverkningsanmälan</t>
        </is>
      </c>
      <c r="C633" t="inlineStr">
        <is>
          <t>Föryngringsavverkning</t>
        </is>
      </c>
      <c r="D633" s="1" t="n">
        <v>44984</v>
      </c>
      <c r="E633" s="1" t="n">
        <v>46217</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s="2" t="inlineStr"/>
    </row>
    <row r="634" ht="15" customHeight="1">
      <c r="A634" t="inlineStr">
        <is>
          <t>A 9677-2023</t>
        </is>
      </c>
      <c r="B634" t="inlineStr">
        <is>
          <t>avverkningsanmälan</t>
        </is>
      </c>
      <c r="C634" t="inlineStr">
        <is>
          <t>Föryngringsavverkning</t>
        </is>
      </c>
      <c r="D634" s="1" t="n">
        <v>44984</v>
      </c>
      <c r="E634" s="1" t="n">
        <v>46217</v>
      </c>
      <c r="F634" t="inlineStr">
        <is>
          <t>JÖNKÖPINGS LÄN</t>
        </is>
      </c>
      <c r="G634" t="inlineStr">
        <is>
          <t>VETLANDA</t>
        </is>
      </c>
      <c r="I634" t="n">
        <v>1.4</v>
      </c>
      <c r="J634" t="n">
        <v>0</v>
      </c>
      <c r="K634" t="n">
        <v>0</v>
      </c>
      <c r="L634" t="n">
        <v>0</v>
      </c>
      <c r="M634" t="n">
        <v>0</v>
      </c>
      <c r="N634" t="n">
        <v>0</v>
      </c>
      <c r="O634" t="n">
        <v>0</v>
      </c>
      <c r="P634" t="n">
        <v>0</v>
      </c>
      <c r="Q634" t="n">
        <v>0</v>
      </c>
      <c r="R634" t="n">
        <v>0</v>
      </c>
      <c r="S634" t="n">
        <v>0</v>
      </c>
      <c r="T634" t="n">
        <v>0</v>
      </c>
      <c r="U634" s="2" t="inlineStr"/>
    </row>
    <row r="635" ht="15" customHeight="1">
      <c r="A635" t="inlineStr">
        <is>
          <t>A 19953-2024</t>
        </is>
      </c>
      <c r="B635" t="inlineStr">
        <is>
          <t>avverkningsanmälan</t>
        </is>
      </c>
      <c r="C635" t="inlineStr">
        <is>
          <t>Föryngringsavverkning</t>
        </is>
      </c>
      <c r="D635" s="1" t="n">
        <v>45433</v>
      </c>
      <c r="E635" s="1" t="n">
        <v>46217</v>
      </c>
      <c r="F635" t="inlineStr">
        <is>
          <t>JÖNKÖPINGS LÄN</t>
        </is>
      </c>
      <c r="G635" t="inlineStr">
        <is>
          <t>VETLANDA</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53551-2022</t>
        </is>
      </c>
      <c r="B636" t="inlineStr">
        <is>
          <t>avverkningsanmälan</t>
        </is>
      </c>
      <c r="C636" t="inlineStr">
        <is>
          <t>Föryngringsavverkning</t>
        </is>
      </c>
      <c r="D636" s="1" t="n">
        <v>44879</v>
      </c>
      <c r="E636" s="1" t="n">
        <v>46217</v>
      </c>
      <c r="F636" t="inlineStr">
        <is>
          <t>JÖNKÖPINGS LÄN</t>
        </is>
      </c>
      <c r="G636" t="inlineStr">
        <is>
          <t>VETLANDA</t>
        </is>
      </c>
      <c r="I636" t="n">
        <v>0.8</v>
      </c>
      <c r="J636" t="n">
        <v>0</v>
      </c>
      <c r="K636" t="n">
        <v>0</v>
      </c>
      <c r="L636" t="n">
        <v>0</v>
      </c>
      <c r="M636" t="n">
        <v>0</v>
      </c>
      <c r="N636" t="n">
        <v>0</v>
      </c>
      <c r="O636" t="n">
        <v>0</v>
      </c>
      <c r="P636" t="n">
        <v>0</v>
      </c>
      <c r="Q636" t="n">
        <v>0</v>
      </c>
      <c r="R636" t="n">
        <v>0</v>
      </c>
      <c r="S636" t="n">
        <v>0</v>
      </c>
      <c r="T636" t="n">
        <v>0</v>
      </c>
      <c r="U636" s="2" t="inlineStr"/>
    </row>
    <row r="637" ht="15" customHeight="1">
      <c r="A637" t="inlineStr">
        <is>
          <t>A 25124-2024</t>
        </is>
      </c>
      <c r="B637" t="inlineStr">
        <is>
          <t>avverkningsanmälan</t>
        </is>
      </c>
      <c r="C637" t="inlineStr">
        <is>
          <t>Föryngringsavverkning</t>
        </is>
      </c>
      <c r="D637" s="1" t="n">
        <v>45462</v>
      </c>
      <c r="E637" s="1" t="n">
        <v>46217</v>
      </c>
      <c r="F637" t="inlineStr">
        <is>
          <t>JÖNKÖPINGS LÄN</t>
        </is>
      </c>
      <c r="G637" t="inlineStr">
        <is>
          <t>VETLANDA</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22012-2026</t>
        </is>
      </c>
      <c r="B638" t="inlineStr">
        <is>
          <t>avverkningsanmälan</t>
        </is>
      </c>
      <c r="C638" t="inlineStr">
        <is>
          <t>Föryngringsavverkning</t>
        </is>
      </c>
      <c r="D638" s="1" t="n">
        <v>46153</v>
      </c>
      <c r="E638" s="1" t="n">
        <v>46217</v>
      </c>
      <c r="F638" t="inlineStr">
        <is>
          <t>JÖNKÖPINGS LÄN</t>
        </is>
      </c>
      <c r="G638" t="inlineStr">
        <is>
          <t>VETLANDA</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48751-2022</t>
        </is>
      </c>
      <c r="B639" t="inlineStr">
        <is>
          <t>avverkningsanmälan</t>
        </is>
      </c>
      <c r="C639" t="inlineStr">
        <is>
          <t>Föryngringsavverkning</t>
        </is>
      </c>
      <c r="D639" s="1" t="n">
        <v>44859</v>
      </c>
      <c r="E639" s="1" t="n">
        <v>46217</v>
      </c>
      <c r="F639" t="inlineStr">
        <is>
          <t>JÖNKÖPINGS LÄN</t>
        </is>
      </c>
      <c r="G639" t="inlineStr">
        <is>
          <t>VETLANDA</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23858-2024</t>
        </is>
      </c>
      <c r="B640" t="inlineStr">
        <is>
          <t>avverkningsanmälan</t>
        </is>
      </c>
      <c r="C640" t="inlineStr">
        <is>
          <t>Föryngringsavverkning</t>
        </is>
      </c>
      <c r="D640" s="1" t="n">
        <v>45455</v>
      </c>
      <c r="E640" s="1" t="n">
        <v>46217</v>
      </c>
      <c r="F640" t="inlineStr">
        <is>
          <t>JÖNKÖPINGS LÄN</t>
        </is>
      </c>
      <c r="G640" t="inlineStr">
        <is>
          <t>VETLANDA</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16637-2023</t>
        </is>
      </c>
      <c r="B641" t="inlineStr">
        <is>
          <t>avverkningsanmälan</t>
        </is>
      </c>
      <c r="C641" t="inlineStr">
        <is>
          <t>Föryngringsavverkning</t>
        </is>
      </c>
      <c r="D641" s="1" t="n">
        <v>45030</v>
      </c>
      <c r="E641" s="1" t="n">
        <v>46217</v>
      </c>
      <c r="F641" t="inlineStr">
        <is>
          <t>JÖNKÖPINGS LÄN</t>
        </is>
      </c>
      <c r="G641" t="inlineStr">
        <is>
          <t>VETLANDA</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50756-2024</t>
        </is>
      </c>
      <c r="B642" t="inlineStr">
        <is>
          <t>avverkningsanmälan</t>
        </is>
      </c>
      <c r="C642" t="inlineStr">
        <is>
          <t>Föryngringsavverkning</t>
        </is>
      </c>
      <c r="D642" s="1" t="n">
        <v>45602</v>
      </c>
      <c r="E642" s="1" t="n">
        <v>46217</v>
      </c>
      <c r="F642" t="inlineStr">
        <is>
          <t>JÖNKÖPINGS LÄN</t>
        </is>
      </c>
      <c r="G642" t="inlineStr">
        <is>
          <t>VETLANDA</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1314-2024</t>
        </is>
      </c>
      <c r="B643" t="inlineStr">
        <is>
          <t>avverkningsanmälan</t>
        </is>
      </c>
      <c r="C643" t="inlineStr">
        <is>
          <t>Föryngringsavverkning</t>
        </is>
      </c>
      <c r="D643" s="1" t="n">
        <v>45303</v>
      </c>
      <c r="E643" s="1" t="n">
        <v>46217</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12003-2023</t>
        </is>
      </c>
      <c r="B644" t="inlineStr">
        <is>
          <t>avverkningsanmälan</t>
        </is>
      </c>
      <c r="C644" t="inlineStr">
        <is>
          <t>Föryngringsavverkning</t>
        </is>
      </c>
      <c r="D644" s="1" t="n">
        <v>44995</v>
      </c>
      <c r="E644" s="1" t="n">
        <v>46217</v>
      </c>
      <c r="F644" t="inlineStr">
        <is>
          <t>JÖNKÖPINGS LÄN</t>
        </is>
      </c>
      <c r="G644" t="inlineStr">
        <is>
          <t>VETLANDA</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28042-2026</t>
        </is>
      </c>
      <c r="B645" t="inlineStr">
        <is>
          <t>avverkningsanmälan</t>
        </is>
      </c>
      <c r="C645" t="inlineStr">
        <is>
          <t>Föryngringsavverkning</t>
        </is>
      </c>
      <c r="D645" s="1" t="n">
        <v>46195</v>
      </c>
      <c r="E645" s="1" t="n">
        <v>46217</v>
      </c>
      <c r="F645" t="inlineStr">
        <is>
          <t>JÖNKÖPINGS LÄN</t>
        </is>
      </c>
      <c r="G645" t="inlineStr">
        <is>
          <t>VETLANDA</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62027-2025</t>
        </is>
      </c>
      <c r="B646" t="inlineStr">
        <is>
          <t>avverkningsanmälan</t>
        </is>
      </c>
      <c r="C646" t="inlineStr">
        <is>
          <t>Föryngringsavverkning</t>
        </is>
      </c>
      <c r="D646" s="1" t="n">
        <v>46003</v>
      </c>
      <c r="E646" s="1" t="n">
        <v>46217</v>
      </c>
      <c r="F646" t="inlineStr">
        <is>
          <t>JÖNKÖPINGS LÄN</t>
        </is>
      </c>
      <c r="G646" t="inlineStr">
        <is>
          <t>VETLANDA</t>
        </is>
      </c>
      <c r="I646" t="n">
        <v>3.2</v>
      </c>
      <c r="J646" t="n">
        <v>0</v>
      </c>
      <c r="K646" t="n">
        <v>0</v>
      </c>
      <c r="L646" t="n">
        <v>0</v>
      </c>
      <c r="M646" t="n">
        <v>0</v>
      </c>
      <c r="N646" t="n">
        <v>0</v>
      </c>
      <c r="O646" t="n">
        <v>0</v>
      </c>
      <c r="P646" t="n">
        <v>0</v>
      </c>
      <c r="Q646" t="n">
        <v>0</v>
      </c>
      <c r="R646" t="n">
        <v>0</v>
      </c>
      <c r="S646" t="n">
        <v>0</v>
      </c>
      <c r="T646" t="n">
        <v>0</v>
      </c>
      <c r="U646" s="2" t="inlineStr"/>
    </row>
    <row r="647" ht="15" customHeight="1">
      <c r="A647" t="inlineStr">
        <is>
          <t>A 53782-2024</t>
        </is>
      </c>
      <c r="B647" t="inlineStr">
        <is>
          <t>avverkningsanmälan</t>
        </is>
      </c>
      <c r="C647" t="inlineStr">
        <is>
          <t>Föryngringsavverkning</t>
        </is>
      </c>
      <c r="D647" s="1" t="n">
        <v>45615</v>
      </c>
      <c r="E647" s="1" t="n">
        <v>46217</v>
      </c>
      <c r="F647" t="inlineStr">
        <is>
          <t>JÖNKÖPINGS LÄN</t>
        </is>
      </c>
      <c r="G647" t="inlineStr">
        <is>
          <t>VETLANDA</t>
        </is>
      </c>
      <c r="I647" t="n">
        <v>3.5</v>
      </c>
      <c r="J647" t="n">
        <v>0</v>
      </c>
      <c r="K647" t="n">
        <v>0</v>
      </c>
      <c r="L647" t="n">
        <v>0</v>
      </c>
      <c r="M647" t="n">
        <v>0</v>
      </c>
      <c r="N647" t="n">
        <v>0</v>
      </c>
      <c r="O647" t="n">
        <v>0</v>
      </c>
      <c r="P647" t="n">
        <v>0</v>
      </c>
      <c r="Q647" t="n">
        <v>0</v>
      </c>
      <c r="R647" t="n">
        <v>0</v>
      </c>
      <c r="S647" t="n">
        <v>0</v>
      </c>
      <c r="T647" t="n">
        <v>0</v>
      </c>
      <c r="U647" s="2" t="inlineStr"/>
    </row>
    <row r="648" ht="15" customHeight="1">
      <c r="A648" t="inlineStr">
        <is>
          <t>A 7625-2024</t>
        </is>
      </c>
      <c r="B648" t="inlineStr">
        <is>
          <t>avverkningsanmälan</t>
        </is>
      </c>
      <c r="C648" t="inlineStr">
        <is>
          <t>Föryngringsavverkning</t>
        </is>
      </c>
      <c r="D648" s="1" t="n">
        <v>45348</v>
      </c>
      <c r="E648" s="1" t="n">
        <v>46217</v>
      </c>
      <c r="F648" t="inlineStr">
        <is>
          <t>JÖNKÖPINGS LÄN</t>
        </is>
      </c>
      <c r="G648" t="inlineStr">
        <is>
          <t>VETLANDA</t>
        </is>
      </c>
      <c r="I648" t="n">
        <v>0.4</v>
      </c>
      <c r="J648" t="n">
        <v>0</v>
      </c>
      <c r="K648" t="n">
        <v>0</v>
      </c>
      <c r="L648" t="n">
        <v>0</v>
      </c>
      <c r="M648" t="n">
        <v>0</v>
      </c>
      <c r="N648" t="n">
        <v>0</v>
      </c>
      <c r="O648" t="n">
        <v>0</v>
      </c>
      <c r="P648" t="n">
        <v>0</v>
      </c>
      <c r="Q648" t="n">
        <v>0</v>
      </c>
      <c r="R648" t="n">
        <v>0</v>
      </c>
      <c r="S648" t="n">
        <v>0</v>
      </c>
      <c r="T648" t="n">
        <v>0</v>
      </c>
      <c r="U648" s="2" t="inlineStr"/>
    </row>
    <row r="649" ht="15" customHeight="1">
      <c r="A649" t="inlineStr">
        <is>
          <t>A 31621-2023</t>
        </is>
      </c>
      <c r="B649" t="inlineStr">
        <is>
          <t>avverkningsanmälan</t>
        </is>
      </c>
      <c r="C649" t="inlineStr">
        <is>
          <t>Föryngringsavverkning</t>
        </is>
      </c>
      <c r="D649" s="1" t="n">
        <v>45117</v>
      </c>
      <c r="E649" s="1" t="n">
        <v>46217</v>
      </c>
      <c r="F649" t="inlineStr">
        <is>
          <t>JÖNKÖPINGS LÄN</t>
        </is>
      </c>
      <c r="G649" t="inlineStr">
        <is>
          <t>VETLANDA</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62582-2025</t>
        </is>
      </c>
      <c r="B650" t="inlineStr">
        <is>
          <t>avverkningsanmälan</t>
        </is>
      </c>
      <c r="C650" t="inlineStr">
        <is>
          <t>Föryngringsavverkning</t>
        </is>
      </c>
      <c r="D650" s="1" t="n">
        <v>46007</v>
      </c>
      <c r="E650" s="1" t="n">
        <v>46217</v>
      </c>
      <c r="F650" t="inlineStr">
        <is>
          <t>JÖNKÖPINGS LÄN</t>
        </is>
      </c>
      <c r="G650" t="inlineStr">
        <is>
          <t>VETLANDA</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62584-2025</t>
        </is>
      </c>
      <c r="B651" t="inlineStr">
        <is>
          <t>avverkningsanmälan</t>
        </is>
      </c>
      <c r="C651" t="inlineStr">
        <is>
          <t>Föryngringsavverkning</t>
        </is>
      </c>
      <c r="D651" s="1" t="n">
        <v>46007</v>
      </c>
      <c r="E651" s="1" t="n">
        <v>46217</v>
      </c>
      <c r="F651" t="inlineStr">
        <is>
          <t>JÖNKÖPINGS LÄN</t>
        </is>
      </c>
      <c r="G651" t="inlineStr">
        <is>
          <t>VETLANDA</t>
        </is>
      </c>
      <c r="I651" t="n">
        <v>2</v>
      </c>
      <c r="J651" t="n">
        <v>0</v>
      </c>
      <c r="K651" t="n">
        <v>0</v>
      </c>
      <c r="L651" t="n">
        <v>0</v>
      </c>
      <c r="M651" t="n">
        <v>0</v>
      </c>
      <c r="N651" t="n">
        <v>0</v>
      </c>
      <c r="O651" t="n">
        <v>0</v>
      </c>
      <c r="P651" t="n">
        <v>0</v>
      </c>
      <c r="Q651" t="n">
        <v>0</v>
      </c>
      <c r="R651" t="n">
        <v>0</v>
      </c>
      <c r="S651" t="n">
        <v>0</v>
      </c>
      <c r="T651" t="n">
        <v>0</v>
      </c>
      <c r="U651" s="2" t="inlineStr"/>
    </row>
    <row r="652" ht="15" customHeight="1">
      <c r="A652" t="inlineStr">
        <is>
          <t>A 30704-2023</t>
        </is>
      </c>
      <c r="B652" t="inlineStr">
        <is>
          <t>avverkningsanmälan</t>
        </is>
      </c>
      <c r="C652" t="inlineStr">
        <is>
          <t>Föryngringsavverkning</t>
        </is>
      </c>
      <c r="D652" s="1" t="n">
        <v>45112</v>
      </c>
      <c r="E652" s="1" t="n">
        <v>46217</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41173-2023</t>
        </is>
      </c>
      <c r="B653" t="inlineStr">
        <is>
          <t>avverkningsanmälan</t>
        </is>
      </c>
      <c r="C653" t="inlineStr">
        <is>
          <t>Föryngringsavverkning</t>
        </is>
      </c>
      <c r="D653" s="1" t="n">
        <v>45174</v>
      </c>
      <c r="E653" s="1" t="n">
        <v>46217</v>
      </c>
      <c r="F653" t="inlineStr">
        <is>
          <t>JÖNKÖPINGS LÄN</t>
        </is>
      </c>
      <c r="G653" t="inlineStr">
        <is>
          <t>VETLANDA</t>
        </is>
      </c>
      <c r="H653" t="inlineStr">
        <is>
          <t>Sveaskog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60964-2025</t>
        </is>
      </c>
      <c r="B654" t="inlineStr">
        <is>
          <t>avverkningsanmälan</t>
        </is>
      </c>
      <c r="C654" t="inlineStr">
        <is>
          <t>Föryngringsavverkning</t>
        </is>
      </c>
      <c r="D654" s="1" t="n">
        <v>45999</v>
      </c>
      <c r="E654" s="1" t="n">
        <v>46217</v>
      </c>
      <c r="F654" t="inlineStr">
        <is>
          <t>JÖNKÖPINGS LÄN</t>
        </is>
      </c>
      <c r="G654" t="inlineStr">
        <is>
          <t>VETLANDA</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24673-2023</t>
        </is>
      </c>
      <c r="B655" t="inlineStr">
        <is>
          <t>avverkningsanmälan</t>
        </is>
      </c>
      <c r="C655" t="inlineStr">
        <is>
          <t>Föryngringsavverkning</t>
        </is>
      </c>
      <c r="D655" s="1" t="n">
        <v>45084</v>
      </c>
      <c r="E655" s="1" t="n">
        <v>46217</v>
      </c>
      <c r="F655" t="inlineStr">
        <is>
          <t>JÖNKÖPINGS LÄN</t>
        </is>
      </c>
      <c r="G655" t="inlineStr">
        <is>
          <t>VETLANDA</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63136-2025</t>
        </is>
      </c>
      <c r="B656" t="inlineStr">
        <is>
          <t>avverkningsanmälan</t>
        </is>
      </c>
      <c r="C656" t="inlineStr">
        <is>
          <t>Föryngringsavverkning</t>
        </is>
      </c>
      <c r="D656" s="1" t="n">
        <v>46010</v>
      </c>
      <c r="E656" s="1" t="n">
        <v>46217</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63143-2025</t>
        </is>
      </c>
      <c r="B657" t="inlineStr">
        <is>
          <t>avverkningsanmälan</t>
        </is>
      </c>
      <c r="C657" t="inlineStr">
        <is>
          <t>Föryngringsavverkning</t>
        </is>
      </c>
      <c r="D657" s="1" t="n">
        <v>46010</v>
      </c>
      <c r="E657" s="1" t="n">
        <v>46217</v>
      </c>
      <c r="F657" t="inlineStr">
        <is>
          <t>JÖNKÖPINGS LÄN</t>
        </is>
      </c>
      <c r="G657" t="inlineStr">
        <is>
          <t>VETLANDA</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63028-2025</t>
        </is>
      </c>
      <c r="B658" t="inlineStr">
        <is>
          <t>avverkningsanmälan</t>
        </is>
      </c>
      <c r="C658" t="inlineStr">
        <is>
          <t>Föryngringsavverkning</t>
        </is>
      </c>
      <c r="D658" s="1" t="n">
        <v>46009</v>
      </c>
      <c r="E658" s="1" t="n">
        <v>46217</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62885-2025</t>
        </is>
      </c>
      <c r="B659" t="inlineStr">
        <is>
          <t>avverkningsanmälan</t>
        </is>
      </c>
      <c r="C659" t="inlineStr">
        <is>
          <t>Föryngringsavverkning</t>
        </is>
      </c>
      <c r="D659" s="1" t="n">
        <v>46009</v>
      </c>
      <c r="E659" s="1" t="n">
        <v>46217</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3819-2022</t>
        </is>
      </c>
      <c r="B660" t="inlineStr">
        <is>
          <t>avverkningsanmälan</t>
        </is>
      </c>
      <c r="C660" t="inlineStr">
        <is>
          <t>Föryngringsavverkning</t>
        </is>
      </c>
      <c r="D660" s="1" t="n">
        <v>44587</v>
      </c>
      <c r="E660" s="1" t="n">
        <v>46217</v>
      </c>
      <c r="F660" t="inlineStr">
        <is>
          <t>JÖNKÖPINGS LÄN</t>
        </is>
      </c>
      <c r="G660" t="inlineStr">
        <is>
          <t>VETLANDA</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63070-2025</t>
        </is>
      </c>
      <c r="B661" t="inlineStr">
        <is>
          <t>avverkningsanmälan</t>
        </is>
      </c>
      <c r="C661" t="inlineStr">
        <is>
          <t>Föryngringsavverkning</t>
        </is>
      </c>
      <c r="D661" s="1" t="n">
        <v>46009</v>
      </c>
      <c r="E661" s="1" t="n">
        <v>46217</v>
      </c>
      <c r="F661" t="inlineStr">
        <is>
          <t>JÖNKÖPINGS LÄN</t>
        </is>
      </c>
      <c r="G661" t="inlineStr">
        <is>
          <t>VETLANDA</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39165-2023</t>
        </is>
      </c>
      <c r="B662" t="inlineStr">
        <is>
          <t>avverkningsanmälan</t>
        </is>
      </c>
      <c r="C662" t="inlineStr">
        <is>
          <t>Föryngringsavverkning</t>
        </is>
      </c>
      <c r="D662" s="1" t="n">
        <v>45166</v>
      </c>
      <c r="E662" s="1" t="n">
        <v>46217</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s="2" t="inlineStr"/>
    </row>
    <row r="663" ht="15" customHeight="1">
      <c r="A663" t="inlineStr">
        <is>
          <t>A 63081-2025</t>
        </is>
      </c>
      <c r="B663" t="inlineStr">
        <is>
          <t>avverkningsanmälan</t>
        </is>
      </c>
      <c r="C663" t="inlineStr">
        <is>
          <t>Föryngringsavverkning</t>
        </is>
      </c>
      <c r="D663" s="1" t="n">
        <v>46009</v>
      </c>
      <c r="E663" s="1" t="n">
        <v>46217</v>
      </c>
      <c r="F663" t="inlineStr">
        <is>
          <t>JÖNKÖPINGS LÄN</t>
        </is>
      </c>
      <c r="G663" t="inlineStr">
        <is>
          <t>VETLANDA</t>
        </is>
      </c>
      <c r="I663" t="n">
        <v>2.3</v>
      </c>
      <c r="J663" t="n">
        <v>0</v>
      </c>
      <c r="K663" t="n">
        <v>0</v>
      </c>
      <c r="L663" t="n">
        <v>0</v>
      </c>
      <c r="M663" t="n">
        <v>0</v>
      </c>
      <c r="N663" t="n">
        <v>0</v>
      </c>
      <c r="O663" t="n">
        <v>0</v>
      </c>
      <c r="P663" t="n">
        <v>0</v>
      </c>
      <c r="Q663" t="n">
        <v>0</v>
      </c>
      <c r="R663" t="n">
        <v>0</v>
      </c>
      <c r="S663" t="n">
        <v>0</v>
      </c>
      <c r="T663" t="n">
        <v>0</v>
      </c>
      <c r="U663" s="2" t="inlineStr"/>
    </row>
    <row r="664" ht="15" customHeight="1">
      <c r="A664" t="inlineStr">
        <is>
          <t>A 15398-2024</t>
        </is>
      </c>
      <c r="B664" t="inlineStr">
        <is>
          <t>avverkningsanmälan</t>
        </is>
      </c>
      <c r="C664" t="inlineStr">
        <is>
          <t>Föryngringsavverkning</t>
        </is>
      </c>
      <c r="D664" s="1" t="n">
        <v>45401</v>
      </c>
      <c r="E664" s="1" t="n">
        <v>46217</v>
      </c>
      <c r="F664" t="inlineStr">
        <is>
          <t>JÖNKÖPINGS LÄN</t>
        </is>
      </c>
      <c r="G664" t="inlineStr">
        <is>
          <t>VETLANDA</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54239-2024</t>
        </is>
      </c>
      <c r="B665" t="inlineStr">
        <is>
          <t>avverkningsanmälan</t>
        </is>
      </c>
      <c r="C665" t="inlineStr">
        <is>
          <t>Föryngringsavverkning</t>
        </is>
      </c>
      <c r="D665" s="1" t="n">
        <v>45616</v>
      </c>
      <c r="E665" s="1" t="n">
        <v>46217</v>
      </c>
      <c r="F665" t="inlineStr">
        <is>
          <t>JÖNKÖPINGS LÄN</t>
        </is>
      </c>
      <c r="G665" t="inlineStr">
        <is>
          <t>VETLANDA</t>
        </is>
      </c>
      <c r="I665" t="n">
        <v>2.4</v>
      </c>
      <c r="J665" t="n">
        <v>0</v>
      </c>
      <c r="K665" t="n">
        <v>0</v>
      </c>
      <c r="L665" t="n">
        <v>0</v>
      </c>
      <c r="M665" t="n">
        <v>0</v>
      </c>
      <c r="N665" t="n">
        <v>0</v>
      </c>
      <c r="O665" t="n">
        <v>0</v>
      </c>
      <c r="P665" t="n">
        <v>0</v>
      </c>
      <c r="Q665" t="n">
        <v>0</v>
      </c>
      <c r="R665" t="n">
        <v>0</v>
      </c>
      <c r="S665" t="n">
        <v>0</v>
      </c>
      <c r="T665" t="n">
        <v>0</v>
      </c>
      <c r="U665" s="2" t="inlineStr"/>
    </row>
    <row r="666" ht="15" customHeight="1">
      <c r="A666" t="inlineStr">
        <is>
          <t>A 67274-2021</t>
        </is>
      </c>
      <c r="B666" t="inlineStr">
        <is>
          <t>avverkningsanmälan</t>
        </is>
      </c>
      <c r="C666" t="inlineStr">
        <is>
          <t>Föryngringsavverkning</t>
        </is>
      </c>
      <c r="D666" s="1" t="n">
        <v>44523</v>
      </c>
      <c r="E666" s="1" t="n">
        <v>46217</v>
      </c>
      <c r="F666" t="inlineStr">
        <is>
          <t>JÖNKÖPINGS LÄN</t>
        </is>
      </c>
      <c r="G666" t="inlineStr">
        <is>
          <t>VETLANDA</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19065-2023</t>
        </is>
      </c>
      <c r="B667" t="inlineStr">
        <is>
          <t>avverkningsanmälan</t>
        </is>
      </c>
      <c r="C667" t="inlineStr">
        <is>
          <t>Föryngringsavverkning</t>
        </is>
      </c>
      <c r="D667" s="1" t="n">
        <v>45048</v>
      </c>
      <c r="E667" s="1" t="n">
        <v>46217</v>
      </c>
      <c r="F667" t="inlineStr">
        <is>
          <t>JÖNKÖPINGS LÄN</t>
        </is>
      </c>
      <c r="G667" t="inlineStr">
        <is>
          <t>VETLANDA</t>
        </is>
      </c>
      <c r="I667" t="n">
        <v>15.7</v>
      </c>
      <c r="J667" t="n">
        <v>0</v>
      </c>
      <c r="K667" t="n">
        <v>0</v>
      </c>
      <c r="L667" t="n">
        <v>0</v>
      </c>
      <c r="M667" t="n">
        <v>0</v>
      </c>
      <c r="N667" t="n">
        <v>0</v>
      </c>
      <c r="O667" t="n">
        <v>0</v>
      </c>
      <c r="P667" t="n">
        <v>0</v>
      </c>
      <c r="Q667" t="n">
        <v>0</v>
      </c>
      <c r="R667" t="n">
        <v>0</v>
      </c>
      <c r="S667" t="n">
        <v>0</v>
      </c>
      <c r="T667" t="n">
        <v>0</v>
      </c>
      <c r="U667" s="2" t="inlineStr"/>
    </row>
    <row r="668" ht="15" customHeight="1">
      <c r="A668" t="inlineStr">
        <is>
          <t>A 41421-2023</t>
        </is>
      </c>
      <c r="B668" t="inlineStr">
        <is>
          <t>avverkningsanmälan</t>
        </is>
      </c>
      <c r="C668" t="inlineStr">
        <is>
          <t>Föryngringsavverkning</t>
        </is>
      </c>
      <c r="D668" s="1" t="n">
        <v>45175</v>
      </c>
      <c r="E668" s="1" t="n">
        <v>46217</v>
      </c>
      <c r="F668" t="inlineStr">
        <is>
          <t>JÖNKÖPINGS LÄN</t>
        </is>
      </c>
      <c r="G668" t="inlineStr">
        <is>
          <t>VETLANDA</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15171-2024</t>
        </is>
      </c>
      <c r="B669" t="inlineStr">
        <is>
          <t>avverkningsanmälan</t>
        </is>
      </c>
      <c r="C669" t="inlineStr">
        <is>
          <t>Avverkning för annat ändamål</t>
        </is>
      </c>
      <c r="D669" s="1" t="n">
        <v>45400</v>
      </c>
      <c r="E669" s="1" t="n">
        <v>46217</v>
      </c>
      <c r="F669" t="inlineStr">
        <is>
          <t>JÖNKÖPINGS LÄN</t>
        </is>
      </c>
      <c r="G669" t="inlineStr">
        <is>
          <t>VETLANDA</t>
        </is>
      </c>
      <c r="H669" t="inlineStr">
        <is>
          <t>Kommuner</t>
        </is>
      </c>
      <c r="I669" t="n">
        <v>3.5</v>
      </c>
      <c r="J669" t="n">
        <v>0</v>
      </c>
      <c r="K669" t="n">
        <v>0</v>
      </c>
      <c r="L669" t="n">
        <v>0</v>
      </c>
      <c r="M669" t="n">
        <v>0</v>
      </c>
      <c r="N669" t="n">
        <v>0</v>
      </c>
      <c r="O669" t="n">
        <v>0</v>
      </c>
      <c r="P669" t="n">
        <v>0</v>
      </c>
      <c r="Q669" t="n">
        <v>0</v>
      </c>
      <c r="R669" t="n">
        <v>0</v>
      </c>
      <c r="S669" t="n">
        <v>0</v>
      </c>
      <c r="T669" t="n">
        <v>0</v>
      </c>
      <c r="U669" s="2" t="inlineStr"/>
    </row>
    <row r="670" ht="15" customHeight="1">
      <c r="A670" t="inlineStr">
        <is>
          <t>A 30415-2025</t>
        </is>
      </c>
      <c r="B670" t="inlineStr">
        <is>
          <t>avverkningsanmälan</t>
        </is>
      </c>
      <c r="C670" t="inlineStr">
        <is>
          <t>Föryngringsavverkning</t>
        </is>
      </c>
      <c r="D670" s="1" t="n">
        <v>45827</v>
      </c>
      <c r="E670" s="1" t="n">
        <v>46217</v>
      </c>
      <c r="F670" t="inlineStr">
        <is>
          <t>JÖNKÖPINGS LÄN</t>
        </is>
      </c>
      <c r="G670" t="inlineStr">
        <is>
          <t>VETLANDA</t>
        </is>
      </c>
      <c r="I670" t="n">
        <v>2.4</v>
      </c>
      <c r="J670" t="n">
        <v>0</v>
      </c>
      <c r="K670" t="n">
        <v>0</v>
      </c>
      <c r="L670" t="n">
        <v>0</v>
      </c>
      <c r="M670" t="n">
        <v>0</v>
      </c>
      <c r="N670" t="n">
        <v>0</v>
      </c>
      <c r="O670" t="n">
        <v>0</v>
      </c>
      <c r="P670" t="n">
        <v>0</v>
      </c>
      <c r="Q670" t="n">
        <v>0</v>
      </c>
      <c r="R670" t="n">
        <v>0</v>
      </c>
      <c r="S670" t="n">
        <v>0</v>
      </c>
      <c r="T670" t="n">
        <v>0</v>
      </c>
      <c r="U670" s="2" t="inlineStr"/>
    </row>
    <row r="671" ht="15" customHeight="1">
      <c r="A671" t="inlineStr">
        <is>
          <t>A 15502-2024</t>
        </is>
      </c>
      <c r="B671" t="inlineStr">
        <is>
          <t>avverkningsanmälan</t>
        </is>
      </c>
      <c r="C671" t="inlineStr">
        <is>
          <t>Föryngringsavverkning</t>
        </is>
      </c>
      <c r="D671" s="1" t="n">
        <v>45401</v>
      </c>
      <c r="E671" s="1" t="n">
        <v>46217</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39868-2023</t>
        </is>
      </c>
      <c r="B672" t="inlineStr">
        <is>
          <t>avverkningsanmälan</t>
        </is>
      </c>
      <c r="C672" t="inlineStr">
        <is>
          <t>Föryngringsavverkning</t>
        </is>
      </c>
      <c r="D672" s="1" t="n">
        <v>45168</v>
      </c>
      <c r="E672" s="1" t="n">
        <v>46217</v>
      </c>
      <c r="F672" t="inlineStr">
        <is>
          <t>JÖNKÖPINGS LÄN</t>
        </is>
      </c>
      <c r="G672" t="inlineStr">
        <is>
          <t>VETLANDA</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72411-2021</t>
        </is>
      </c>
      <c r="B673" t="inlineStr">
        <is>
          <t>avverkningsanmälan</t>
        </is>
      </c>
      <c r="C673" t="inlineStr">
        <is>
          <t>Föryngringsavverkning</t>
        </is>
      </c>
      <c r="D673" s="1" t="n">
        <v>44545</v>
      </c>
      <c r="E673" s="1" t="n">
        <v>46217</v>
      </c>
      <c r="F673" t="inlineStr">
        <is>
          <t>JÖNKÖPINGS LÄN</t>
        </is>
      </c>
      <c r="G673" t="inlineStr">
        <is>
          <t>VETLANDA</t>
        </is>
      </c>
      <c r="I673" t="n">
        <v>2.9</v>
      </c>
      <c r="J673" t="n">
        <v>0</v>
      </c>
      <c r="K673" t="n">
        <v>0</v>
      </c>
      <c r="L673" t="n">
        <v>0</v>
      </c>
      <c r="M673" t="n">
        <v>0</v>
      </c>
      <c r="N673" t="n">
        <v>0</v>
      </c>
      <c r="O673" t="n">
        <v>0</v>
      </c>
      <c r="P673" t="n">
        <v>0</v>
      </c>
      <c r="Q673" t="n">
        <v>0</v>
      </c>
      <c r="R673" t="n">
        <v>0</v>
      </c>
      <c r="S673" t="n">
        <v>0</v>
      </c>
      <c r="T673" t="n">
        <v>0</v>
      </c>
      <c r="U673" s="2" t="inlineStr"/>
    </row>
    <row r="674" ht="15" customHeight="1">
      <c r="A674" t="inlineStr">
        <is>
          <t>A 38196-2023</t>
        </is>
      </c>
      <c r="B674" t="inlineStr">
        <is>
          <t>avverkningsanmälan</t>
        </is>
      </c>
      <c r="C674" t="inlineStr">
        <is>
          <t>Föryngringsavverkning</t>
        </is>
      </c>
      <c r="D674" s="1" t="n">
        <v>45161</v>
      </c>
      <c r="E674" s="1" t="n">
        <v>46217</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62028-2025</t>
        </is>
      </c>
      <c r="B675" t="inlineStr">
        <is>
          <t>avverkningsanmälan</t>
        </is>
      </c>
      <c r="C675" t="inlineStr">
        <is>
          <t>Föryngringsavverkning</t>
        </is>
      </c>
      <c r="D675" s="1" t="n">
        <v>46003</v>
      </c>
      <c r="E675" s="1" t="n">
        <v>46217</v>
      </c>
      <c r="F675" t="inlineStr">
        <is>
          <t>JÖNKÖPINGS LÄN</t>
        </is>
      </c>
      <c r="G675" t="inlineStr">
        <is>
          <t>VETLANDA</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31010-2023</t>
        </is>
      </c>
      <c r="B676" t="inlineStr">
        <is>
          <t>avverkningsanmälan</t>
        </is>
      </c>
      <c r="C676" t="inlineStr">
        <is>
          <t>Föryngringsavverkning</t>
        </is>
      </c>
      <c r="D676" s="1" t="n">
        <v>45113</v>
      </c>
      <c r="E676" s="1" t="n">
        <v>46217</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26791-2024</t>
        </is>
      </c>
      <c r="B677" t="inlineStr">
        <is>
          <t>avverkningsanmälan</t>
        </is>
      </c>
      <c r="C677" t="inlineStr">
        <is>
          <t>Föryngringsavverkning</t>
        </is>
      </c>
      <c r="D677" s="1" t="n">
        <v>45470</v>
      </c>
      <c r="E677" s="1" t="n">
        <v>46217</v>
      </c>
      <c r="F677" t="inlineStr">
        <is>
          <t>JÖNKÖPINGS LÄN</t>
        </is>
      </c>
      <c r="G677" t="inlineStr">
        <is>
          <t>VETLANDA</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42990-2023</t>
        </is>
      </c>
      <c r="B678" t="inlineStr">
        <is>
          <t>avverkningsanmälan</t>
        </is>
      </c>
      <c r="C678" t="inlineStr">
        <is>
          <t>Föryngringsavverkning</t>
        </is>
      </c>
      <c r="D678" s="1" t="n">
        <v>45182</v>
      </c>
      <c r="E678" s="1" t="n">
        <v>46217</v>
      </c>
      <c r="F678" t="inlineStr">
        <is>
          <t>JÖNKÖPINGS LÄN</t>
        </is>
      </c>
      <c r="G678" t="inlineStr">
        <is>
          <t>VETLANDA</t>
        </is>
      </c>
      <c r="I678" t="n">
        <v>2.2</v>
      </c>
      <c r="J678" t="n">
        <v>0</v>
      </c>
      <c r="K678" t="n">
        <v>0</v>
      </c>
      <c r="L678" t="n">
        <v>0</v>
      </c>
      <c r="M678" t="n">
        <v>0</v>
      </c>
      <c r="N678" t="n">
        <v>0</v>
      </c>
      <c r="O678" t="n">
        <v>0</v>
      </c>
      <c r="P678" t="n">
        <v>0</v>
      </c>
      <c r="Q678" t="n">
        <v>0</v>
      </c>
      <c r="R678" t="n">
        <v>0</v>
      </c>
      <c r="S678" t="n">
        <v>0</v>
      </c>
      <c r="T678" t="n">
        <v>0</v>
      </c>
      <c r="U678" s="2" t="inlineStr"/>
    </row>
    <row r="679" ht="15" customHeight="1">
      <c r="A679" t="inlineStr">
        <is>
          <t>A 28774-2024</t>
        </is>
      </c>
      <c r="B679" t="inlineStr">
        <is>
          <t>avverkningsanmälan</t>
        </is>
      </c>
      <c r="C679" t="inlineStr">
        <is>
          <t>Föryngringsavverkning</t>
        </is>
      </c>
      <c r="D679" s="1" t="n">
        <v>45478</v>
      </c>
      <c r="E679" s="1" t="n">
        <v>46217</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16082-2024</t>
        </is>
      </c>
      <c r="B680" t="inlineStr">
        <is>
          <t>avverkningsanmälan</t>
        </is>
      </c>
      <c r="C680" t="inlineStr">
        <is>
          <t>Föryngringsavverkning</t>
        </is>
      </c>
      <c r="D680" s="1" t="n">
        <v>45406</v>
      </c>
      <c r="E680" s="1" t="n">
        <v>46217</v>
      </c>
      <c r="F680" t="inlineStr">
        <is>
          <t>JÖNKÖPINGS LÄN</t>
        </is>
      </c>
      <c r="G680" t="inlineStr">
        <is>
          <t>VETLANDA</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913-2026</t>
        </is>
      </c>
      <c r="B681" t="inlineStr">
        <is>
          <t>avverkningsanmälan</t>
        </is>
      </c>
      <c r="C681" t="inlineStr">
        <is>
          <t>Föryngringsavverkning</t>
        </is>
      </c>
      <c r="D681" s="1" t="n">
        <v>46030</v>
      </c>
      <c r="E681" s="1" t="n">
        <v>46217</v>
      </c>
      <c r="F681" t="inlineStr">
        <is>
          <t>JÖNKÖPINGS LÄN</t>
        </is>
      </c>
      <c r="G681" t="inlineStr">
        <is>
          <t>VETLANDA</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38373-2024</t>
        </is>
      </c>
      <c r="B682" t="inlineStr">
        <is>
          <t>avverkningsanmälan</t>
        </is>
      </c>
      <c r="C682" t="inlineStr">
        <is>
          <t>Föryngringsavverkning</t>
        </is>
      </c>
      <c r="D682" s="1" t="n">
        <v>45545</v>
      </c>
      <c r="E682" s="1" t="n">
        <v>46217</v>
      </c>
      <c r="F682" t="inlineStr">
        <is>
          <t>JÖNKÖPINGS LÄN</t>
        </is>
      </c>
      <c r="G682" t="inlineStr">
        <is>
          <t>VETLANDA</t>
        </is>
      </c>
      <c r="I682" t="n">
        <v>1.6</v>
      </c>
      <c r="J682" t="n">
        <v>0</v>
      </c>
      <c r="K682" t="n">
        <v>0</v>
      </c>
      <c r="L682" t="n">
        <v>0</v>
      </c>
      <c r="M682" t="n">
        <v>0</v>
      </c>
      <c r="N682" t="n">
        <v>0</v>
      </c>
      <c r="O682" t="n">
        <v>0</v>
      </c>
      <c r="P682" t="n">
        <v>0</v>
      </c>
      <c r="Q682" t="n">
        <v>0</v>
      </c>
      <c r="R682" t="n">
        <v>0</v>
      </c>
      <c r="S682" t="n">
        <v>0</v>
      </c>
      <c r="T682" t="n">
        <v>0</v>
      </c>
      <c r="U682" s="2" t="inlineStr"/>
    </row>
    <row r="683" ht="15" customHeight="1">
      <c r="A683" t="inlineStr">
        <is>
          <t>A 849-2026</t>
        </is>
      </c>
      <c r="B683" t="inlineStr">
        <is>
          <t>avverkningsanmälan</t>
        </is>
      </c>
      <c r="C683" t="inlineStr">
        <is>
          <t>Föryngringsavverkning</t>
        </is>
      </c>
      <c r="D683" s="1" t="n">
        <v>46030</v>
      </c>
      <c r="E683" s="1" t="n">
        <v>46217</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43510-2024</t>
        </is>
      </c>
      <c r="B684" t="inlineStr">
        <is>
          <t>avverkningsanmälan</t>
        </is>
      </c>
      <c r="C684" t="inlineStr">
        <is>
          <t>Föryngringsavverkning</t>
        </is>
      </c>
      <c r="D684" s="1" t="n">
        <v>45569</v>
      </c>
      <c r="E684" s="1" t="n">
        <v>46217</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750-2026</t>
        </is>
      </c>
      <c r="B685" t="inlineStr">
        <is>
          <t>avverkningsanmälan</t>
        </is>
      </c>
      <c r="C685" t="inlineStr">
        <is>
          <t>Föryngringsavverkning</t>
        </is>
      </c>
      <c r="D685" s="1" t="n">
        <v>46029</v>
      </c>
      <c r="E685" s="1" t="n">
        <v>46217</v>
      </c>
      <c r="F685" t="inlineStr">
        <is>
          <t>JÖNKÖPINGS LÄN</t>
        </is>
      </c>
      <c r="G685" t="inlineStr">
        <is>
          <t>VETLANDA</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2041-2026</t>
        </is>
      </c>
      <c r="B686" t="inlineStr">
        <is>
          <t>avverkningsanmälan</t>
        </is>
      </c>
      <c r="C686" t="inlineStr">
        <is>
          <t>Föryngringsavverkning</t>
        </is>
      </c>
      <c r="D686" s="1" t="n">
        <v>46031</v>
      </c>
      <c r="E686" s="1" t="n">
        <v>46217</v>
      </c>
      <c r="F686" t="inlineStr">
        <is>
          <t>JÖNKÖPINGS LÄN</t>
        </is>
      </c>
      <c r="G686" t="inlineStr">
        <is>
          <t>VETLANDA</t>
        </is>
      </c>
      <c r="I686" t="n">
        <v>3.2</v>
      </c>
      <c r="J686" t="n">
        <v>0</v>
      </c>
      <c r="K686" t="n">
        <v>0</v>
      </c>
      <c r="L686" t="n">
        <v>0</v>
      </c>
      <c r="M686" t="n">
        <v>0</v>
      </c>
      <c r="N686" t="n">
        <v>0</v>
      </c>
      <c r="O686" t="n">
        <v>0</v>
      </c>
      <c r="P686" t="n">
        <v>0</v>
      </c>
      <c r="Q686" t="n">
        <v>0</v>
      </c>
      <c r="R686" t="n">
        <v>0</v>
      </c>
      <c r="S686" t="n">
        <v>0</v>
      </c>
      <c r="T686" t="n">
        <v>0</v>
      </c>
      <c r="U686" s="2" t="inlineStr"/>
    </row>
    <row r="687" ht="15" customHeight="1">
      <c r="A687" t="inlineStr">
        <is>
          <t>A 1281-2026</t>
        </is>
      </c>
      <c r="B687" t="inlineStr">
        <is>
          <t>avverkningsanmälan</t>
        </is>
      </c>
      <c r="C687" t="inlineStr">
        <is>
          <t>Föryngringsavverkning</t>
        </is>
      </c>
      <c r="D687" s="1" t="n">
        <v>46031</v>
      </c>
      <c r="E687" s="1" t="n">
        <v>46217</v>
      </c>
      <c r="F687" t="inlineStr">
        <is>
          <t>JÖNKÖPINGS LÄN</t>
        </is>
      </c>
      <c r="G687" t="inlineStr">
        <is>
          <t>VETLANDA</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37255-2024</t>
        </is>
      </c>
      <c r="B688" t="inlineStr">
        <is>
          <t>avverkningsanmälan</t>
        </is>
      </c>
      <c r="C688" t="inlineStr">
        <is>
          <t>Föryngringsavverkning</t>
        </is>
      </c>
      <c r="D688" s="1" t="n">
        <v>45540</v>
      </c>
      <c r="E688" s="1" t="n">
        <v>46217</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7938-2024</t>
        </is>
      </c>
      <c r="B689" t="inlineStr">
        <is>
          <t>avverkningsanmälan</t>
        </is>
      </c>
      <c r="C689" t="inlineStr">
        <is>
          <t>Föryngringsavverkning</t>
        </is>
      </c>
      <c r="D689" s="1" t="n">
        <v>45350</v>
      </c>
      <c r="E689" s="1" t="n">
        <v>46217</v>
      </c>
      <c r="F689" t="inlineStr">
        <is>
          <t>JÖNKÖPINGS LÄN</t>
        </is>
      </c>
      <c r="G689" t="inlineStr">
        <is>
          <t>VETLANDA</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34483-2024</t>
        </is>
      </c>
      <c r="B690" t="inlineStr">
        <is>
          <t>avverkningsanmälan</t>
        </is>
      </c>
      <c r="C690" t="inlineStr">
        <is>
          <t>Avverkning för annat ändamål</t>
        </is>
      </c>
      <c r="D690" s="1" t="n">
        <v>45525</v>
      </c>
      <c r="E690" s="1" t="n">
        <v>46217</v>
      </c>
      <c r="F690" t="inlineStr">
        <is>
          <t>JÖNKÖPINGS LÄN</t>
        </is>
      </c>
      <c r="G690" t="inlineStr">
        <is>
          <t>VETLANDA</t>
        </is>
      </c>
      <c r="I690" t="n">
        <v>0.1</v>
      </c>
      <c r="J690" t="n">
        <v>0</v>
      </c>
      <c r="K690" t="n">
        <v>0</v>
      </c>
      <c r="L690" t="n">
        <v>0</v>
      </c>
      <c r="M690" t="n">
        <v>0</v>
      </c>
      <c r="N690" t="n">
        <v>0</v>
      </c>
      <c r="O690" t="n">
        <v>0</v>
      </c>
      <c r="P690" t="n">
        <v>0</v>
      </c>
      <c r="Q690" t="n">
        <v>0</v>
      </c>
      <c r="R690" t="n">
        <v>0</v>
      </c>
      <c r="S690" t="n">
        <v>0</v>
      </c>
      <c r="T690" t="n">
        <v>0</v>
      </c>
      <c r="U690" s="2" t="inlineStr"/>
    </row>
    <row r="691" ht="15" customHeight="1">
      <c r="A691" t="inlineStr">
        <is>
          <t>A 16774-2023</t>
        </is>
      </c>
      <c r="B691" t="inlineStr">
        <is>
          <t>avverkningsanmälan</t>
        </is>
      </c>
      <c r="C691" t="inlineStr">
        <is>
          <t>Föryngringsavverkning</t>
        </is>
      </c>
      <c r="D691" s="1" t="n">
        <v>45031</v>
      </c>
      <c r="E691" s="1" t="n">
        <v>46217</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1234-2026</t>
        </is>
      </c>
      <c r="B692" t="inlineStr">
        <is>
          <t>avverkningsanmälan</t>
        </is>
      </c>
      <c r="C692" t="inlineStr">
        <is>
          <t>Föryngringsavverkning</t>
        </is>
      </c>
      <c r="D692" s="1" t="n">
        <v>46031</v>
      </c>
      <c r="E692" s="1" t="n">
        <v>46217</v>
      </c>
      <c r="F692" t="inlineStr">
        <is>
          <t>JÖNKÖPINGS LÄN</t>
        </is>
      </c>
      <c r="G692" t="inlineStr">
        <is>
          <t>VETLANDA</t>
        </is>
      </c>
      <c r="I692" t="n">
        <v>3.3</v>
      </c>
      <c r="J692" t="n">
        <v>0</v>
      </c>
      <c r="K692" t="n">
        <v>0</v>
      </c>
      <c r="L692" t="n">
        <v>0</v>
      </c>
      <c r="M692" t="n">
        <v>0</v>
      </c>
      <c r="N692" t="n">
        <v>0</v>
      </c>
      <c r="O692" t="n">
        <v>0</v>
      </c>
      <c r="P692" t="n">
        <v>0</v>
      </c>
      <c r="Q692" t="n">
        <v>0</v>
      </c>
      <c r="R692" t="n">
        <v>0</v>
      </c>
      <c r="S692" t="n">
        <v>0</v>
      </c>
      <c r="T692" t="n">
        <v>0</v>
      </c>
      <c r="U692" s="2" t="inlineStr"/>
    </row>
    <row r="693" ht="15" customHeight="1">
      <c r="A693" t="inlineStr">
        <is>
          <t>A 59713-2024</t>
        </is>
      </c>
      <c r="B693" t="inlineStr">
        <is>
          <t>avverkningsanmälan</t>
        </is>
      </c>
      <c r="C693" t="inlineStr">
        <is>
          <t>Föryngringsavverkning</t>
        </is>
      </c>
      <c r="D693" s="1" t="n">
        <v>45639</v>
      </c>
      <c r="E693" s="1" t="n">
        <v>46217</v>
      </c>
      <c r="F693" t="inlineStr">
        <is>
          <t>JÖNKÖPINGS LÄN</t>
        </is>
      </c>
      <c r="G693" t="inlineStr">
        <is>
          <t>VETLANDA</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18240-2026</t>
        </is>
      </c>
      <c r="B694" t="inlineStr">
        <is>
          <t>avverkningsanmälan</t>
        </is>
      </c>
      <c r="C694" t="inlineStr">
        <is>
          <t>Föryngringsavverkning</t>
        </is>
      </c>
      <c r="D694" s="1" t="n">
        <v>46126</v>
      </c>
      <c r="E694" s="1" t="n">
        <v>46217</v>
      </c>
      <c r="F694" t="inlineStr">
        <is>
          <t>JÖNKÖPINGS LÄN</t>
        </is>
      </c>
      <c r="G694" t="inlineStr">
        <is>
          <t>VETLANDA</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6635-2024</t>
        </is>
      </c>
      <c r="B695" t="inlineStr">
        <is>
          <t>avverkningsanmälan</t>
        </is>
      </c>
      <c r="C695" t="inlineStr">
        <is>
          <t>Föryngringsavverkning</t>
        </is>
      </c>
      <c r="D695" s="1" t="n">
        <v>45341</v>
      </c>
      <c r="E695" s="1" t="n">
        <v>46217</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s="2" t="inlineStr"/>
    </row>
    <row r="696" ht="15" customHeight="1">
      <c r="A696" t="inlineStr">
        <is>
          <t>A 36052-2025</t>
        </is>
      </c>
      <c r="B696" t="inlineStr">
        <is>
          <t>avverkningsanmälan</t>
        </is>
      </c>
      <c r="C696" t="inlineStr">
        <is>
          <t>Föryngringsavverkning</t>
        </is>
      </c>
      <c r="D696" s="1" t="n">
        <v>45866</v>
      </c>
      <c r="E696" s="1" t="n">
        <v>46217</v>
      </c>
      <c r="F696" t="inlineStr">
        <is>
          <t>JÖNKÖPINGS LÄN</t>
        </is>
      </c>
      <c r="G696" t="inlineStr">
        <is>
          <t>VETLANDA</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40051-2023</t>
        </is>
      </c>
      <c r="B697" t="inlineStr">
        <is>
          <t>avverkningsanmälan</t>
        </is>
      </c>
      <c r="C697" t="inlineStr">
        <is>
          <t>Föryngringsavverkning</t>
        </is>
      </c>
      <c r="D697" s="1" t="n">
        <v>45168</v>
      </c>
      <c r="E697" s="1" t="n">
        <v>46217</v>
      </c>
      <c r="F697" t="inlineStr">
        <is>
          <t>JÖNKÖPINGS LÄN</t>
        </is>
      </c>
      <c r="G697" t="inlineStr">
        <is>
          <t>VETLANDA</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28406-2026</t>
        </is>
      </c>
      <c r="B698" t="inlineStr">
        <is>
          <t>avverkningsanmälan</t>
        </is>
      </c>
      <c r="C698" t="inlineStr">
        <is>
          <t>Föryngringsavverkning</t>
        </is>
      </c>
      <c r="D698" s="1" t="n">
        <v>46197</v>
      </c>
      <c r="E698" s="1" t="n">
        <v>46217</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26266-2023</t>
        </is>
      </c>
      <c r="B699" t="inlineStr">
        <is>
          <t>avverkningsanmälan</t>
        </is>
      </c>
      <c r="C699" t="inlineStr">
        <is>
          <t>Avverkning för annat ändamål</t>
        </is>
      </c>
      <c r="D699" s="1" t="n">
        <v>45091</v>
      </c>
      <c r="E699" s="1" t="n">
        <v>46217</v>
      </c>
      <c r="F699" t="inlineStr">
        <is>
          <t>JÖNKÖPINGS LÄN</t>
        </is>
      </c>
      <c r="G699" t="inlineStr">
        <is>
          <t>VETLANDA</t>
        </is>
      </c>
      <c r="I699" t="n">
        <v>2.7</v>
      </c>
      <c r="J699" t="n">
        <v>0</v>
      </c>
      <c r="K699" t="n">
        <v>0</v>
      </c>
      <c r="L699" t="n">
        <v>0</v>
      </c>
      <c r="M699" t="n">
        <v>0</v>
      </c>
      <c r="N699" t="n">
        <v>0</v>
      </c>
      <c r="O699" t="n">
        <v>0</v>
      </c>
      <c r="P699" t="n">
        <v>0</v>
      </c>
      <c r="Q699" t="n">
        <v>0</v>
      </c>
      <c r="R699" t="n">
        <v>0</v>
      </c>
      <c r="S699" t="n">
        <v>0</v>
      </c>
      <c r="T699" t="n">
        <v>0</v>
      </c>
      <c r="U699" s="2" t="inlineStr"/>
    </row>
    <row r="700" ht="15" customHeight="1">
      <c r="A700" t="inlineStr">
        <is>
          <t>A 28567-2026</t>
        </is>
      </c>
      <c r="B700" t="inlineStr">
        <is>
          <t>avverkningsanmälan</t>
        </is>
      </c>
      <c r="C700" t="inlineStr">
        <is>
          <t>Föryngringsavverkning</t>
        </is>
      </c>
      <c r="D700" s="1" t="n">
        <v>46197</v>
      </c>
      <c r="E700" s="1" t="n">
        <v>46217</v>
      </c>
      <c r="F700" t="inlineStr">
        <is>
          <t>JÖNKÖPINGS LÄN</t>
        </is>
      </c>
      <c r="G700" t="inlineStr">
        <is>
          <t>VETLANDA</t>
        </is>
      </c>
      <c r="I700" t="n">
        <v>2.4</v>
      </c>
      <c r="J700" t="n">
        <v>0</v>
      </c>
      <c r="K700" t="n">
        <v>0</v>
      </c>
      <c r="L700" t="n">
        <v>0</v>
      </c>
      <c r="M700" t="n">
        <v>0</v>
      </c>
      <c r="N700" t="n">
        <v>0</v>
      </c>
      <c r="O700" t="n">
        <v>0</v>
      </c>
      <c r="P700" t="n">
        <v>0</v>
      </c>
      <c r="Q700" t="n">
        <v>0</v>
      </c>
      <c r="R700" t="n">
        <v>0</v>
      </c>
      <c r="S700" t="n">
        <v>0</v>
      </c>
      <c r="T700" t="n">
        <v>0</v>
      </c>
      <c r="U700" s="2" t="inlineStr"/>
    </row>
    <row r="701" ht="15" customHeight="1">
      <c r="A701" t="inlineStr">
        <is>
          <t>A 28907-2023</t>
        </is>
      </c>
      <c r="B701" t="inlineStr">
        <is>
          <t>avverkningsanmälan</t>
        </is>
      </c>
      <c r="C701" t="inlineStr">
        <is>
          <t>Föryngringsavverkning</t>
        </is>
      </c>
      <c r="D701" s="1" t="n">
        <v>45104</v>
      </c>
      <c r="E701" s="1" t="n">
        <v>46217</v>
      </c>
      <c r="F701" t="inlineStr">
        <is>
          <t>JÖNKÖPINGS LÄN</t>
        </is>
      </c>
      <c r="G701" t="inlineStr">
        <is>
          <t>VETLANDA</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47276-2024</t>
        </is>
      </c>
      <c r="B702" t="inlineStr">
        <is>
          <t>avverkningsanmälan</t>
        </is>
      </c>
      <c r="C702" t="inlineStr">
        <is>
          <t>Föryngringsavverkning</t>
        </is>
      </c>
      <c r="D702" s="1" t="n">
        <v>45586</v>
      </c>
      <c r="E702" s="1" t="n">
        <v>46217</v>
      </c>
      <c r="F702" t="inlineStr">
        <is>
          <t>JÖNKÖPINGS LÄN</t>
        </is>
      </c>
      <c r="G702" t="inlineStr">
        <is>
          <t>VETLANDA</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40469-2023</t>
        </is>
      </c>
      <c r="B703" t="inlineStr">
        <is>
          <t>avverkningsanmälan</t>
        </is>
      </c>
      <c r="C703" t="inlineStr">
        <is>
          <t>Föryngringsavverkning</t>
        </is>
      </c>
      <c r="D703" s="1" t="n">
        <v>45170</v>
      </c>
      <c r="E703" s="1" t="n">
        <v>46217</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40615-2023</t>
        </is>
      </c>
      <c r="B704" t="inlineStr">
        <is>
          <t>avverkningsanmälan</t>
        </is>
      </c>
      <c r="C704" t="inlineStr">
        <is>
          <t>Föryngringsavverkning</t>
        </is>
      </c>
      <c r="D704" s="1" t="n">
        <v>45170</v>
      </c>
      <c r="E704" s="1" t="n">
        <v>46217</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s="2" t="inlineStr"/>
    </row>
    <row r="705" ht="15" customHeight="1">
      <c r="A705" t="inlineStr">
        <is>
          <t>A 4679-2022</t>
        </is>
      </c>
      <c r="B705" t="inlineStr">
        <is>
          <t>avverkningsanmälan</t>
        </is>
      </c>
      <c r="C705" t="inlineStr">
        <is>
          <t>Föryngringsavverkning</t>
        </is>
      </c>
      <c r="D705" s="1" t="n">
        <v>44592</v>
      </c>
      <c r="E705" s="1" t="n">
        <v>46217</v>
      </c>
      <c r="F705" t="inlineStr">
        <is>
          <t>JÖNKÖPINGS LÄN</t>
        </is>
      </c>
      <c r="G705" t="inlineStr">
        <is>
          <t>VETLANDA</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50878-2024</t>
        </is>
      </c>
      <c r="B706" t="inlineStr">
        <is>
          <t>avverkningsanmälan</t>
        </is>
      </c>
      <c r="C706" t="inlineStr">
        <is>
          <t>Avverkning för annat ändamål</t>
        </is>
      </c>
      <c r="D706" s="1" t="n">
        <v>45602</v>
      </c>
      <c r="E706" s="1" t="n">
        <v>46217</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s="2" t="inlineStr"/>
    </row>
    <row r="707" ht="15" customHeight="1">
      <c r="A707" t="inlineStr">
        <is>
          <t>A 6582-2025</t>
        </is>
      </c>
      <c r="B707" t="inlineStr">
        <is>
          <t>avverkningsanmälan</t>
        </is>
      </c>
      <c r="C707" t="inlineStr">
        <is>
          <t>Föryngringsavverkning</t>
        </is>
      </c>
      <c r="D707" s="1" t="n">
        <v>45699</v>
      </c>
      <c r="E707" s="1" t="n">
        <v>46217</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4059-2026</t>
        </is>
      </c>
      <c r="B708" t="inlineStr">
        <is>
          <t>avverkningsanmälan</t>
        </is>
      </c>
      <c r="C708" t="inlineStr">
        <is>
          <t>Föryngringsavverkning</t>
        </is>
      </c>
      <c r="D708" s="1" t="n">
        <v>46044</v>
      </c>
      <c r="E708" s="1" t="n">
        <v>46217</v>
      </c>
      <c r="F708" t="inlineStr">
        <is>
          <t>JÖNKÖPINGS LÄN</t>
        </is>
      </c>
      <c r="G708" t="inlineStr">
        <is>
          <t>VETLANDA</t>
        </is>
      </c>
      <c r="I708" t="n">
        <v>3.5</v>
      </c>
      <c r="J708" t="n">
        <v>0</v>
      </c>
      <c r="K708" t="n">
        <v>0</v>
      </c>
      <c r="L708" t="n">
        <v>0</v>
      </c>
      <c r="M708" t="n">
        <v>0</v>
      </c>
      <c r="N708" t="n">
        <v>0</v>
      </c>
      <c r="O708" t="n">
        <v>0</v>
      </c>
      <c r="P708" t="n">
        <v>0</v>
      </c>
      <c r="Q708" t="n">
        <v>0</v>
      </c>
      <c r="R708" t="n">
        <v>0</v>
      </c>
      <c r="S708" t="n">
        <v>0</v>
      </c>
      <c r="T708" t="n">
        <v>0</v>
      </c>
      <c r="U708" s="2" t="inlineStr"/>
    </row>
    <row r="709" ht="15" customHeight="1">
      <c r="A709" t="inlineStr">
        <is>
          <t>A 8197-2026</t>
        </is>
      </c>
      <c r="B709" t="inlineStr">
        <is>
          <t>avverkningsanmälan</t>
        </is>
      </c>
      <c r="C709" t="inlineStr">
        <is>
          <t>Föryngringsavverkning</t>
        </is>
      </c>
      <c r="D709" s="1" t="n">
        <v>46064</v>
      </c>
      <c r="E709" s="1" t="n">
        <v>46217</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6880-2022</t>
        </is>
      </c>
      <c r="B710" t="inlineStr">
        <is>
          <t>avverkningsanmälan</t>
        </is>
      </c>
      <c r="C710" t="inlineStr">
        <is>
          <t>Föryngringsavverkning</t>
        </is>
      </c>
      <c r="D710" s="1" t="n">
        <v>44602</v>
      </c>
      <c r="E710" s="1" t="n">
        <v>46217</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2672-2022</t>
        </is>
      </c>
      <c r="B711" t="inlineStr">
        <is>
          <t>avverkningsanmälan</t>
        </is>
      </c>
      <c r="C711" t="inlineStr">
        <is>
          <t>Föryngringsavverkning</t>
        </is>
      </c>
      <c r="D711" s="1" t="n">
        <v>44580</v>
      </c>
      <c r="E711" s="1" t="n">
        <v>46217</v>
      </c>
      <c r="F711" t="inlineStr">
        <is>
          <t>JÖNKÖPINGS LÄN</t>
        </is>
      </c>
      <c r="G711" t="inlineStr">
        <is>
          <t>VETLANDA</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4735-2026</t>
        </is>
      </c>
      <c r="B712" t="inlineStr">
        <is>
          <t>avverkningsanmälan</t>
        </is>
      </c>
      <c r="C712" t="inlineStr">
        <is>
          <t>Föryngringsavverkning</t>
        </is>
      </c>
      <c r="D712" s="1" t="n">
        <v>46048</v>
      </c>
      <c r="E712" s="1" t="n">
        <v>46217</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4643-2026</t>
        </is>
      </c>
      <c r="B713" t="inlineStr">
        <is>
          <t>avverkningsanmälan</t>
        </is>
      </c>
      <c r="C713" t="inlineStr">
        <is>
          <t>Föryngringsavverkning</t>
        </is>
      </c>
      <c r="D713" s="1" t="n">
        <v>46048</v>
      </c>
      <c r="E713" s="1" t="n">
        <v>46217</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18071-2025</t>
        </is>
      </c>
      <c r="B714" t="inlineStr">
        <is>
          <t>avverkningsanmälan</t>
        </is>
      </c>
      <c r="C714" t="inlineStr">
        <is>
          <t>Föryngringsavverkning</t>
        </is>
      </c>
      <c r="D714" s="1" t="n">
        <v>45761</v>
      </c>
      <c r="E714" s="1" t="n">
        <v>46217</v>
      </c>
      <c r="F714" t="inlineStr">
        <is>
          <t>JÖNKÖPINGS LÄN</t>
        </is>
      </c>
      <c r="G714" t="inlineStr">
        <is>
          <t>VETLANDA</t>
        </is>
      </c>
      <c r="I714" t="n">
        <v>1.5</v>
      </c>
      <c r="J714" t="n">
        <v>0</v>
      </c>
      <c r="K714" t="n">
        <v>0</v>
      </c>
      <c r="L714" t="n">
        <v>0</v>
      </c>
      <c r="M714" t="n">
        <v>0</v>
      </c>
      <c r="N714" t="n">
        <v>0</v>
      </c>
      <c r="O714" t="n">
        <v>0</v>
      </c>
      <c r="P714" t="n">
        <v>0</v>
      </c>
      <c r="Q714" t="n">
        <v>0</v>
      </c>
      <c r="R714" t="n">
        <v>0</v>
      </c>
      <c r="S714" t="n">
        <v>0</v>
      </c>
      <c r="T714" t="n">
        <v>0</v>
      </c>
      <c r="U714" s="2" t="inlineStr"/>
    </row>
    <row r="715" ht="15" customHeight="1">
      <c r="A715" t="inlineStr">
        <is>
          <t>A 7509-2022</t>
        </is>
      </c>
      <c r="B715" t="inlineStr">
        <is>
          <t>avverkningsanmälan</t>
        </is>
      </c>
      <c r="C715" t="inlineStr">
        <is>
          <t>Föryngringsavverkning</t>
        </is>
      </c>
      <c r="D715" s="1" t="n">
        <v>44607</v>
      </c>
      <c r="E715" s="1" t="n">
        <v>46217</v>
      </c>
      <c r="F715" t="inlineStr">
        <is>
          <t>JÖNKÖPINGS LÄN</t>
        </is>
      </c>
      <c r="G715" t="inlineStr">
        <is>
          <t>VETLANDA</t>
        </is>
      </c>
      <c r="I715" t="n">
        <v>9.5</v>
      </c>
      <c r="J715" t="n">
        <v>0</v>
      </c>
      <c r="K715" t="n">
        <v>0</v>
      </c>
      <c r="L715" t="n">
        <v>0</v>
      </c>
      <c r="M715" t="n">
        <v>0</v>
      </c>
      <c r="N715" t="n">
        <v>0</v>
      </c>
      <c r="O715" t="n">
        <v>0</v>
      </c>
      <c r="P715" t="n">
        <v>0</v>
      </c>
      <c r="Q715" t="n">
        <v>0</v>
      </c>
      <c r="R715" t="n">
        <v>0</v>
      </c>
      <c r="S715" t="n">
        <v>0</v>
      </c>
      <c r="T715" t="n">
        <v>0</v>
      </c>
      <c r="U715" s="2" t="inlineStr"/>
    </row>
    <row r="716" ht="15" customHeight="1">
      <c r="A716" t="inlineStr">
        <is>
          <t>A 25664-2026</t>
        </is>
      </c>
      <c r="B716" t="inlineStr">
        <is>
          <t>avverkningsanmälan</t>
        </is>
      </c>
      <c r="C716" t="inlineStr">
        <is>
          <t>Avverkning för annat ändamål</t>
        </is>
      </c>
      <c r="D716" s="1" t="n">
        <v>46178</v>
      </c>
      <c r="E716" s="1" t="n">
        <v>46217</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38964-2023</t>
        </is>
      </c>
      <c r="B717" t="inlineStr">
        <is>
          <t>avverkningsanmälan</t>
        </is>
      </c>
      <c r="C717" t="inlineStr">
        <is>
          <t>Föryngringsavverkning</t>
        </is>
      </c>
      <c r="D717" s="1" t="n">
        <v>45163</v>
      </c>
      <c r="E717" s="1" t="n">
        <v>46217</v>
      </c>
      <c r="F717" t="inlineStr">
        <is>
          <t>JÖNKÖPINGS LÄN</t>
        </is>
      </c>
      <c r="G717" t="inlineStr">
        <is>
          <t>VETLANDA</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47297-2025</t>
        </is>
      </c>
      <c r="B718" t="inlineStr">
        <is>
          <t>avverkningsanmälan</t>
        </is>
      </c>
      <c r="C718" t="inlineStr">
        <is>
          <t>Föryngringsavverkning</t>
        </is>
      </c>
      <c r="D718" s="1" t="n">
        <v>45930</v>
      </c>
      <c r="E718" s="1" t="n">
        <v>46217</v>
      </c>
      <c r="F718" t="inlineStr">
        <is>
          <t>JÖNKÖPINGS LÄN</t>
        </is>
      </c>
      <c r="G718" t="inlineStr">
        <is>
          <t>VETLANDA</t>
        </is>
      </c>
      <c r="I718" t="n">
        <v>0.9</v>
      </c>
      <c r="J718" t="n">
        <v>0</v>
      </c>
      <c r="K718" t="n">
        <v>0</v>
      </c>
      <c r="L718" t="n">
        <v>0</v>
      </c>
      <c r="M718" t="n">
        <v>0</v>
      </c>
      <c r="N718" t="n">
        <v>0</v>
      </c>
      <c r="O718" t="n">
        <v>0</v>
      </c>
      <c r="P718" t="n">
        <v>0</v>
      </c>
      <c r="Q718" t="n">
        <v>0</v>
      </c>
      <c r="R718" t="n">
        <v>0</v>
      </c>
      <c r="S718" t="n">
        <v>0</v>
      </c>
      <c r="T718" t="n">
        <v>0</v>
      </c>
      <c r="U718" s="2" t="inlineStr"/>
    </row>
    <row r="719" ht="15" customHeight="1">
      <c r="A719" t="inlineStr">
        <is>
          <t>A 22986-2026</t>
        </is>
      </c>
      <c r="B719" t="inlineStr">
        <is>
          <t>avverkningsanmälan</t>
        </is>
      </c>
      <c r="C719" t="inlineStr">
        <is>
          <t>Föryngringsavverkning</t>
        </is>
      </c>
      <c r="D719" s="1" t="n">
        <v>46160</v>
      </c>
      <c r="E719" s="1" t="n">
        <v>46217</v>
      </c>
      <c r="F719" t="inlineStr">
        <is>
          <t>JÖNKÖPINGS LÄN</t>
        </is>
      </c>
      <c r="G719" t="inlineStr">
        <is>
          <t>VETLANDA</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4496-2026</t>
        </is>
      </c>
      <c r="B720" t="inlineStr">
        <is>
          <t>avverkningsanmälan</t>
        </is>
      </c>
      <c r="C720" t="inlineStr">
        <is>
          <t>Föryngringsavverkning</t>
        </is>
      </c>
      <c r="D720" s="1" t="n">
        <v>46045</v>
      </c>
      <c r="E720" s="1" t="n">
        <v>46217</v>
      </c>
      <c r="F720" t="inlineStr">
        <is>
          <t>JÖNKÖPINGS LÄN</t>
        </is>
      </c>
      <c r="G720" t="inlineStr">
        <is>
          <t>VETLANDA</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44464-2023</t>
        </is>
      </c>
      <c r="B721" t="inlineStr">
        <is>
          <t>avverkningsanmälan</t>
        </is>
      </c>
      <c r="C721" t="inlineStr">
        <is>
          <t>Föryngringsavverkning</t>
        </is>
      </c>
      <c r="D721" s="1" t="n">
        <v>45189</v>
      </c>
      <c r="E721" s="1" t="n">
        <v>46217</v>
      </c>
      <c r="F721" t="inlineStr">
        <is>
          <t>JÖNKÖPINGS LÄN</t>
        </is>
      </c>
      <c r="G721" t="inlineStr">
        <is>
          <t>VETLANDA</t>
        </is>
      </c>
      <c r="H721" t="inlineStr">
        <is>
          <t>Sveaskog</t>
        </is>
      </c>
      <c r="I721" t="n">
        <v>3.2</v>
      </c>
      <c r="J721" t="n">
        <v>0</v>
      </c>
      <c r="K721" t="n">
        <v>0</v>
      </c>
      <c r="L721" t="n">
        <v>0</v>
      </c>
      <c r="M721" t="n">
        <v>0</v>
      </c>
      <c r="N721" t="n">
        <v>0</v>
      </c>
      <c r="O721" t="n">
        <v>0</v>
      </c>
      <c r="P721" t="n">
        <v>0</v>
      </c>
      <c r="Q721" t="n">
        <v>0</v>
      </c>
      <c r="R721" t="n">
        <v>0</v>
      </c>
      <c r="S721" t="n">
        <v>0</v>
      </c>
      <c r="T721" t="n">
        <v>0</v>
      </c>
      <c r="U721" s="2" t="inlineStr"/>
    </row>
    <row r="722" ht="15" customHeight="1">
      <c r="A722" t="inlineStr">
        <is>
          <t>A 42826-2023</t>
        </is>
      </c>
      <c r="B722" t="inlineStr">
        <is>
          <t>avverkningsanmälan</t>
        </is>
      </c>
      <c r="C722" t="inlineStr">
        <is>
          <t>Föryngringsavverkning</t>
        </is>
      </c>
      <c r="D722" s="1" t="n">
        <v>45177</v>
      </c>
      <c r="E722" s="1" t="n">
        <v>46217</v>
      </c>
      <c r="F722" t="inlineStr">
        <is>
          <t>JÖNKÖPINGS LÄN</t>
        </is>
      </c>
      <c r="G722" t="inlineStr">
        <is>
          <t>VETLANDA</t>
        </is>
      </c>
      <c r="H722" t="inlineStr">
        <is>
          <t>Kyrkan</t>
        </is>
      </c>
      <c r="I722" t="n">
        <v>5.7</v>
      </c>
      <c r="J722" t="n">
        <v>0</v>
      </c>
      <c r="K722" t="n">
        <v>0</v>
      </c>
      <c r="L722" t="n">
        <v>0</v>
      </c>
      <c r="M722" t="n">
        <v>0</v>
      </c>
      <c r="N722" t="n">
        <v>0</v>
      </c>
      <c r="O722" t="n">
        <v>0</v>
      </c>
      <c r="P722" t="n">
        <v>0</v>
      </c>
      <c r="Q722" t="n">
        <v>0</v>
      </c>
      <c r="R722" t="n">
        <v>0</v>
      </c>
      <c r="S722" t="n">
        <v>0</v>
      </c>
      <c r="T722" t="n">
        <v>0</v>
      </c>
      <c r="U722" s="2" t="inlineStr"/>
    </row>
    <row r="723" ht="15" customHeight="1">
      <c r="A723" t="inlineStr">
        <is>
          <t>A 61289-2024</t>
        </is>
      </c>
      <c r="B723" t="inlineStr">
        <is>
          <t>avverkningsanmälan</t>
        </is>
      </c>
      <c r="C723" t="inlineStr">
        <is>
          <t>Föryngringsavverkning</t>
        </is>
      </c>
      <c r="D723" s="1" t="n">
        <v>45645</v>
      </c>
      <c r="E723" s="1" t="n">
        <v>46217</v>
      </c>
      <c r="F723" t="inlineStr">
        <is>
          <t>JÖNKÖPINGS LÄN</t>
        </is>
      </c>
      <c r="G723" t="inlineStr">
        <is>
          <t>VETLANDA</t>
        </is>
      </c>
      <c r="H723" t="inlineStr">
        <is>
          <t>Sveaskog</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4934-2026</t>
        </is>
      </c>
      <c r="B724" t="inlineStr">
        <is>
          <t>avverkningsanmälan</t>
        </is>
      </c>
      <c r="C724" t="inlineStr">
        <is>
          <t>Föryngringsavverkning</t>
        </is>
      </c>
      <c r="D724" s="1" t="n">
        <v>46048</v>
      </c>
      <c r="E724" s="1" t="n">
        <v>46217</v>
      </c>
      <c r="F724" t="inlineStr">
        <is>
          <t>JÖNKÖPINGS LÄN</t>
        </is>
      </c>
      <c r="G724" t="inlineStr">
        <is>
          <t>VETLANDA</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4935-2026</t>
        </is>
      </c>
      <c r="B725" t="inlineStr">
        <is>
          <t>avverkningsanmälan</t>
        </is>
      </c>
      <c r="C725" t="inlineStr">
        <is>
          <t>Föryngringsavverkning</t>
        </is>
      </c>
      <c r="D725" s="1" t="n">
        <v>46048</v>
      </c>
      <c r="E725" s="1" t="n">
        <v>46217</v>
      </c>
      <c r="F725" t="inlineStr">
        <is>
          <t>JÖNKÖPINGS LÄN</t>
        </is>
      </c>
      <c r="G725" t="inlineStr">
        <is>
          <t>VETLANDA</t>
        </is>
      </c>
      <c r="I725" t="n">
        <v>2.4</v>
      </c>
      <c r="J725" t="n">
        <v>0</v>
      </c>
      <c r="K725" t="n">
        <v>0</v>
      </c>
      <c r="L725" t="n">
        <v>0</v>
      </c>
      <c r="M725" t="n">
        <v>0</v>
      </c>
      <c r="N725" t="n">
        <v>0</v>
      </c>
      <c r="O725" t="n">
        <v>0</v>
      </c>
      <c r="P725" t="n">
        <v>0</v>
      </c>
      <c r="Q725" t="n">
        <v>0</v>
      </c>
      <c r="R725" t="n">
        <v>0</v>
      </c>
      <c r="S725" t="n">
        <v>0</v>
      </c>
      <c r="T725" t="n">
        <v>0</v>
      </c>
      <c r="U725" s="2" t="inlineStr"/>
    </row>
    <row r="726" ht="15" customHeight="1">
      <c r="A726" t="inlineStr">
        <is>
          <t>A 22989-2026</t>
        </is>
      </c>
      <c r="B726" t="inlineStr">
        <is>
          <t>avverkningsanmälan</t>
        </is>
      </c>
      <c r="C726" t="inlineStr">
        <is>
          <t>Föryngringsavverkning</t>
        </is>
      </c>
      <c r="D726" s="1" t="n">
        <v>46160</v>
      </c>
      <c r="E726" s="1" t="n">
        <v>46217</v>
      </c>
      <c r="F726" t="inlineStr">
        <is>
          <t>JÖNKÖPINGS LÄN</t>
        </is>
      </c>
      <c r="G726" t="inlineStr">
        <is>
          <t>VETLANDA</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41320-2023</t>
        </is>
      </c>
      <c r="B727" t="inlineStr">
        <is>
          <t>avverkningsanmälan</t>
        </is>
      </c>
      <c r="C727" t="inlineStr">
        <is>
          <t>Föryngringsavverkning</t>
        </is>
      </c>
      <c r="D727" s="1" t="n">
        <v>45174</v>
      </c>
      <c r="E727" s="1" t="n">
        <v>46217</v>
      </c>
      <c r="F727" t="inlineStr">
        <is>
          <t>JÖNKÖPINGS LÄN</t>
        </is>
      </c>
      <c r="G727" t="inlineStr">
        <is>
          <t>VETLANDA</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52948-2024</t>
        </is>
      </c>
      <c r="B728" t="inlineStr">
        <is>
          <t>avverkningsanmälan</t>
        </is>
      </c>
      <c r="C728" t="inlineStr">
        <is>
          <t>Föryngringsavverkning</t>
        </is>
      </c>
      <c r="D728" s="1" t="n">
        <v>45610</v>
      </c>
      <c r="E728" s="1" t="n">
        <v>46217</v>
      </c>
      <c r="F728" t="inlineStr">
        <is>
          <t>JÖNKÖPINGS LÄN</t>
        </is>
      </c>
      <c r="G728" t="inlineStr">
        <is>
          <t>VETLANDA</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4987-2026</t>
        </is>
      </c>
      <c r="B729" t="inlineStr">
        <is>
          <t>avverkningsanmälan</t>
        </is>
      </c>
      <c r="C729" t="inlineStr">
        <is>
          <t>Föryngringsavverkning</t>
        </is>
      </c>
      <c r="D729" s="1" t="n">
        <v>46049</v>
      </c>
      <c r="E729" s="1" t="n">
        <v>46217</v>
      </c>
      <c r="F729" t="inlineStr">
        <is>
          <t>JÖNKÖPINGS LÄN</t>
        </is>
      </c>
      <c r="G729" t="inlineStr">
        <is>
          <t>VETLANDA</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8675-2024</t>
        </is>
      </c>
      <c r="B730" t="inlineStr">
        <is>
          <t>avverkningsanmälan</t>
        </is>
      </c>
      <c r="C730" t="inlineStr">
        <is>
          <t>Föryngringsavverkning</t>
        </is>
      </c>
      <c r="D730" s="1" t="n">
        <v>45352</v>
      </c>
      <c r="E730" s="1" t="n">
        <v>46217</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10593-2024</t>
        </is>
      </c>
      <c r="B731" t="inlineStr">
        <is>
          <t>avverkningsanmälan</t>
        </is>
      </c>
      <c r="C731" t="inlineStr">
        <is>
          <t>Föryngringsavverkning</t>
        </is>
      </c>
      <c r="D731" s="1" t="n">
        <v>45366</v>
      </c>
      <c r="E731" s="1" t="n">
        <v>46217</v>
      </c>
      <c r="F731" t="inlineStr">
        <is>
          <t>JÖNKÖPINGS LÄN</t>
        </is>
      </c>
      <c r="G731" t="inlineStr">
        <is>
          <t>VETLANDA</t>
        </is>
      </c>
      <c r="I731" t="n">
        <v>0.3</v>
      </c>
      <c r="J731" t="n">
        <v>0</v>
      </c>
      <c r="K731" t="n">
        <v>0</v>
      </c>
      <c r="L731" t="n">
        <v>0</v>
      </c>
      <c r="M731" t="n">
        <v>0</v>
      </c>
      <c r="N731" t="n">
        <v>0</v>
      </c>
      <c r="O731" t="n">
        <v>0</v>
      </c>
      <c r="P731" t="n">
        <v>0</v>
      </c>
      <c r="Q731" t="n">
        <v>0</v>
      </c>
      <c r="R731" t="n">
        <v>0</v>
      </c>
      <c r="S731" t="n">
        <v>0</v>
      </c>
      <c r="T731" t="n">
        <v>0</v>
      </c>
      <c r="U731" s="2" t="inlineStr"/>
    </row>
    <row r="732" ht="15" customHeight="1">
      <c r="A732" t="inlineStr">
        <is>
          <t>A 22991-2026</t>
        </is>
      </c>
      <c r="B732" t="inlineStr">
        <is>
          <t>avverkningsanmälan</t>
        </is>
      </c>
      <c r="C732" t="inlineStr">
        <is>
          <t>Föryngringsavverkning</t>
        </is>
      </c>
      <c r="D732" s="1" t="n">
        <v>46160</v>
      </c>
      <c r="E732" s="1" t="n">
        <v>46217</v>
      </c>
      <c r="F732" t="inlineStr">
        <is>
          <t>JÖNKÖPINGS LÄN</t>
        </is>
      </c>
      <c r="G732" t="inlineStr">
        <is>
          <t>VETLANDA</t>
        </is>
      </c>
      <c r="I732" t="n">
        <v>5.4</v>
      </c>
      <c r="J732" t="n">
        <v>0</v>
      </c>
      <c r="K732" t="n">
        <v>0</v>
      </c>
      <c r="L732" t="n">
        <v>0</v>
      </c>
      <c r="M732" t="n">
        <v>0</v>
      </c>
      <c r="N732" t="n">
        <v>0</v>
      </c>
      <c r="O732" t="n">
        <v>0</v>
      </c>
      <c r="P732" t="n">
        <v>0</v>
      </c>
      <c r="Q732" t="n">
        <v>0</v>
      </c>
      <c r="R732" t="n">
        <v>0</v>
      </c>
      <c r="S732" t="n">
        <v>0</v>
      </c>
      <c r="T732" t="n">
        <v>0</v>
      </c>
      <c r="U732" s="2" t="inlineStr"/>
    </row>
    <row r="733" ht="15" customHeight="1">
      <c r="A733" t="inlineStr">
        <is>
          <t>A 61095-2024</t>
        </is>
      </c>
      <c r="B733" t="inlineStr">
        <is>
          <t>avverkningsanmälan</t>
        </is>
      </c>
      <c r="C733" t="inlineStr">
        <is>
          <t>Föryngringsavverkning</t>
        </is>
      </c>
      <c r="D733" s="1" t="n">
        <v>45645</v>
      </c>
      <c r="E733" s="1" t="n">
        <v>46217</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29225-2026</t>
        </is>
      </c>
      <c r="B734" t="inlineStr">
        <is>
          <t>avverkningsanmälan</t>
        </is>
      </c>
      <c r="C734" t="inlineStr">
        <is>
          <t>Föryngringsavverkning</t>
        </is>
      </c>
      <c r="D734" s="1" t="n">
        <v>46202</v>
      </c>
      <c r="E734" s="1" t="n">
        <v>46217</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6340-2022</t>
        </is>
      </c>
      <c r="B735" t="inlineStr">
        <is>
          <t>avverkningsanmälan</t>
        </is>
      </c>
      <c r="C735" t="inlineStr">
        <is>
          <t>Föryngringsavverkning</t>
        </is>
      </c>
      <c r="D735" s="1" t="n">
        <v>44600</v>
      </c>
      <c r="E735" s="1" t="n">
        <v>46217</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3625-2025</t>
        </is>
      </c>
      <c r="B736" t="inlineStr">
        <is>
          <t>avverkningsanmälan</t>
        </is>
      </c>
      <c r="C736" t="inlineStr">
        <is>
          <t>Föryngringsavverkning</t>
        </is>
      </c>
      <c r="D736" s="1" t="n">
        <v>45681</v>
      </c>
      <c r="E736" s="1" t="n">
        <v>46217</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6269-2026</t>
        </is>
      </c>
      <c r="B737" t="inlineStr">
        <is>
          <t>avverkningsanmälan</t>
        </is>
      </c>
      <c r="C737" t="inlineStr">
        <is>
          <t>Föryngringsavverkning</t>
        </is>
      </c>
      <c r="D737" s="1" t="n">
        <v>46055</v>
      </c>
      <c r="E737" s="1" t="n">
        <v>46217</v>
      </c>
      <c r="F737" t="inlineStr">
        <is>
          <t>JÖNKÖPINGS LÄN</t>
        </is>
      </c>
      <c r="G737" t="inlineStr">
        <is>
          <t>VETLANDA</t>
        </is>
      </c>
      <c r="I737" t="n">
        <v>1.8</v>
      </c>
      <c r="J737" t="n">
        <v>0</v>
      </c>
      <c r="K737" t="n">
        <v>0</v>
      </c>
      <c r="L737" t="n">
        <v>0</v>
      </c>
      <c r="M737" t="n">
        <v>0</v>
      </c>
      <c r="N737" t="n">
        <v>0</v>
      </c>
      <c r="O737" t="n">
        <v>0</v>
      </c>
      <c r="P737" t="n">
        <v>0</v>
      </c>
      <c r="Q737" t="n">
        <v>0</v>
      </c>
      <c r="R737" t="n">
        <v>0</v>
      </c>
      <c r="S737" t="n">
        <v>0</v>
      </c>
      <c r="T737" t="n">
        <v>0</v>
      </c>
      <c r="U737" s="2" t="inlineStr"/>
    </row>
    <row r="738" ht="15" customHeight="1">
      <c r="A738" t="inlineStr">
        <is>
          <t>A 33779-2023</t>
        </is>
      </c>
      <c r="B738" t="inlineStr">
        <is>
          <t>avverkningsanmälan</t>
        </is>
      </c>
      <c r="C738" t="inlineStr">
        <is>
          <t>Föryngringsavverkning</t>
        </is>
      </c>
      <c r="D738" s="1" t="n">
        <v>45133</v>
      </c>
      <c r="E738" s="1" t="n">
        <v>46217</v>
      </c>
      <c r="F738" t="inlineStr">
        <is>
          <t>JÖNKÖPINGS LÄN</t>
        </is>
      </c>
      <c r="G738" t="inlineStr">
        <is>
          <t>VETLANDA</t>
        </is>
      </c>
      <c r="I738" t="n">
        <v>5.5</v>
      </c>
      <c r="J738" t="n">
        <v>0</v>
      </c>
      <c r="K738" t="n">
        <v>0</v>
      </c>
      <c r="L738" t="n">
        <v>0</v>
      </c>
      <c r="M738" t="n">
        <v>0</v>
      </c>
      <c r="N738" t="n">
        <v>0</v>
      </c>
      <c r="O738" t="n">
        <v>0</v>
      </c>
      <c r="P738" t="n">
        <v>0</v>
      </c>
      <c r="Q738" t="n">
        <v>0</v>
      </c>
      <c r="R738" t="n">
        <v>0</v>
      </c>
      <c r="S738" t="n">
        <v>0</v>
      </c>
      <c r="T738" t="n">
        <v>0</v>
      </c>
      <c r="U738" s="2" t="inlineStr"/>
    </row>
    <row r="739" ht="15" customHeight="1">
      <c r="A739" t="inlineStr">
        <is>
          <t>A 23054-2026</t>
        </is>
      </c>
      <c r="B739" t="inlineStr">
        <is>
          <t>avverkningsanmälan</t>
        </is>
      </c>
      <c r="C739" t="inlineStr">
        <is>
          <t>Föryngringsavverkning</t>
        </is>
      </c>
      <c r="D739" s="1" t="n">
        <v>46161</v>
      </c>
      <c r="E739" s="1" t="n">
        <v>46217</v>
      </c>
      <c r="F739" t="inlineStr">
        <is>
          <t>JÖNKÖPINGS LÄN</t>
        </is>
      </c>
      <c r="G739" t="inlineStr">
        <is>
          <t>VETLANDA</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7811-2026</t>
        </is>
      </c>
      <c r="B740" t="inlineStr">
        <is>
          <t>avverkningsanmälan</t>
        </is>
      </c>
      <c r="C740" t="inlineStr">
        <is>
          <t>Föryngringsavverkning</t>
        </is>
      </c>
      <c r="D740" s="1" t="n">
        <v>46062</v>
      </c>
      <c r="E740" s="1" t="n">
        <v>46217</v>
      </c>
      <c r="F740" t="inlineStr">
        <is>
          <t>JÖNKÖPINGS LÄN</t>
        </is>
      </c>
      <c r="G740" t="inlineStr">
        <is>
          <t>VETLANDA</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56414-2024</t>
        </is>
      </c>
      <c r="B741" t="inlineStr">
        <is>
          <t>avverkningsanmälan</t>
        </is>
      </c>
      <c r="C741" t="inlineStr">
        <is>
          <t>Föryngringsavverkning</t>
        </is>
      </c>
      <c r="D741" s="1" t="n">
        <v>45625</v>
      </c>
      <c r="E741" s="1" t="n">
        <v>46217</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s="2" t="inlineStr"/>
    </row>
    <row r="742" ht="15" customHeight="1">
      <c r="A742" t="inlineStr">
        <is>
          <t>A 53927-2023</t>
        </is>
      </c>
      <c r="B742" t="inlineStr">
        <is>
          <t>avverkningsanmälan</t>
        </is>
      </c>
      <c r="C742" t="inlineStr">
        <is>
          <t>Föryngringsavverkning</t>
        </is>
      </c>
      <c r="D742" s="1" t="n">
        <v>45231</v>
      </c>
      <c r="E742" s="1" t="n">
        <v>46217</v>
      </c>
      <c r="F742" t="inlineStr">
        <is>
          <t>JÖNKÖPINGS LÄN</t>
        </is>
      </c>
      <c r="G742" t="inlineStr">
        <is>
          <t>VETLANDA</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51906-2024</t>
        </is>
      </c>
      <c r="B743" t="inlineStr">
        <is>
          <t>avverkningsanmälan</t>
        </is>
      </c>
      <c r="C743" t="inlineStr">
        <is>
          <t>Föryngringsavverkning</t>
        </is>
      </c>
      <c r="D743" s="1" t="n">
        <v>45607</v>
      </c>
      <c r="E743" s="1" t="n">
        <v>46217</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7607-2026</t>
        </is>
      </c>
      <c r="B744" t="inlineStr">
        <is>
          <t>avverkningsanmälan</t>
        </is>
      </c>
      <c r="C744" t="inlineStr">
        <is>
          <t>Föryngringsavverkning</t>
        </is>
      </c>
      <c r="D744" s="1" t="n">
        <v>46062</v>
      </c>
      <c r="E744" s="1" t="n">
        <v>46217</v>
      </c>
      <c r="F744" t="inlineStr">
        <is>
          <t>JÖNKÖPINGS LÄN</t>
        </is>
      </c>
      <c r="G744" t="inlineStr">
        <is>
          <t>VETLANDA</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8106-2026</t>
        </is>
      </c>
      <c r="B745" t="inlineStr">
        <is>
          <t>avverkningsanmälan</t>
        </is>
      </c>
      <c r="C745" t="inlineStr">
        <is>
          <t>Föryngringsavverkning</t>
        </is>
      </c>
      <c r="D745" s="1" t="n">
        <v>46063</v>
      </c>
      <c r="E745" s="1" t="n">
        <v>46217</v>
      </c>
      <c r="F745" t="inlineStr">
        <is>
          <t>JÖNKÖPINGS LÄN</t>
        </is>
      </c>
      <c r="G745" t="inlineStr">
        <is>
          <t>VETLANDA</t>
        </is>
      </c>
      <c r="I745" t="n">
        <v>2.5</v>
      </c>
      <c r="J745" t="n">
        <v>0</v>
      </c>
      <c r="K745" t="n">
        <v>0</v>
      </c>
      <c r="L745" t="n">
        <v>0</v>
      </c>
      <c r="M745" t="n">
        <v>0</v>
      </c>
      <c r="N745" t="n">
        <v>0</v>
      </c>
      <c r="O745" t="n">
        <v>0</v>
      </c>
      <c r="P745" t="n">
        <v>0</v>
      </c>
      <c r="Q745" t="n">
        <v>0</v>
      </c>
      <c r="R745" t="n">
        <v>0</v>
      </c>
      <c r="S745" t="n">
        <v>0</v>
      </c>
      <c r="T745" t="n">
        <v>0</v>
      </c>
      <c r="U745" s="2" t="inlineStr"/>
    </row>
    <row r="746" ht="15" customHeight="1">
      <c r="A746" t="inlineStr">
        <is>
          <t>A 8089-2026</t>
        </is>
      </c>
      <c r="B746" t="inlineStr">
        <is>
          <t>avverkningsanmälan</t>
        </is>
      </c>
      <c r="C746" t="inlineStr">
        <is>
          <t>Föryngringsavverkning</t>
        </is>
      </c>
      <c r="D746" s="1" t="n">
        <v>46063</v>
      </c>
      <c r="E746" s="1" t="n">
        <v>46217</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8094-2026</t>
        </is>
      </c>
      <c r="B747" t="inlineStr">
        <is>
          <t>avverkningsanmälan</t>
        </is>
      </c>
      <c r="C747" t="inlineStr">
        <is>
          <t>Föryngringsavverkning</t>
        </is>
      </c>
      <c r="D747" s="1" t="n">
        <v>46063</v>
      </c>
      <c r="E747" s="1" t="n">
        <v>46217</v>
      </c>
      <c r="F747" t="inlineStr">
        <is>
          <t>JÖNKÖPINGS LÄN</t>
        </is>
      </c>
      <c r="G747" t="inlineStr">
        <is>
          <t>VETLANDA</t>
        </is>
      </c>
      <c r="I747" t="n">
        <v>3.9</v>
      </c>
      <c r="J747" t="n">
        <v>0</v>
      </c>
      <c r="K747" t="n">
        <v>0</v>
      </c>
      <c r="L747" t="n">
        <v>0</v>
      </c>
      <c r="M747" t="n">
        <v>0</v>
      </c>
      <c r="N747" t="n">
        <v>0</v>
      </c>
      <c r="O747" t="n">
        <v>0</v>
      </c>
      <c r="P747" t="n">
        <v>0</v>
      </c>
      <c r="Q747" t="n">
        <v>0</v>
      </c>
      <c r="R747" t="n">
        <v>0</v>
      </c>
      <c r="S747" t="n">
        <v>0</v>
      </c>
      <c r="T747" t="n">
        <v>0</v>
      </c>
      <c r="U747" s="2" t="inlineStr"/>
    </row>
    <row r="748" ht="15" customHeight="1">
      <c r="A748" t="inlineStr">
        <is>
          <t>A 8097-2026</t>
        </is>
      </c>
      <c r="B748" t="inlineStr">
        <is>
          <t>avverkningsanmälan</t>
        </is>
      </c>
      <c r="C748" t="inlineStr">
        <is>
          <t>Föryngringsavverkning</t>
        </is>
      </c>
      <c r="D748" s="1" t="n">
        <v>46063</v>
      </c>
      <c r="E748" s="1" t="n">
        <v>46217</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31810-2023</t>
        </is>
      </c>
      <c r="B749" t="inlineStr">
        <is>
          <t>avverkningsanmälan</t>
        </is>
      </c>
      <c r="C749" t="inlineStr">
        <is>
          <t>Föryngringsavverkning</t>
        </is>
      </c>
      <c r="D749" s="1" t="n">
        <v>45118</v>
      </c>
      <c r="E749" s="1" t="n">
        <v>46217</v>
      </c>
      <c r="F749" t="inlineStr">
        <is>
          <t>JÖNKÖPINGS LÄN</t>
        </is>
      </c>
      <c r="G749" t="inlineStr">
        <is>
          <t>VETLANDA</t>
        </is>
      </c>
      <c r="I749" t="n">
        <v>0.4</v>
      </c>
      <c r="J749" t="n">
        <v>0</v>
      </c>
      <c r="K749" t="n">
        <v>0</v>
      </c>
      <c r="L749" t="n">
        <v>0</v>
      </c>
      <c r="M749" t="n">
        <v>0</v>
      </c>
      <c r="N749" t="n">
        <v>0</v>
      </c>
      <c r="O749" t="n">
        <v>0</v>
      </c>
      <c r="P749" t="n">
        <v>0</v>
      </c>
      <c r="Q749" t="n">
        <v>0</v>
      </c>
      <c r="R749" t="n">
        <v>0</v>
      </c>
      <c r="S749" t="n">
        <v>0</v>
      </c>
      <c r="T749" t="n">
        <v>0</v>
      </c>
      <c r="U749" s="2" t="inlineStr"/>
    </row>
    <row r="750" ht="15" customHeight="1">
      <c r="A750" t="inlineStr">
        <is>
          <t>A 32020-2024</t>
        </is>
      </c>
      <c r="B750" t="inlineStr">
        <is>
          <t>avverkningsanmälan</t>
        </is>
      </c>
      <c r="C750" t="inlineStr">
        <is>
          <t>Föryngringsavverkning</t>
        </is>
      </c>
      <c r="D750" s="1" t="n">
        <v>45510</v>
      </c>
      <c r="E750" s="1" t="n">
        <v>46217</v>
      </c>
      <c r="F750" t="inlineStr">
        <is>
          <t>JÖNKÖPINGS LÄN</t>
        </is>
      </c>
      <c r="G750" t="inlineStr">
        <is>
          <t>VETLANDA</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33934-2023</t>
        </is>
      </c>
      <c r="B751" t="inlineStr">
        <is>
          <t>avverkningsanmälan</t>
        </is>
      </c>
      <c r="C751" t="inlineStr">
        <is>
          <t>Föryngringsavverkning</t>
        </is>
      </c>
      <c r="D751" s="1" t="n">
        <v>45134</v>
      </c>
      <c r="E751" s="1" t="n">
        <v>46217</v>
      </c>
      <c r="F751" t="inlineStr">
        <is>
          <t>JÖNKÖPINGS LÄN</t>
        </is>
      </c>
      <c r="G751" t="inlineStr">
        <is>
          <t>VETLANDA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23004-2026</t>
        </is>
      </c>
      <c r="B752" t="inlineStr">
        <is>
          <t>avverkningsanmälan</t>
        </is>
      </c>
      <c r="C752" t="inlineStr">
        <is>
          <t>Föryngringsavverkning</t>
        </is>
      </c>
      <c r="D752" s="1" t="n">
        <v>46160</v>
      </c>
      <c r="E752" s="1" t="n">
        <v>46217</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45882-2023</t>
        </is>
      </c>
      <c r="B753" t="inlineStr">
        <is>
          <t>avverkningsanmälan</t>
        </is>
      </c>
      <c r="C753" t="inlineStr">
        <is>
          <t>Föryngringsavverkning</t>
        </is>
      </c>
      <c r="D753" s="1" t="n">
        <v>45195</v>
      </c>
      <c r="E753" s="1" t="n">
        <v>46217</v>
      </c>
      <c r="F753" t="inlineStr">
        <is>
          <t>JÖNKÖPINGS LÄN</t>
        </is>
      </c>
      <c r="G753" t="inlineStr">
        <is>
          <t>VETLANDA</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33764-2023</t>
        </is>
      </c>
      <c r="B754" t="inlineStr">
        <is>
          <t>avverkningsanmälan</t>
        </is>
      </c>
      <c r="C754" t="inlineStr">
        <is>
          <t>Föryngringsavverkning</t>
        </is>
      </c>
      <c r="D754" s="1" t="n">
        <v>45133</v>
      </c>
      <c r="E754" s="1" t="n">
        <v>46217</v>
      </c>
      <c r="F754" t="inlineStr">
        <is>
          <t>JÖNKÖPINGS LÄN</t>
        </is>
      </c>
      <c r="G754" t="inlineStr">
        <is>
          <t>VETLANDA</t>
        </is>
      </c>
      <c r="I754" t="n">
        <v>15.3</v>
      </c>
      <c r="J754" t="n">
        <v>0</v>
      </c>
      <c r="K754" t="n">
        <v>0</v>
      </c>
      <c r="L754" t="n">
        <v>0</v>
      </c>
      <c r="M754" t="n">
        <v>0</v>
      </c>
      <c r="N754" t="n">
        <v>0</v>
      </c>
      <c r="O754" t="n">
        <v>0</v>
      </c>
      <c r="P754" t="n">
        <v>0</v>
      </c>
      <c r="Q754" t="n">
        <v>0</v>
      </c>
      <c r="R754" t="n">
        <v>0</v>
      </c>
      <c r="S754" t="n">
        <v>0</v>
      </c>
      <c r="T754" t="n">
        <v>0</v>
      </c>
      <c r="U754" s="2" t="inlineStr"/>
    </row>
    <row r="755" ht="15" customHeight="1">
      <c r="A755" t="inlineStr">
        <is>
          <t>A 20420-2025</t>
        </is>
      </c>
      <c r="B755" t="inlineStr">
        <is>
          <t>avverkningsanmälan</t>
        </is>
      </c>
      <c r="C755" t="inlineStr">
        <is>
          <t>Föryngringsavverkning</t>
        </is>
      </c>
      <c r="D755" s="1" t="n">
        <v>45775</v>
      </c>
      <c r="E755" s="1" t="n">
        <v>46217</v>
      </c>
      <c r="F755" t="inlineStr">
        <is>
          <t>JÖNKÖPINGS LÄN</t>
        </is>
      </c>
      <c r="G755" t="inlineStr">
        <is>
          <t>VETLANDA</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25858-2023</t>
        </is>
      </c>
      <c r="B756" t="inlineStr">
        <is>
          <t>avverkningsanmälan</t>
        </is>
      </c>
      <c r="C756" t="inlineStr">
        <is>
          <t>Föryngringsavverkning</t>
        </is>
      </c>
      <c r="D756" s="1" t="n">
        <v>45090</v>
      </c>
      <c r="E756" s="1" t="n">
        <v>46217</v>
      </c>
      <c r="F756" t="inlineStr">
        <is>
          <t>JÖNKÖPINGS LÄN</t>
        </is>
      </c>
      <c r="G756" t="inlineStr">
        <is>
          <t>VETLANDA</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9124-2026</t>
        </is>
      </c>
      <c r="B757" t="inlineStr">
        <is>
          <t>avverkningsanmälan</t>
        </is>
      </c>
      <c r="C757" t="inlineStr">
        <is>
          <t>Föryngringsavverkning</t>
        </is>
      </c>
      <c r="D757" s="1" t="n">
        <v>46069</v>
      </c>
      <c r="E757" s="1" t="n">
        <v>46217</v>
      </c>
      <c r="F757" t="inlineStr">
        <is>
          <t>JÖNKÖPINGS LÄN</t>
        </is>
      </c>
      <c r="G757" t="inlineStr">
        <is>
          <t>VETLANDA</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27437-2023</t>
        </is>
      </c>
      <c r="B758" t="inlineStr">
        <is>
          <t>avverkningsanmälan</t>
        </is>
      </c>
      <c r="C758" t="inlineStr">
        <is>
          <t>Föryngringsavverkning</t>
        </is>
      </c>
      <c r="D758" s="1" t="n">
        <v>45097</v>
      </c>
      <c r="E758" s="1" t="n">
        <v>46217</v>
      </c>
      <c r="F758" t="inlineStr">
        <is>
          <t>JÖNKÖPINGS LÄN</t>
        </is>
      </c>
      <c r="G758" t="inlineStr">
        <is>
          <t>VETLANDA</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50252-2023</t>
        </is>
      </c>
      <c r="B759" t="inlineStr">
        <is>
          <t>avverkningsanmälan</t>
        </is>
      </c>
      <c r="C759" t="inlineStr">
        <is>
          <t>Föryngringsavverkning</t>
        </is>
      </c>
      <c r="D759" s="1" t="n">
        <v>45216</v>
      </c>
      <c r="E759" s="1" t="n">
        <v>46217</v>
      </c>
      <c r="F759" t="inlineStr">
        <is>
          <t>JÖNKÖPINGS LÄN</t>
        </is>
      </c>
      <c r="G759" t="inlineStr">
        <is>
          <t>VETLANDA</t>
        </is>
      </c>
      <c r="H759" t="inlineStr">
        <is>
          <t>Sveaskog</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48845-2023</t>
        </is>
      </c>
      <c r="B760" t="inlineStr">
        <is>
          <t>avverkningsanmälan</t>
        </is>
      </c>
      <c r="C760" t="inlineStr">
        <is>
          <t>Föryngringsavverkning</t>
        </is>
      </c>
      <c r="D760" s="1" t="n">
        <v>45209</v>
      </c>
      <c r="E760" s="1" t="n">
        <v>46217</v>
      </c>
      <c r="F760" t="inlineStr">
        <is>
          <t>JÖNKÖPINGS LÄN</t>
        </is>
      </c>
      <c r="G760" t="inlineStr">
        <is>
          <t>VETLANDA</t>
        </is>
      </c>
      <c r="I760" t="n">
        <v>1.5</v>
      </c>
      <c r="J760" t="n">
        <v>0</v>
      </c>
      <c r="K760" t="n">
        <v>0</v>
      </c>
      <c r="L760" t="n">
        <v>0</v>
      </c>
      <c r="M760" t="n">
        <v>0</v>
      </c>
      <c r="N760" t="n">
        <v>0</v>
      </c>
      <c r="O760" t="n">
        <v>0</v>
      </c>
      <c r="P760" t="n">
        <v>0</v>
      </c>
      <c r="Q760" t="n">
        <v>0</v>
      </c>
      <c r="R760" t="n">
        <v>0</v>
      </c>
      <c r="S760" t="n">
        <v>0</v>
      </c>
      <c r="T760" t="n">
        <v>0</v>
      </c>
      <c r="U760" s="2" t="inlineStr"/>
    </row>
    <row r="761" ht="15" customHeight="1">
      <c r="A761" t="inlineStr">
        <is>
          <t>A 49420-2023</t>
        </is>
      </c>
      <c r="B761" t="inlineStr">
        <is>
          <t>avverkningsanmälan</t>
        </is>
      </c>
      <c r="C761" t="inlineStr">
        <is>
          <t>Föryngringsavverkning</t>
        </is>
      </c>
      <c r="D761" s="1" t="n">
        <v>45211</v>
      </c>
      <c r="E761" s="1" t="n">
        <v>46217</v>
      </c>
      <c r="F761" t="inlineStr">
        <is>
          <t>JÖNKÖPINGS LÄN</t>
        </is>
      </c>
      <c r="G761" t="inlineStr">
        <is>
          <t>VETLANDA</t>
        </is>
      </c>
      <c r="I761" t="n">
        <v>2.4</v>
      </c>
      <c r="J761" t="n">
        <v>0</v>
      </c>
      <c r="K761" t="n">
        <v>0</v>
      </c>
      <c r="L761" t="n">
        <v>0</v>
      </c>
      <c r="M761" t="n">
        <v>0</v>
      </c>
      <c r="N761" t="n">
        <v>0</v>
      </c>
      <c r="O761" t="n">
        <v>0</v>
      </c>
      <c r="P761" t="n">
        <v>0</v>
      </c>
      <c r="Q761" t="n">
        <v>0</v>
      </c>
      <c r="R761" t="n">
        <v>0</v>
      </c>
      <c r="S761" t="n">
        <v>0</v>
      </c>
      <c r="T761" t="n">
        <v>0</v>
      </c>
      <c r="U761" s="2" t="inlineStr"/>
    </row>
    <row r="762" ht="15" customHeight="1">
      <c r="A762" t="inlineStr">
        <is>
          <t>A 53472-2023</t>
        </is>
      </c>
      <c r="B762" t="inlineStr">
        <is>
          <t>avverkningsanmälan</t>
        </is>
      </c>
      <c r="C762" t="inlineStr">
        <is>
          <t>Föryngringsavverkning</t>
        </is>
      </c>
      <c r="D762" s="1" t="n">
        <v>45230</v>
      </c>
      <c r="E762" s="1" t="n">
        <v>46217</v>
      </c>
      <c r="F762" t="inlineStr">
        <is>
          <t>JÖNKÖPINGS LÄN</t>
        </is>
      </c>
      <c r="G762" t="inlineStr">
        <is>
          <t>VETLANDA</t>
        </is>
      </c>
      <c r="H762" t="inlineStr">
        <is>
          <t>Sveaskog</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41876-2024</t>
        </is>
      </c>
      <c r="B763" t="inlineStr">
        <is>
          <t>avverkningsanmälan</t>
        </is>
      </c>
      <c r="C763" t="inlineStr">
        <is>
          <t>Föryngringsavverkning</t>
        </is>
      </c>
      <c r="D763" s="1" t="n">
        <v>45561</v>
      </c>
      <c r="E763" s="1" t="n">
        <v>46217</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31019-2023</t>
        </is>
      </c>
      <c r="B764" t="inlineStr">
        <is>
          <t>avverkningsanmälan</t>
        </is>
      </c>
      <c r="C764" t="inlineStr">
        <is>
          <t>Föryngringsavverkning</t>
        </is>
      </c>
      <c r="D764" s="1" t="n">
        <v>45113</v>
      </c>
      <c r="E764" s="1" t="n">
        <v>46217</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s="2" t="inlineStr"/>
    </row>
    <row r="765" ht="15" customHeight="1">
      <c r="A765" t="inlineStr">
        <is>
          <t>A 14607-2022</t>
        </is>
      </c>
      <c r="B765" t="inlineStr">
        <is>
          <t>avverkningsanmälan</t>
        </is>
      </c>
      <c r="C765" t="inlineStr">
        <is>
          <t>Avverkning för annat ändamål</t>
        </is>
      </c>
      <c r="D765" s="1" t="n">
        <v>44655</v>
      </c>
      <c r="E765" s="1" t="n">
        <v>46217</v>
      </c>
      <c r="F765" t="inlineStr">
        <is>
          <t>JÖNKÖPINGS LÄN</t>
        </is>
      </c>
      <c r="G765" t="inlineStr">
        <is>
          <t>VETLANDA</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44126-2024</t>
        </is>
      </c>
      <c r="B766" t="inlineStr">
        <is>
          <t>avverkningsanmälan</t>
        </is>
      </c>
      <c r="C766" t="inlineStr">
        <is>
          <t>Föryngringsavverkning</t>
        </is>
      </c>
      <c r="D766" s="1" t="n">
        <v>45572</v>
      </c>
      <c r="E766" s="1" t="n">
        <v>46217</v>
      </c>
      <c r="F766" t="inlineStr">
        <is>
          <t>JÖNKÖPINGS LÄN</t>
        </is>
      </c>
      <c r="G766" t="inlineStr">
        <is>
          <t>VETLANDA</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23195-2026</t>
        </is>
      </c>
      <c r="B767" t="inlineStr">
        <is>
          <t>avverkningsanmälan</t>
        </is>
      </c>
      <c r="C767" t="inlineStr">
        <is>
          <t>Föryngringsavverkning</t>
        </is>
      </c>
      <c r="D767" s="1" t="n">
        <v>46161</v>
      </c>
      <c r="E767" s="1" t="n">
        <v>46217</v>
      </c>
      <c r="F767" t="inlineStr">
        <is>
          <t>JÖNKÖPINGS LÄN</t>
        </is>
      </c>
      <c r="G767" t="inlineStr">
        <is>
          <t>VETLANDA</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14927-2024</t>
        </is>
      </c>
      <c r="B768" t="inlineStr">
        <is>
          <t>avverkningsanmälan</t>
        </is>
      </c>
      <c r="C768" t="inlineStr">
        <is>
          <t>Föryngringsavverkning</t>
        </is>
      </c>
      <c r="D768" s="1" t="n">
        <v>45398</v>
      </c>
      <c r="E768" s="1" t="n">
        <v>46217</v>
      </c>
      <c r="F768" t="inlineStr">
        <is>
          <t>JÖNKÖPINGS LÄN</t>
        </is>
      </c>
      <c r="G768" t="inlineStr">
        <is>
          <t>VETLANDA</t>
        </is>
      </c>
      <c r="I768" t="n">
        <v>1.1</v>
      </c>
      <c r="J768" t="n">
        <v>0</v>
      </c>
      <c r="K768" t="n">
        <v>0</v>
      </c>
      <c r="L768" t="n">
        <v>0</v>
      </c>
      <c r="M768" t="n">
        <v>0</v>
      </c>
      <c r="N768" t="n">
        <v>0</v>
      </c>
      <c r="O768" t="n">
        <v>0</v>
      </c>
      <c r="P768" t="n">
        <v>0</v>
      </c>
      <c r="Q768" t="n">
        <v>0</v>
      </c>
      <c r="R768" t="n">
        <v>0</v>
      </c>
      <c r="S768" t="n">
        <v>0</v>
      </c>
      <c r="T768" t="n">
        <v>0</v>
      </c>
      <c r="U768" s="2" t="inlineStr"/>
    </row>
    <row r="769" ht="15" customHeight="1">
      <c r="A769" t="inlineStr">
        <is>
          <t>A 22299-2024</t>
        </is>
      </c>
      <c r="B769" t="inlineStr">
        <is>
          <t>avverkningsanmälan</t>
        </is>
      </c>
      <c r="C769" t="inlineStr">
        <is>
          <t>Föryngringsavverkning</t>
        </is>
      </c>
      <c r="D769" s="1" t="n">
        <v>45446</v>
      </c>
      <c r="E769" s="1" t="n">
        <v>46217</v>
      </c>
      <c r="F769" t="inlineStr">
        <is>
          <t>JÖNKÖPINGS LÄN</t>
        </is>
      </c>
      <c r="G769" t="inlineStr">
        <is>
          <t>VETLANDA</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10544-2026</t>
        </is>
      </c>
      <c r="B770" t="inlineStr">
        <is>
          <t>avverkningsanmälan</t>
        </is>
      </c>
      <c r="C770" t="inlineStr">
        <is>
          <t>Föryngringsavverkning</t>
        </is>
      </c>
      <c r="D770" s="1" t="n">
        <v>46077</v>
      </c>
      <c r="E770" s="1" t="n">
        <v>46217</v>
      </c>
      <c r="F770" t="inlineStr">
        <is>
          <t>JÖNKÖPINGS LÄN</t>
        </is>
      </c>
      <c r="G770" t="inlineStr">
        <is>
          <t>VETLANDA</t>
        </is>
      </c>
      <c r="I770" t="n">
        <v>2.1</v>
      </c>
      <c r="J770" t="n">
        <v>0</v>
      </c>
      <c r="K770" t="n">
        <v>0</v>
      </c>
      <c r="L770" t="n">
        <v>0</v>
      </c>
      <c r="M770" t="n">
        <v>0</v>
      </c>
      <c r="N770" t="n">
        <v>0</v>
      </c>
      <c r="O770" t="n">
        <v>0</v>
      </c>
      <c r="P770" t="n">
        <v>0</v>
      </c>
      <c r="Q770" t="n">
        <v>0</v>
      </c>
      <c r="R770" t="n">
        <v>0</v>
      </c>
      <c r="S770" t="n">
        <v>0</v>
      </c>
      <c r="T770" t="n">
        <v>0</v>
      </c>
      <c r="U770" s="2" t="inlineStr"/>
    </row>
    <row r="771" ht="15" customHeight="1">
      <c r="A771" t="inlineStr">
        <is>
          <t>A 10565-2026</t>
        </is>
      </c>
      <c r="B771" t="inlineStr">
        <is>
          <t>avverkningsanmälan</t>
        </is>
      </c>
      <c r="C771" t="inlineStr">
        <is>
          <t>Föryngringsavverkning</t>
        </is>
      </c>
      <c r="D771" s="1" t="n">
        <v>46077</v>
      </c>
      <c r="E771" s="1" t="n">
        <v>46217</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14113-2024</t>
        </is>
      </c>
      <c r="B772" t="inlineStr">
        <is>
          <t>avverkningsanmälan</t>
        </is>
      </c>
      <c r="C772" t="inlineStr">
        <is>
          <t>Föryngringsavverkning</t>
        </is>
      </c>
      <c r="D772" s="1" t="n">
        <v>45392</v>
      </c>
      <c r="E772" s="1" t="n">
        <v>46217</v>
      </c>
      <c r="F772" t="inlineStr">
        <is>
          <t>JÖNKÖPINGS LÄN</t>
        </is>
      </c>
      <c r="G772" t="inlineStr">
        <is>
          <t>VETLANDA</t>
        </is>
      </c>
      <c r="I772" t="n">
        <v>1.2</v>
      </c>
      <c r="J772" t="n">
        <v>0</v>
      </c>
      <c r="K772" t="n">
        <v>0</v>
      </c>
      <c r="L772" t="n">
        <v>0</v>
      </c>
      <c r="M772" t="n">
        <v>0</v>
      </c>
      <c r="N772" t="n">
        <v>0</v>
      </c>
      <c r="O772" t="n">
        <v>0</v>
      </c>
      <c r="P772" t="n">
        <v>0</v>
      </c>
      <c r="Q772" t="n">
        <v>0</v>
      </c>
      <c r="R772" t="n">
        <v>0</v>
      </c>
      <c r="S772" t="n">
        <v>0</v>
      </c>
      <c r="T772" t="n">
        <v>0</v>
      </c>
      <c r="U772" s="2" t="inlineStr"/>
    </row>
    <row r="773" ht="15" customHeight="1">
      <c r="A773" t="inlineStr">
        <is>
          <t>A 55747-2022</t>
        </is>
      </c>
      <c r="B773" t="inlineStr">
        <is>
          <t>avverkningsanmälan</t>
        </is>
      </c>
      <c r="C773" t="inlineStr">
        <is>
          <t>Föryngringsavverkning</t>
        </is>
      </c>
      <c r="D773" s="1" t="n">
        <v>44888</v>
      </c>
      <c r="E773" s="1" t="n">
        <v>46217</v>
      </c>
      <c r="F773" t="inlineStr">
        <is>
          <t>JÖNKÖPINGS LÄN</t>
        </is>
      </c>
      <c r="G773" t="inlineStr">
        <is>
          <t>VETLANDA</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47370-2023</t>
        </is>
      </c>
      <c r="B774" t="inlineStr">
        <is>
          <t>avverkningsanmälan</t>
        </is>
      </c>
      <c r="C774" t="inlineStr">
        <is>
          <t>Föryngringsavverkning</t>
        </is>
      </c>
      <c r="D774" s="1" t="n">
        <v>45202</v>
      </c>
      <c r="E774" s="1" t="n">
        <v>46217</v>
      </c>
      <c r="F774" t="inlineStr">
        <is>
          <t>JÖNKÖPINGS LÄN</t>
        </is>
      </c>
      <c r="G774" t="inlineStr">
        <is>
          <t>VETLANDA</t>
        </is>
      </c>
      <c r="I774" t="n">
        <v>1.7</v>
      </c>
      <c r="J774" t="n">
        <v>0</v>
      </c>
      <c r="K774" t="n">
        <v>0</v>
      </c>
      <c r="L774" t="n">
        <v>0</v>
      </c>
      <c r="M774" t="n">
        <v>0</v>
      </c>
      <c r="N774" t="n">
        <v>0</v>
      </c>
      <c r="O774" t="n">
        <v>0</v>
      </c>
      <c r="P774" t="n">
        <v>0</v>
      </c>
      <c r="Q774" t="n">
        <v>0</v>
      </c>
      <c r="R774" t="n">
        <v>0</v>
      </c>
      <c r="S774" t="n">
        <v>0</v>
      </c>
      <c r="T774" t="n">
        <v>0</v>
      </c>
      <c r="U774" s="2" t="inlineStr"/>
    </row>
    <row r="775" ht="15" customHeight="1">
      <c r="A775" t="inlineStr">
        <is>
          <t>A 54905-2023</t>
        </is>
      </c>
      <c r="B775" t="inlineStr">
        <is>
          <t>avverkningsanmälan</t>
        </is>
      </c>
      <c r="C775" t="inlineStr">
        <is>
          <t>Föryngringsavverkning</t>
        </is>
      </c>
      <c r="D775" s="1" t="n">
        <v>45236</v>
      </c>
      <c r="E775" s="1" t="n">
        <v>46217</v>
      </c>
      <c r="F775" t="inlineStr">
        <is>
          <t>JÖNKÖPINGS LÄN</t>
        </is>
      </c>
      <c r="G775" t="inlineStr">
        <is>
          <t>VETLANDA</t>
        </is>
      </c>
      <c r="I775" t="n">
        <v>1.9</v>
      </c>
      <c r="J775" t="n">
        <v>0</v>
      </c>
      <c r="K775" t="n">
        <v>0</v>
      </c>
      <c r="L775" t="n">
        <v>0</v>
      </c>
      <c r="M775" t="n">
        <v>0</v>
      </c>
      <c r="N775" t="n">
        <v>0</v>
      </c>
      <c r="O775" t="n">
        <v>0</v>
      </c>
      <c r="P775" t="n">
        <v>0</v>
      </c>
      <c r="Q775" t="n">
        <v>0</v>
      </c>
      <c r="R775" t="n">
        <v>0</v>
      </c>
      <c r="S775" t="n">
        <v>0</v>
      </c>
      <c r="T775" t="n">
        <v>0</v>
      </c>
      <c r="U775" s="2" t="inlineStr"/>
    </row>
    <row r="776" ht="15" customHeight="1">
      <c r="A776" t="inlineStr">
        <is>
          <t>A 40884-2023</t>
        </is>
      </c>
      <c r="B776" t="inlineStr">
        <is>
          <t>avverkningsanmälan</t>
        </is>
      </c>
      <c r="C776" t="inlineStr">
        <is>
          <t>Föryngringsavverkning</t>
        </is>
      </c>
      <c r="D776" s="1" t="n">
        <v>45173</v>
      </c>
      <c r="E776" s="1" t="n">
        <v>46217</v>
      </c>
      <c r="F776" t="inlineStr">
        <is>
          <t>JÖNKÖPINGS LÄN</t>
        </is>
      </c>
      <c r="G776" t="inlineStr">
        <is>
          <t>VETLANDA</t>
        </is>
      </c>
      <c r="I776" t="n">
        <v>4.6</v>
      </c>
      <c r="J776" t="n">
        <v>0</v>
      </c>
      <c r="K776" t="n">
        <v>0</v>
      </c>
      <c r="L776" t="n">
        <v>0</v>
      </c>
      <c r="M776" t="n">
        <v>0</v>
      </c>
      <c r="N776" t="n">
        <v>0</v>
      </c>
      <c r="O776" t="n">
        <v>0</v>
      </c>
      <c r="P776" t="n">
        <v>0</v>
      </c>
      <c r="Q776" t="n">
        <v>0</v>
      </c>
      <c r="R776" t="n">
        <v>0</v>
      </c>
      <c r="S776" t="n">
        <v>0</v>
      </c>
      <c r="T776" t="n">
        <v>0</v>
      </c>
      <c r="U776" s="2" t="inlineStr"/>
    </row>
    <row r="777" ht="15" customHeight="1">
      <c r="A777" t="inlineStr">
        <is>
          <t>A 40890-2023</t>
        </is>
      </c>
      <c r="B777" t="inlineStr">
        <is>
          <t>avverkningsanmälan</t>
        </is>
      </c>
      <c r="C777" t="inlineStr">
        <is>
          <t>Föryngringsavverkning</t>
        </is>
      </c>
      <c r="D777" s="1" t="n">
        <v>45173</v>
      </c>
      <c r="E777" s="1" t="n">
        <v>46217</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29579-2026</t>
        </is>
      </c>
      <c r="B778" t="inlineStr">
        <is>
          <t>avverkningsanmälan</t>
        </is>
      </c>
      <c r="C778" t="inlineStr">
        <is>
          <t>Avverkning för att bevara och utveckla /försöksver</t>
        </is>
      </c>
      <c r="D778" s="1" t="n">
        <v>46204</v>
      </c>
      <c r="E778" s="1" t="n">
        <v>46217</v>
      </c>
      <c r="F778" t="inlineStr">
        <is>
          <t>JÖNKÖPINGS LÄN</t>
        </is>
      </c>
      <c r="G778" t="inlineStr">
        <is>
          <t>VETLANDA</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11662-2026</t>
        </is>
      </c>
      <c r="B779" t="inlineStr">
        <is>
          <t>avverkningsanmälan</t>
        </is>
      </c>
      <c r="C779" t="inlineStr">
        <is>
          <t>Föryngringsavverkning</t>
        </is>
      </c>
      <c r="D779" s="1" t="n">
        <v>46084</v>
      </c>
      <c r="E779" s="1" t="n">
        <v>46217</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11659-2026</t>
        </is>
      </c>
      <c r="B780" t="inlineStr">
        <is>
          <t>avverkningsanmälan</t>
        </is>
      </c>
      <c r="C780" t="inlineStr">
        <is>
          <t>Föryngringsavverkning</t>
        </is>
      </c>
      <c r="D780" s="1" t="n">
        <v>46084</v>
      </c>
      <c r="E780" s="1" t="n">
        <v>46217</v>
      </c>
      <c r="F780" t="inlineStr">
        <is>
          <t>JÖNKÖPINGS LÄN</t>
        </is>
      </c>
      <c r="G780" t="inlineStr">
        <is>
          <t>VETLANDA</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11669-2026</t>
        </is>
      </c>
      <c r="B781" t="inlineStr">
        <is>
          <t>avverkningsanmälan</t>
        </is>
      </c>
      <c r="C781" t="inlineStr">
        <is>
          <t>Föryngringsavverkning</t>
        </is>
      </c>
      <c r="D781" s="1" t="n">
        <v>46084</v>
      </c>
      <c r="E781" s="1" t="n">
        <v>46217</v>
      </c>
      <c r="F781" t="inlineStr">
        <is>
          <t>JÖNKÖPINGS LÄN</t>
        </is>
      </c>
      <c r="G781" t="inlineStr">
        <is>
          <t>VETLANDA</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42493-2023</t>
        </is>
      </c>
      <c r="B782" t="inlineStr">
        <is>
          <t>avverkningsanmälan</t>
        </is>
      </c>
      <c r="C782" t="inlineStr">
        <is>
          <t>Föryngringsavverkning</t>
        </is>
      </c>
      <c r="D782" s="1" t="n">
        <v>45180</v>
      </c>
      <c r="E782" s="1" t="n">
        <v>46217</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44316-2023</t>
        </is>
      </c>
      <c r="B783" t="inlineStr">
        <is>
          <t>avverkningsanmälan</t>
        </is>
      </c>
      <c r="C783" t="inlineStr">
        <is>
          <t>Föryngringsavverkning</t>
        </is>
      </c>
      <c r="D783" s="1" t="n">
        <v>45188</v>
      </c>
      <c r="E783" s="1" t="n">
        <v>46217</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12267-2026</t>
        </is>
      </c>
      <c r="B784" t="inlineStr">
        <is>
          <t>avverkningsanmälan</t>
        </is>
      </c>
      <c r="C784" t="inlineStr">
        <is>
          <t>Föryngringsavverkning</t>
        </is>
      </c>
      <c r="D784" s="1" t="n">
        <v>46087</v>
      </c>
      <c r="E784" s="1" t="n">
        <v>46217</v>
      </c>
      <c r="F784" t="inlineStr">
        <is>
          <t>JÖNKÖPINGS LÄN</t>
        </is>
      </c>
      <c r="G784" t="inlineStr">
        <is>
          <t>VETLANDA</t>
        </is>
      </c>
      <c r="I784" t="n">
        <v>3.5</v>
      </c>
      <c r="J784" t="n">
        <v>0</v>
      </c>
      <c r="K784" t="n">
        <v>0</v>
      </c>
      <c r="L784" t="n">
        <v>0</v>
      </c>
      <c r="M784" t="n">
        <v>0</v>
      </c>
      <c r="N784" t="n">
        <v>0</v>
      </c>
      <c r="O784" t="n">
        <v>0</v>
      </c>
      <c r="P784" t="n">
        <v>0</v>
      </c>
      <c r="Q784" t="n">
        <v>0</v>
      </c>
      <c r="R784" t="n">
        <v>0</v>
      </c>
      <c r="S784" t="n">
        <v>0</v>
      </c>
      <c r="T784" t="n">
        <v>0</v>
      </c>
      <c r="U784" s="2" t="inlineStr"/>
    </row>
    <row r="785" ht="15" customHeight="1">
      <c r="A785" t="inlineStr">
        <is>
          <t>A 30501-2022</t>
        </is>
      </c>
      <c r="B785" t="inlineStr">
        <is>
          <t>avverkningsanmälan</t>
        </is>
      </c>
      <c r="C785" t="inlineStr">
        <is>
          <t>Föryngringsavverkning</t>
        </is>
      </c>
      <c r="D785" s="1" t="n">
        <v>44762</v>
      </c>
      <c r="E785" s="1" t="n">
        <v>46217</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15289-2024</t>
        </is>
      </c>
      <c r="B786" t="inlineStr">
        <is>
          <t>avverkningsanmälan</t>
        </is>
      </c>
      <c r="C786" t="inlineStr">
        <is>
          <t>Föryngringsavverkning</t>
        </is>
      </c>
      <c r="D786" s="1" t="n">
        <v>45400</v>
      </c>
      <c r="E786" s="1" t="n">
        <v>46217</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45171-2023</t>
        </is>
      </c>
      <c r="B787" t="inlineStr">
        <is>
          <t>avverkningsanmälan</t>
        </is>
      </c>
      <c r="C787" t="inlineStr">
        <is>
          <t>Avverkning för annat ändamål</t>
        </is>
      </c>
      <c r="D787" s="1" t="n">
        <v>45191</v>
      </c>
      <c r="E787" s="1" t="n">
        <v>46217</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12655-2026</t>
        </is>
      </c>
      <c r="B788" t="inlineStr">
        <is>
          <t>avverkningsanmälan</t>
        </is>
      </c>
      <c r="C788" t="inlineStr">
        <is>
          <t>Avverkning för att bevara och utveckla /försöksver</t>
        </is>
      </c>
      <c r="D788" s="1" t="n">
        <v>46091</v>
      </c>
      <c r="E788" s="1" t="n">
        <v>46217</v>
      </c>
      <c r="F788" t="inlineStr">
        <is>
          <t>JÖNKÖPINGS LÄN</t>
        </is>
      </c>
      <c r="G788" t="inlineStr">
        <is>
          <t>VETLANDA</t>
        </is>
      </c>
      <c r="I788" t="n">
        <v>3.6</v>
      </c>
      <c r="J788" t="n">
        <v>0</v>
      </c>
      <c r="K788" t="n">
        <v>0</v>
      </c>
      <c r="L788" t="n">
        <v>0</v>
      </c>
      <c r="M788" t="n">
        <v>0</v>
      </c>
      <c r="N788" t="n">
        <v>0</v>
      </c>
      <c r="O788" t="n">
        <v>0</v>
      </c>
      <c r="P788" t="n">
        <v>0</v>
      </c>
      <c r="Q788" t="n">
        <v>0</v>
      </c>
      <c r="R788" t="n">
        <v>0</v>
      </c>
      <c r="S788" t="n">
        <v>0</v>
      </c>
      <c r="T788" t="n">
        <v>0</v>
      </c>
      <c r="U788" s="2" t="inlineStr"/>
    </row>
    <row r="789" ht="15" customHeight="1">
      <c r="A789" t="inlineStr">
        <is>
          <t>A 44351-2023</t>
        </is>
      </c>
      <c r="B789" t="inlineStr">
        <is>
          <t>avverkningsanmälan</t>
        </is>
      </c>
      <c r="C789" t="inlineStr">
        <is>
          <t>Föryngringsavverkning</t>
        </is>
      </c>
      <c r="D789" s="1" t="n">
        <v>45188</v>
      </c>
      <c r="E789" s="1" t="n">
        <v>46217</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s="2" t="inlineStr"/>
    </row>
    <row r="790" ht="15" customHeight="1">
      <c r="A790" t="inlineStr">
        <is>
          <t>A 12791-2026</t>
        </is>
      </c>
      <c r="B790" t="inlineStr">
        <is>
          <t>avverkningsanmälan</t>
        </is>
      </c>
      <c r="C790" t="inlineStr">
        <is>
          <t>Föryngringsavverkning</t>
        </is>
      </c>
      <c r="D790" s="1" t="n">
        <v>46092</v>
      </c>
      <c r="E790" s="1" t="n">
        <v>46217</v>
      </c>
      <c r="F790" t="inlineStr">
        <is>
          <t>JÖNKÖPINGS LÄN</t>
        </is>
      </c>
      <c r="G790" t="inlineStr">
        <is>
          <t>VETLANDA</t>
        </is>
      </c>
      <c r="I790" t="n">
        <v>3.3</v>
      </c>
      <c r="J790" t="n">
        <v>0</v>
      </c>
      <c r="K790" t="n">
        <v>0</v>
      </c>
      <c r="L790" t="n">
        <v>0</v>
      </c>
      <c r="M790" t="n">
        <v>0</v>
      </c>
      <c r="N790" t="n">
        <v>0</v>
      </c>
      <c r="O790" t="n">
        <v>0</v>
      </c>
      <c r="P790" t="n">
        <v>0</v>
      </c>
      <c r="Q790" t="n">
        <v>0</v>
      </c>
      <c r="R790" t="n">
        <v>0</v>
      </c>
      <c r="S790" t="n">
        <v>0</v>
      </c>
      <c r="T790" t="n">
        <v>0</v>
      </c>
      <c r="U790" s="2" t="inlineStr"/>
    </row>
    <row r="791" ht="15" customHeight="1">
      <c r="A791" t="inlineStr">
        <is>
          <t>A 61806-2025</t>
        </is>
      </c>
      <c r="B791" t="inlineStr">
        <is>
          <t>avverkningsanmälan</t>
        </is>
      </c>
      <c r="C791" t="inlineStr">
        <is>
          <t>Föryngringsavverkning</t>
        </is>
      </c>
      <c r="D791" s="1" t="n">
        <v>46002</v>
      </c>
      <c r="E791" s="1" t="n">
        <v>46217</v>
      </c>
      <c r="F791" t="inlineStr">
        <is>
          <t>JÖNKÖPINGS LÄN</t>
        </is>
      </c>
      <c r="G791" t="inlineStr">
        <is>
          <t>VETLANDA</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47888-2023</t>
        </is>
      </c>
      <c r="B792" t="inlineStr">
        <is>
          <t>avverkningsanmälan</t>
        </is>
      </c>
      <c r="C792" t="inlineStr">
        <is>
          <t>Föryngringsavverkning</t>
        </is>
      </c>
      <c r="D792" s="1" t="n">
        <v>45204</v>
      </c>
      <c r="E792" s="1" t="n">
        <v>46217</v>
      </c>
      <c r="F792" t="inlineStr">
        <is>
          <t>JÖNKÖPINGS LÄN</t>
        </is>
      </c>
      <c r="G792" t="inlineStr">
        <is>
          <t>VETLANDA</t>
        </is>
      </c>
      <c r="I792" t="n">
        <v>4.3</v>
      </c>
      <c r="J792" t="n">
        <v>0</v>
      </c>
      <c r="K792" t="n">
        <v>0</v>
      </c>
      <c r="L792" t="n">
        <v>0</v>
      </c>
      <c r="M792" t="n">
        <v>0</v>
      </c>
      <c r="N792" t="n">
        <v>0</v>
      </c>
      <c r="O792" t="n">
        <v>0</v>
      </c>
      <c r="P792" t="n">
        <v>0</v>
      </c>
      <c r="Q792" t="n">
        <v>0</v>
      </c>
      <c r="R792" t="n">
        <v>0</v>
      </c>
      <c r="S792" t="n">
        <v>0</v>
      </c>
      <c r="T792" t="n">
        <v>0</v>
      </c>
      <c r="U792" s="2" t="inlineStr"/>
    </row>
    <row r="793" ht="15" customHeight="1">
      <c r="A793" t="inlineStr">
        <is>
          <t>A 12792-2026</t>
        </is>
      </c>
      <c r="B793" t="inlineStr">
        <is>
          <t>avverkningsanmälan</t>
        </is>
      </c>
      <c r="C793" t="inlineStr">
        <is>
          <t>Föryngringsavverkning</t>
        </is>
      </c>
      <c r="D793" s="1" t="n">
        <v>46092</v>
      </c>
      <c r="E793" s="1" t="n">
        <v>46217</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s="2" t="inlineStr"/>
    </row>
    <row r="794" ht="15" customHeight="1">
      <c r="A794" t="inlineStr">
        <is>
          <t>A 55372-2023</t>
        </is>
      </c>
      <c r="B794" t="inlineStr">
        <is>
          <t>avverkningsanmälan</t>
        </is>
      </c>
      <c r="C794" t="inlineStr">
        <is>
          <t>Föryngringsavverkning</t>
        </is>
      </c>
      <c r="D794" s="1" t="n">
        <v>45238</v>
      </c>
      <c r="E794" s="1" t="n">
        <v>46217</v>
      </c>
      <c r="F794" t="inlineStr">
        <is>
          <t>JÖNKÖPINGS LÄN</t>
        </is>
      </c>
      <c r="G794" t="inlineStr">
        <is>
          <t>VETLANDA</t>
        </is>
      </c>
      <c r="H794" t="inlineStr">
        <is>
          <t>Kyrkan</t>
        </is>
      </c>
      <c r="I794" t="n">
        <v>8</v>
      </c>
      <c r="J794" t="n">
        <v>0</v>
      </c>
      <c r="K794" t="n">
        <v>0</v>
      </c>
      <c r="L794" t="n">
        <v>0</v>
      </c>
      <c r="M794" t="n">
        <v>0</v>
      </c>
      <c r="N794" t="n">
        <v>0</v>
      </c>
      <c r="O794" t="n">
        <v>0</v>
      </c>
      <c r="P794" t="n">
        <v>0</v>
      </c>
      <c r="Q794" t="n">
        <v>0</v>
      </c>
      <c r="R794" t="n">
        <v>0</v>
      </c>
      <c r="S794" t="n">
        <v>0</v>
      </c>
      <c r="T794" t="n">
        <v>0</v>
      </c>
      <c r="U794" s="2" t="inlineStr"/>
    </row>
    <row r="795" ht="15" customHeight="1">
      <c r="A795" t="inlineStr">
        <is>
          <t>A 34061-2023</t>
        </is>
      </c>
      <c r="B795" t="inlineStr">
        <is>
          <t>avverkningsanmälan</t>
        </is>
      </c>
      <c r="C795" t="inlineStr">
        <is>
          <t>Föryngringsavverkning</t>
        </is>
      </c>
      <c r="D795" s="1" t="n">
        <v>45135</v>
      </c>
      <c r="E795" s="1" t="n">
        <v>46217</v>
      </c>
      <c r="F795" t="inlineStr">
        <is>
          <t>JÖNKÖPINGS LÄN</t>
        </is>
      </c>
      <c r="G795" t="inlineStr">
        <is>
          <t>VETLANDA</t>
        </is>
      </c>
      <c r="I795" t="n">
        <v>6.8</v>
      </c>
      <c r="J795" t="n">
        <v>0</v>
      </c>
      <c r="K795" t="n">
        <v>0</v>
      </c>
      <c r="L795" t="n">
        <v>0</v>
      </c>
      <c r="M795" t="n">
        <v>0</v>
      </c>
      <c r="N795" t="n">
        <v>0</v>
      </c>
      <c r="O795" t="n">
        <v>0</v>
      </c>
      <c r="P795" t="n">
        <v>0</v>
      </c>
      <c r="Q795" t="n">
        <v>0</v>
      </c>
      <c r="R795" t="n">
        <v>0</v>
      </c>
      <c r="S795" t="n">
        <v>0</v>
      </c>
      <c r="T795" t="n">
        <v>0</v>
      </c>
      <c r="U795" s="2" t="inlineStr"/>
    </row>
    <row r="796" ht="15" customHeight="1">
      <c r="A796" t="inlineStr">
        <is>
          <t>A 34068-2023</t>
        </is>
      </c>
      <c r="B796" t="inlineStr">
        <is>
          <t>avverkningsanmälan</t>
        </is>
      </c>
      <c r="C796" t="inlineStr">
        <is>
          <t>Föryngringsavverkning</t>
        </is>
      </c>
      <c r="D796" s="1" t="n">
        <v>45135</v>
      </c>
      <c r="E796" s="1" t="n">
        <v>46217</v>
      </c>
      <c r="F796" t="inlineStr">
        <is>
          <t>JÖNKÖPINGS LÄN</t>
        </is>
      </c>
      <c r="G796" t="inlineStr">
        <is>
          <t>VETLANDA</t>
        </is>
      </c>
      <c r="I796" t="n">
        <v>2.9</v>
      </c>
      <c r="J796" t="n">
        <v>0</v>
      </c>
      <c r="K796" t="n">
        <v>0</v>
      </c>
      <c r="L796" t="n">
        <v>0</v>
      </c>
      <c r="M796" t="n">
        <v>0</v>
      </c>
      <c r="N796" t="n">
        <v>0</v>
      </c>
      <c r="O796" t="n">
        <v>0</v>
      </c>
      <c r="P796" t="n">
        <v>0</v>
      </c>
      <c r="Q796" t="n">
        <v>0</v>
      </c>
      <c r="R796" t="n">
        <v>0</v>
      </c>
      <c r="S796" t="n">
        <v>0</v>
      </c>
      <c r="T796" t="n">
        <v>0</v>
      </c>
      <c r="U796" s="2" t="inlineStr"/>
    </row>
    <row r="797" ht="15" customHeight="1">
      <c r="A797" t="inlineStr">
        <is>
          <t>A 34072-2023</t>
        </is>
      </c>
      <c r="B797" t="inlineStr">
        <is>
          <t>avverkningsanmälan</t>
        </is>
      </c>
      <c r="C797" t="inlineStr">
        <is>
          <t>Föryngringsavverkning</t>
        </is>
      </c>
      <c r="D797" s="1" t="n">
        <v>45135</v>
      </c>
      <c r="E797" s="1" t="n">
        <v>46217</v>
      </c>
      <c r="F797" t="inlineStr">
        <is>
          <t>JÖNKÖPINGS LÄN</t>
        </is>
      </c>
      <c r="G797" t="inlineStr">
        <is>
          <t>VETLANDA</t>
        </is>
      </c>
      <c r="I797" t="n">
        <v>10.2</v>
      </c>
      <c r="J797" t="n">
        <v>0</v>
      </c>
      <c r="K797" t="n">
        <v>0</v>
      </c>
      <c r="L797" t="n">
        <v>0</v>
      </c>
      <c r="M797" t="n">
        <v>0</v>
      </c>
      <c r="N797" t="n">
        <v>0</v>
      </c>
      <c r="O797" t="n">
        <v>0</v>
      </c>
      <c r="P797" t="n">
        <v>0</v>
      </c>
      <c r="Q797" t="n">
        <v>0</v>
      </c>
      <c r="R797" t="n">
        <v>0</v>
      </c>
      <c r="S797" t="n">
        <v>0</v>
      </c>
      <c r="T797" t="n">
        <v>0</v>
      </c>
      <c r="U797" s="2" t="inlineStr"/>
    </row>
    <row r="798" ht="15" customHeight="1">
      <c r="A798" t="inlineStr">
        <is>
          <t>A 60384-2023</t>
        </is>
      </c>
      <c r="B798" t="inlineStr">
        <is>
          <t>avverkningsanmälan</t>
        </is>
      </c>
      <c r="C798" t="inlineStr">
        <is>
          <t>Föryngringsavverkning</t>
        </is>
      </c>
      <c r="D798" s="1" t="n">
        <v>45259</v>
      </c>
      <c r="E798" s="1" t="n">
        <v>46217</v>
      </c>
      <c r="F798" t="inlineStr">
        <is>
          <t>JÖNKÖPINGS LÄN</t>
        </is>
      </c>
      <c r="G798" t="inlineStr">
        <is>
          <t>VETLANDA</t>
        </is>
      </c>
      <c r="I798" t="n">
        <v>5.6</v>
      </c>
      <c r="J798" t="n">
        <v>0</v>
      </c>
      <c r="K798" t="n">
        <v>0</v>
      </c>
      <c r="L798" t="n">
        <v>0</v>
      </c>
      <c r="M798" t="n">
        <v>0</v>
      </c>
      <c r="N798" t="n">
        <v>0</v>
      </c>
      <c r="O798" t="n">
        <v>0</v>
      </c>
      <c r="P798" t="n">
        <v>0</v>
      </c>
      <c r="Q798" t="n">
        <v>0</v>
      </c>
      <c r="R798" t="n">
        <v>0</v>
      </c>
      <c r="S798" t="n">
        <v>0</v>
      </c>
      <c r="T798" t="n">
        <v>0</v>
      </c>
      <c r="U798" s="2" t="inlineStr"/>
    </row>
    <row r="799" ht="15" customHeight="1">
      <c r="A799" t="inlineStr">
        <is>
          <t>A 3906-2024</t>
        </is>
      </c>
      <c r="B799" t="inlineStr">
        <is>
          <t>avverkningsanmälan</t>
        </is>
      </c>
      <c r="C799" t="inlineStr">
        <is>
          <t>Föryngringsavverkning</t>
        </is>
      </c>
      <c r="D799" s="1" t="n">
        <v>45322</v>
      </c>
      <c r="E799" s="1" t="n">
        <v>46217</v>
      </c>
      <c r="F799" t="inlineStr">
        <is>
          <t>JÖNKÖPINGS LÄN</t>
        </is>
      </c>
      <c r="G799" t="inlineStr">
        <is>
          <t>VETLANDA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47363-2025</t>
        </is>
      </c>
      <c r="B800" t="inlineStr">
        <is>
          <t>avverkningsanmälan</t>
        </is>
      </c>
      <c r="C800" t="inlineStr">
        <is>
          <t>Föryngringsavverkning</t>
        </is>
      </c>
      <c r="D800" s="1" t="n">
        <v>45930</v>
      </c>
      <c r="E800" s="1" t="n">
        <v>46217</v>
      </c>
      <c r="F800" t="inlineStr">
        <is>
          <t>JÖNKÖPINGS LÄN</t>
        </is>
      </c>
      <c r="G800" t="inlineStr">
        <is>
          <t>VETLANDA</t>
        </is>
      </c>
      <c r="H800" t="inlineStr">
        <is>
          <t>Kyrkan</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23531-2026</t>
        </is>
      </c>
      <c r="B801" t="inlineStr">
        <is>
          <t>avverkningsanmälan</t>
        </is>
      </c>
      <c r="C801" t="inlineStr">
        <is>
          <t>Föryngringsavverkning</t>
        </is>
      </c>
      <c r="D801" s="1" t="n">
        <v>46163</v>
      </c>
      <c r="E801" s="1" t="n">
        <v>46217</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s="2" t="inlineStr"/>
    </row>
    <row r="802" ht="15" customHeight="1">
      <c r="A802" t="inlineStr">
        <is>
          <t>A 34106-2023</t>
        </is>
      </c>
      <c r="B802" t="inlineStr">
        <is>
          <t>avverkningsanmälan</t>
        </is>
      </c>
      <c r="C802" t="inlineStr">
        <is>
          <t>Föryngringsavverkning</t>
        </is>
      </c>
      <c r="D802" s="1" t="n">
        <v>45135</v>
      </c>
      <c r="E802" s="1" t="n">
        <v>46217</v>
      </c>
      <c r="F802" t="inlineStr">
        <is>
          <t>JÖNKÖPINGS LÄN</t>
        </is>
      </c>
      <c r="G802" t="inlineStr">
        <is>
          <t>VETLANDA</t>
        </is>
      </c>
      <c r="I802" t="n">
        <v>5.5</v>
      </c>
      <c r="J802" t="n">
        <v>0</v>
      </c>
      <c r="K802" t="n">
        <v>0</v>
      </c>
      <c r="L802" t="n">
        <v>0</v>
      </c>
      <c r="M802" t="n">
        <v>0</v>
      </c>
      <c r="N802" t="n">
        <v>0</v>
      </c>
      <c r="O802" t="n">
        <v>0</v>
      </c>
      <c r="P802" t="n">
        <v>0</v>
      </c>
      <c r="Q802" t="n">
        <v>0</v>
      </c>
      <c r="R802" t="n">
        <v>0</v>
      </c>
      <c r="S802" t="n">
        <v>0</v>
      </c>
      <c r="T802" t="n">
        <v>0</v>
      </c>
      <c r="U802" s="2" t="inlineStr"/>
    </row>
    <row r="803" ht="15" customHeight="1">
      <c r="A803" t="inlineStr">
        <is>
          <t>A 13683-2026</t>
        </is>
      </c>
      <c r="B803" t="inlineStr">
        <is>
          <t>avverkningsanmälan</t>
        </is>
      </c>
      <c r="C803" t="inlineStr">
        <is>
          <t>Föryngringsavverkning</t>
        </is>
      </c>
      <c r="D803" s="1" t="n">
        <v>46097</v>
      </c>
      <c r="E803" s="1" t="n">
        <v>46217</v>
      </c>
      <c r="F803" t="inlineStr">
        <is>
          <t>JÖNKÖPINGS LÄN</t>
        </is>
      </c>
      <c r="G803" t="inlineStr">
        <is>
          <t>VETLANDA</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3425-2024</t>
        </is>
      </c>
      <c r="B804" t="inlineStr">
        <is>
          <t>avverkningsanmälan</t>
        </is>
      </c>
      <c r="C804" t="inlineStr">
        <is>
          <t>Föryngringsavverkning</t>
        </is>
      </c>
      <c r="D804" s="1" t="n">
        <v>45319</v>
      </c>
      <c r="E804" s="1" t="n">
        <v>46217</v>
      </c>
      <c r="F804" t="inlineStr">
        <is>
          <t>JÖNKÖPINGS LÄN</t>
        </is>
      </c>
      <c r="G804" t="inlineStr">
        <is>
          <t>VETLANDA</t>
        </is>
      </c>
      <c r="I804" t="n">
        <v>3.4</v>
      </c>
      <c r="J804" t="n">
        <v>0</v>
      </c>
      <c r="K804" t="n">
        <v>0</v>
      </c>
      <c r="L804" t="n">
        <v>0</v>
      </c>
      <c r="M804" t="n">
        <v>0</v>
      </c>
      <c r="N804" t="n">
        <v>0</v>
      </c>
      <c r="O804" t="n">
        <v>0</v>
      </c>
      <c r="P804" t="n">
        <v>0</v>
      </c>
      <c r="Q804" t="n">
        <v>0</v>
      </c>
      <c r="R804" t="n">
        <v>0</v>
      </c>
      <c r="S804" t="n">
        <v>0</v>
      </c>
      <c r="T804" t="n">
        <v>0</v>
      </c>
      <c r="U804" s="2" t="inlineStr"/>
    </row>
    <row r="805" ht="15" customHeight="1">
      <c r="A805" t="inlineStr">
        <is>
          <t>A 57211-2023</t>
        </is>
      </c>
      <c r="B805" t="inlineStr">
        <is>
          <t>avverkningsanmälan</t>
        </is>
      </c>
      <c r="C805" t="inlineStr">
        <is>
          <t>Föryngringsavverkning</t>
        </is>
      </c>
      <c r="D805" s="1" t="n">
        <v>45245</v>
      </c>
      <c r="E805" s="1" t="n">
        <v>46217</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13885-2026</t>
        </is>
      </c>
      <c r="B806" t="inlineStr">
        <is>
          <t>avverkningsanmälan</t>
        </is>
      </c>
      <c r="C806" t="inlineStr">
        <is>
          <t>Avverkning för att bevara och utveckla /försöksver</t>
        </is>
      </c>
      <c r="D806" s="1" t="n">
        <v>46098</v>
      </c>
      <c r="E806" s="1" t="n">
        <v>46217</v>
      </c>
      <c r="F806" t="inlineStr">
        <is>
          <t>JÖNKÖPINGS LÄN</t>
        </is>
      </c>
      <c r="G806" t="inlineStr">
        <is>
          <t>VETLANDA</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16808-2025</t>
        </is>
      </c>
      <c r="B807" t="inlineStr">
        <is>
          <t>avverkningsanmälan</t>
        </is>
      </c>
      <c r="C807" t="inlineStr">
        <is>
          <t>Föryngringsavverkning</t>
        </is>
      </c>
      <c r="D807" s="1" t="n">
        <v>45754</v>
      </c>
      <c r="E807" s="1" t="n">
        <v>46217</v>
      </c>
      <c r="F807" t="inlineStr">
        <is>
          <t>JÖNKÖPINGS LÄN</t>
        </is>
      </c>
      <c r="G807" t="inlineStr">
        <is>
          <t>VETLANDA</t>
        </is>
      </c>
      <c r="H807" t="inlineStr">
        <is>
          <t>Sveaskog</t>
        </is>
      </c>
      <c r="I807" t="n">
        <v>3.6</v>
      </c>
      <c r="J807" t="n">
        <v>0</v>
      </c>
      <c r="K807" t="n">
        <v>0</v>
      </c>
      <c r="L807" t="n">
        <v>0</v>
      </c>
      <c r="M807" t="n">
        <v>0</v>
      </c>
      <c r="N807" t="n">
        <v>0</v>
      </c>
      <c r="O807" t="n">
        <v>0</v>
      </c>
      <c r="P807" t="n">
        <v>0</v>
      </c>
      <c r="Q807" t="n">
        <v>0</v>
      </c>
      <c r="R807" t="n">
        <v>0</v>
      </c>
      <c r="S807" t="n">
        <v>0</v>
      </c>
      <c r="T807" t="n">
        <v>0</v>
      </c>
      <c r="U807" s="2" t="inlineStr"/>
    </row>
    <row r="808" ht="15" customHeight="1">
      <c r="A808" t="inlineStr">
        <is>
          <t>A 16810-2025</t>
        </is>
      </c>
      <c r="B808" t="inlineStr">
        <is>
          <t>avverkningsanmälan</t>
        </is>
      </c>
      <c r="C808" t="inlineStr">
        <is>
          <t>Föryngringsavverkning</t>
        </is>
      </c>
      <c r="D808" s="1" t="n">
        <v>45754</v>
      </c>
      <c r="E808" s="1" t="n">
        <v>46217</v>
      </c>
      <c r="F808" t="inlineStr">
        <is>
          <t>JÖNKÖPINGS LÄN</t>
        </is>
      </c>
      <c r="G808" t="inlineStr">
        <is>
          <t>VETLANDA</t>
        </is>
      </c>
      <c r="H808" t="inlineStr">
        <is>
          <t>Sveaskog</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14180-2026</t>
        </is>
      </c>
      <c r="B809" t="inlineStr">
        <is>
          <t>avverkningsanmälan</t>
        </is>
      </c>
      <c r="C809" t="inlineStr">
        <is>
          <t>Föryngringsavverkning</t>
        </is>
      </c>
      <c r="D809" s="1" t="n">
        <v>46099</v>
      </c>
      <c r="E809" s="1" t="n">
        <v>46217</v>
      </c>
      <c r="F809" t="inlineStr">
        <is>
          <t>JÖNKÖPINGS LÄN</t>
        </is>
      </c>
      <c r="G809" t="inlineStr">
        <is>
          <t>VETLANDA</t>
        </is>
      </c>
      <c r="I809" t="n">
        <v>6.2</v>
      </c>
      <c r="J809" t="n">
        <v>0</v>
      </c>
      <c r="K809" t="n">
        <v>0</v>
      </c>
      <c r="L809" t="n">
        <v>0</v>
      </c>
      <c r="M809" t="n">
        <v>0</v>
      </c>
      <c r="N809" t="n">
        <v>0</v>
      </c>
      <c r="O809" t="n">
        <v>0</v>
      </c>
      <c r="P809" t="n">
        <v>0</v>
      </c>
      <c r="Q809" t="n">
        <v>0</v>
      </c>
      <c r="R809" t="n">
        <v>0</v>
      </c>
      <c r="S809" t="n">
        <v>0</v>
      </c>
      <c r="T809" t="n">
        <v>0</v>
      </c>
      <c r="U809" s="2" t="inlineStr"/>
    </row>
    <row r="810" ht="15" customHeight="1">
      <c r="A810" t="inlineStr">
        <is>
          <t>A 1695-2024</t>
        </is>
      </c>
      <c r="B810" t="inlineStr">
        <is>
          <t>avverkningsanmälan</t>
        </is>
      </c>
      <c r="C810" t="inlineStr">
        <is>
          <t>Föryngringsavverkning</t>
        </is>
      </c>
      <c r="D810" s="1" t="n">
        <v>45307</v>
      </c>
      <c r="E810" s="1" t="n">
        <v>46217</v>
      </c>
      <c r="F810" t="inlineStr">
        <is>
          <t>JÖNKÖPINGS LÄN</t>
        </is>
      </c>
      <c r="G810" t="inlineStr">
        <is>
          <t>VETLANDA</t>
        </is>
      </c>
      <c r="I810" t="n">
        <v>1.6</v>
      </c>
      <c r="J810" t="n">
        <v>0</v>
      </c>
      <c r="K810" t="n">
        <v>0</v>
      </c>
      <c r="L810" t="n">
        <v>0</v>
      </c>
      <c r="M810" t="n">
        <v>0</v>
      </c>
      <c r="N810" t="n">
        <v>0</v>
      </c>
      <c r="O810" t="n">
        <v>0</v>
      </c>
      <c r="P810" t="n">
        <v>0</v>
      </c>
      <c r="Q810" t="n">
        <v>0</v>
      </c>
      <c r="R810" t="n">
        <v>0</v>
      </c>
      <c r="S810" t="n">
        <v>0</v>
      </c>
      <c r="T810" t="n">
        <v>0</v>
      </c>
      <c r="U810" s="2" t="inlineStr"/>
    </row>
    <row r="811" ht="15" customHeight="1">
      <c r="A811" t="inlineStr">
        <is>
          <t>A 27119-2022</t>
        </is>
      </c>
      <c r="B811" t="inlineStr">
        <is>
          <t>avverkningsanmälan</t>
        </is>
      </c>
      <c r="C811" t="inlineStr">
        <is>
          <t>Föryngringsavverkning</t>
        </is>
      </c>
      <c r="D811" s="1" t="n">
        <v>44741</v>
      </c>
      <c r="E811" s="1" t="n">
        <v>46217</v>
      </c>
      <c r="F811" t="inlineStr">
        <is>
          <t>JÖNKÖPINGS LÄN</t>
        </is>
      </c>
      <c r="G811" t="inlineStr">
        <is>
          <t>VETLANDA</t>
        </is>
      </c>
      <c r="I811" t="n">
        <v>4.1</v>
      </c>
      <c r="J811" t="n">
        <v>0</v>
      </c>
      <c r="K811" t="n">
        <v>0</v>
      </c>
      <c r="L811" t="n">
        <v>0</v>
      </c>
      <c r="M811" t="n">
        <v>0</v>
      </c>
      <c r="N811" t="n">
        <v>0</v>
      </c>
      <c r="O811" t="n">
        <v>0</v>
      </c>
      <c r="P811" t="n">
        <v>0</v>
      </c>
      <c r="Q811" t="n">
        <v>0</v>
      </c>
      <c r="R811" t="n">
        <v>0</v>
      </c>
      <c r="S811" t="n">
        <v>0</v>
      </c>
      <c r="T811" t="n">
        <v>0</v>
      </c>
      <c r="U811" s="2" t="inlineStr"/>
    </row>
    <row r="812" ht="15" customHeight="1">
      <c r="A812" t="inlineStr">
        <is>
          <t>A 14361-2026</t>
        </is>
      </c>
      <c r="B812" t="inlineStr">
        <is>
          <t>avverkningsanmälan</t>
        </is>
      </c>
      <c r="C812" t="inlineStr">
        <is>
          <t>Föryngringsavverkning</t>
        </is>
      </c>
      <c r="D812" s="1" t="n">
        <v>46100</v>
      </c>
      <c r="E812" s="1" t="n">
        <v>46217</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38628-2022</t>
        </is>
      </c>
      <c r="B813" t="inlineStr">
        <is>
          <t>avverkningsanmälan</t>
        </is>
      </c>
      <c r="C813" t="inlineStr">
        <is>
          <t>Föryngringsavverkning</t>
        </is>
      </c>
      <c r="D813" s="1" t="n">
        <v>44813</v>
      </c>
      <c r="E813" s="1" t="n">
        <v>46217</v>
      </c>
      <c r="F813" t="inlineStr">
        <is>
          <t>JÖNKÖPINGS LÄN</t>
        </is>
      </c>
      <c r="G813" t="inlineStr">
        <is>
          <t>VETLANDA</t>
        </is>
      </c>
      <c r="I813" t="n">
        <v>2.4</v>
      </c>
      <c r="J813" t="n">
        <v>0</v>
      </c>
      <c r="K813" t="n">
        <v>0</v>
      </c>
      <c r="L813" t="n">
        <v>0</v>
      </c>
      <c r="M813" t="n">
        <v>0</v>
      </c>
      <c r="N813" t="n">
        <v>0</v>
      </c>
      <c r="O813" t="n">
        <v>0</v>
      </c>
      <c r="P813" t="n">
        <v>0</v>
      </c>
      <c r="Q813" t="n">
        <v>0</v>
      </c>
      <c r="R813" t="n">
        <v>0</v>
      </c>
      <c r="S813" t="n">
        <v>0</v>
      </c>
      <c r="T813" t="n">
        <v>0</v>
      </c>
      <c r="U813" s="2" t="inlineStr"/>
    </row>
    <row r="814" ht="15" customHeight="1">
      <c r="A814" t="inlineStr">
        <is>
          <t>A 10009-2025</t>
        </is>
      </c>
      <c r="B814" t="inlineStr">
        <is>
          <t>avverkningsanmälan</t>
        </is>
      </c>
      <c r="C814" t="inlineStr">
        <is>
          <t>Föryngringsavverkning</t>
        </is>
      </c>
      <c r="D814" s="1" t="n">
        <v>45719</v>
      </c>
      <c r="E814" s="1" t="n">
        <v>46217</v>
      </c>
      <c r="F814" t="inlineStr">
        <is>
          <t>JÖNKÖPINGS LÄN</t>
        </is>
      </c>
      <c r="G814" t="inlineStr">
        <is>
          <t>VETLANDA</t>
        </is>
      </c>
      <c r="I814" t="n">
        <v>2.2</v>
      </c>
      <c r="J814" t="n">
        <v>0</v>
      </c>
      <c r="K814" t="n">
        <v>0</v>
      </c>
      <c r="L814" t="n">
        <v>0</v>
      </c>
      <c r="M814" t="n">
        <v>0</v>
      </c>
      <c r="N814" t="n">
        <v>0</v>
      </c>
      <c r="O814" t="n">
        <v>0</v>
      </c>
      <c r="P814" t="n">
        <v>0</v>
      </c>
      <c r="Q814" t="n">
        <v>0</v>
      </c>
      <c r="R814" t="n">
        <v>0</v>
      </c>
      <c r="S814" t="n">
        <v>0</v>
      </c>
      <c r="T814" t="n">
        <v>0</v>
      </c>
      <c r="U814" s="2" t="inlineStr"/>
    </row>
    <row r="815" ht="15" customHeight="1">
      <c r="A815" t="inlineStr">
        <is>
          <t>A 1838-2025</t>
        </is>
      </c>
      <c r="B815" t="inlineStr">
        <is>
          <t>avverkningsanmälan</t>
        </is>
      </c>
      <c r="C815" t="inlineStr">
        <is>
          <t>Föryngringsavverkning</t>
        </is>
      </c>
      <c r="D815" s="1" t="n">
        <v>45671</v>
      </c>
      <c r="E815" s="1" t="n">
        <v>46217</v>
      </c>
      <c r="F815" t="inlineStr">
        <is>
          <t>JÖNKÖPINGS LÄN</t>
        </is>
      </c>
      <c r="G815" t="inlineStr">
        <is>
          <t>VETLANDA</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24176-2026</t>
        </is>
      </c>
      <c r="B816" t="inlineStr">
        <is>
          <t>avverkningsanmälan</t>
        </is>
      </c>
      <c r="C816" t="inlineStr">
        <is>
          <t>Föryngringsavverkning</t>
        </is>
      </c>
      <c r="D816" s="1" t="n">
        <v>46168</v>
      </c>
      <c r="E816" s="1" t="n">
        <v>46217</v>
      </c>
      <c r="F816" t="inlineStr">
        <is>
          <t>JÖNKÖPINGS LÄN</t>
        </is>
      </c>
      <c r="G816" t="inlineStr">
        <is>
          <t>VETLANDA</t>
        </is>
      </c>
      <c r="I816" t="n">
        <v>1.3</v>
      </c>
      <c r="J816" t="n">
        <v>0</v>
      </c>
      <c r="K816" t="n">
        <v>0</v>
      </c>
      <c r="L816" t="n">
        <v>0</v>
      </c>
      <c r="M816" t="n">
        <v>0</v>
      </c>
      <c r="N816" t="n">
        <v>0</v>
      </c>
      <c r="O816" t="n">
        <v>0</v>
      </c>
      <c r="P816" t="n">
        <v>0</v>
      </c>
      <c r="Q816" t="n">
        <v>0</v>
      </c>
      <c r="R816" t="n">
        <v>0</v>
      </c>
      <c r="S816" t="n">
        <v>0</v>
      </c>
      <c r="T816" t="n">
        <v>0</v>
      </c>
      <c r="U816" s="2" t="inlineStr"/>
    </row>
    <row r="817" ht="15" customHeight="1">
      <c r="A817" t="inlineStr">
        <is>
          <t>A 5349-2024</t>
        </is>
      </c>
      <c r="B817" t="inlineStr">
        <is>
          <t>avverkningsanmälan</t>
        </is>
      </c>
      <c r="C817" t="inlineStr">
        <is>
          <t>Föryngringsavverkning</t>
        </is>
      </c>
      <c r="D817" s="1" t="n">
        <v>45331</v>
      </c>
      <c r="E817" s="1" t="n">
        <v>46217</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7833-2023</t>
        </is>
      </c>
      <c r="B818" t="inlineStr">
        <is>
          <t>avverkningsanmälan</t>
        </is>
      </c>
      <c r="C818" t="inlineStr">
        <is>
          <t>Föryngringsavverkning</t>
        </is>
      </c>
      <c r="D818" s="1" t="n">
        <v>44970</v>
      </c>
      <c r="E818" s="1" t="n">
        <v>46217</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8946-2024</t>
        </is>
      </c>
      <c r="B819" t="inlineStr">
        <is>
          <t>avverkningsanmälan</t>
        </is>
      </c>
      <c r="C819" t="inlineStr">
        <is>
          <t>Föryngringsavverkning</t>
        </is>
      </c>
      <c r="D819" s="1" t="n">
        <v>45357</v>
      </c>
      <c r="E819" s="1" t="n">
        <v>46217</v>
      </c>
      <c r="F819" t="inlineStr">
        <is>
          <t>JÖNKÖPINGS LÄN</t>
        </is>
      </c>
      <c r="G819" t="inlineStr">
        <is>
          <t>VETLANDA</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2070-2024</t>
        </is>
      </c>
      <c r="B820" t="inlineStr">
        <is>
          <t>avverkningsanmälan</t>
        </is>
      </c>
      <c r="C820" t="inlineStr">
        <is>
          <t>Avverkning för annat ändamål</t>
        </is>
      </c>
      <c r="D820" s="1" t="n">
        <v>45309</v>
      </c>
      <c r="E820" s="1" t="n">
        <v>46217</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8623-2024</t>
        </is>
      </c>
      <c r="B821" t="inlineStr">
        <is>
          <t>avverkningsanmälan</t>
        </is>
      </c>
      <c r="C821" t="inlineStr">
        <is>
          <t>Föryngringsavverkning</t>
        </is>
      </c>
      <c r="D821" s="1" t="n">
        <v>45352</v>
      </c>
      <c r="E821" s="1" t="n">
        <v>46217</v>
      </c>
      <c r="F821" t="inlineStr">
        <is>
          <t>JÖNKÖPINGS LÄN</t>
        </is>
      </c>
      <c r="G821" t="inlineStr">
        <is>
          <t>VETLANDA</t>
        </is>
      </c>
      <c r="I821" t="n">
        <v>2.7</v>
      </c>
      <c r="J821" t="n">
        <v>0</v>
      </c>
      <c r="K821" t="n">
        <v>0</v>
      </c>
      <c r="L821" t="n">
        <v>0</v>
      </c>
      <c r="M821" t="n">
        <v>0</v>
      </c>
      <c r="N821" t="n">
        <v>0</v>
      </c>
      <c r="O821" t="n">
        <v>0</v>
      </c>
      <c r="P821" t="n">
        <v>0</v>
      </c>
      <c r="Q821" t="n">
        <v>0</v>
      </c>
      <c r="R821" t="n">
        <v>0</v>
      </c>
      <c r="S821" t="n">
        <v>0</v>
      </c>
      <c r="T821" t="n">
        <v>0</v>
      </c>
      <c r="U821" s="2" t="inlineStr"/>
    </row>
    <row r="822" ht="15" customHeight="1">
      <c r="A822" t="inlineStr">
        <is>
          <t>A 42364-2022</t>
        </is>
      </c>
      <c r="B822" t="inlineStr">
        <is>
          <t>avverkningsanmälan</t>
        </is>
      </c>
      <c r="C822" t="inlineStr">
        <is>
          <t>Föryngringsavverkning</t>
        </is>
      </c>
      <c r="D822" s="1" t="n">
        <v>44830</v>
      </c>
      <c r="E822" s="1" t="n">
        <v>46217</v>
      </c>
      <c r="F822" t="inlineStr">
        <is>
          <t>JÖNKÖPINGS LÄN</t>
        </is>
      </c>
      <c r="G822" t="inlineStr">
        <is>
          <t>VETLANDA</t>
        </is>
      </c>
      <c r="I822" t="n">
        <v>1.8</v>
      </c>
      <c r="J822" t="n">
        <v>0</v>
      </c>
      <c r="K822" t="n">
        <v>0</v>
      </c>
      <c r="L822" t="n">
        <v>0</v>
      </c>
      <c r="M822" t="n">
        <v>0</v>
      </c>
      <c r="N822" t="n">
        <v>0</v>
      </c>
      <c r="O822" t="n">
        <v>0</v>
      </c>
      <c r="P822" t="n">
        <v>0</v>
      </c>
      <c r="Q822" t="n">
        <v>0</v>
      </c>
      <c r="R822" t="n">
        <v>0</v>
      </c>
      <c r="S822" t="n">
        <v>0</v>
      </c>
      <c r="T822" t="n">
        <v>0</v>
      </c>
      <c r="U822" s="2" t="inlineStr"/>
    </row>
    <row r="823" ht="15" customHeight="1">
      <c r="A823" t="inlineStr">
        <is>
          <t>A 14816-2026</t>
        </is>
      </c>
      <c r="B823" t="inlineStr">
        <is>
          <t>avverkningsanmälan</t>
        </is>
      </c>
      <c r="C823" t="inlineStr">
        <is>
          <t>Avverkning för att bevara och utveckla /försöksver</t>
        </is>
      </c>
      <c r="D823" s="1" t="n">
        <v>46104</v>
      </c>
      <c r="E823" s="1" t="n">
        <v>46217</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2202-2024</t>
        </is>
      </c>
      <c r="B824" t="inlineStr">
        <is>
          <t>avverkningsanmälan</t>
        </is>
      </c>
      <c r="C824" t="inlineStr">
        <is>
          <t>Avverkning för annat ändamål</t>
        </is>
      </c>
      <c r="D824" s="1" t="n">
        <v>45309</v>
      </c>
      <c r="E824" s="1" t="n">
        <v>46217</v>
      </c>
      <c r="F824" t="inlineStr">
        <is>
          <t>JÖNKÖPINGS LÄN</t>
        </is>
      </c>
      <c r="G824" t="inlineStr">
        <is>
          <t>VETLANDA</t>
        </is>
      </c>
      <c r="I824" t="n">
        <v>0.1</v>
      </c>
      <c r="J824" t="n">
        <v>0</v>
      </c>
      <c r="K824" t="n">
        <v>0</v>
      </c>
      <c r="L824" t="n">
        <v>0</v>
      </c>
      <c r="M824" t="n">
        <v>0</v>
      </c>
      <c r="N824" t="n">
        <v>0</v>
      </c>
      <c r="O824" t="n">
        <v>0</v>
      </c>
      <c r="P824" t="n">
        <v>0</v>
      </c>
      <c r="Q824" t="n">
        <v>0</v>
      </c>
      <c r="R824" t="n">
        <v>0</v>
      </c>
      <c r="S824" t="n">
        <v>0</v>
      </c>
      <c r="T824" t="n">
        <v>0</v>
      </c>
      <c r="U824" s="2" t="inlineStr"/>
    </row>
    <row r="825" ht="15" customHeight="1">
      <c r="A825" t="inlineStr">
        <is>
          <t>A 2203-2024</t>
        </is>
      </c>
      <c r="B825" t="inlineStr">
        <is>
          <t>avverkningsanmälan</t>
        </is>
      </c>
      <c r="C825" t="inlineStr">
        <is>
          <t>Avverkning för annat ändamål</t>
        </is>
      </c>
      <c r="D825" s="1" t="n">
        <v>45309</v>
      </c>
      <c r="E825" s="1" t="n">
        <v>46217</v>
      </c>
      <c r="F825" t="inlineStr">
        <is>
          <t>JÖNKÖPINGS LÄN</t>
        </is>
      </c>
      <c r="G825" t="inlineStr">
        <is>
          <t>VETLANDA</t>
        </is>
      </c>
      <c r="I825" t="n">
        <v>0.1</v>
      </c>
      <c r="J825" t="n">
        <v>0</v>
      </c>
      <c r="K825" t="n">
        <v>0</v>
      </c>
      <c r="L825" t="n">
        <v>0</v>
      </c>
      <c r="M825" t="n">
        <v>0</v>
      </c>
      <c r="N825" t="n">
        <v>0</v>
      </c>
      <c r="O825" t="n">
        <v>0</v>
      </c>
      <c r="P825" t="n">
        <v>0</v>
      </c>
      <c r="Q825" t="n">
        <v>0</v>
      </c>
      <c r="R825" t="n">
        <v>0</v>
      </c>
      <c r="S825" t="n">
        <v>0</v>
      </c>
      <c r="T825" t="n">
        <v>0</v>
      </c>
      <c r="U825" s="2" t="inlineStr"/>
    </row>
    <row r="826" ht="15" customHeight="1">
      <c r="A826" t="inlineStr">
        <is>
          <t>A 14863-2026</t>
        </is>
      </c>
      <c r="B826" t="inlineStr">
        <is>
          <t>avverkningsanmälan</t>
        </is>
      </c>
      <c r="C826" t="inlineStr">
        <is>
          <t>Föryngringsavverkning</t>
        </is>
      </c>
      <c r="D826" s="1" t="n">
        <v>46104</v>
      </c>
      <c r="E826" s="1" t="n">
        <v>46217</v>
      </c>
      <c r="F826" t="inlineStr">
        <is>
          <t>JÖNKÖPINGS LÄN</t>
        </is>
      </c>
      <c r="G826" t="inlineStr">
        <is>
          <t>VETLANDA</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44169-2022</t>
        </is>
      </c>
      <c r="B827" t="inlineStr">
        <is>
          <t>avverkningsanmälan</t>
        </is>
      </c>
      <c r="C827" t="inlineStr">
        <is>
          <t>Föryngringsavverkning</t>
        </is>
      </c>
      <c r="D827" s="1" t="n">
        <v>44839</v>
      </c>
      <c r="E827" s="1" t="n">
        <v>46217</v>
      </c>
      <c r="F827" t="inlineStr">
        <is>
          <t>JÖNKÖPINGS LÄN</t>
        </is>
      </c>
      <c r="G827" t="inlineStr">
        <is>
          <t>VETLANDA</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14815-2026</t>
        </is>
      </c>
      <c r="B828" t="inlineStr">
        <is>
          <t>avverkningsanmälan</t>
        </is>
      </c>
      <c r="C828" t="inlineStr">
        <is>
          <t>Avverkning för att bevara och utveckla /försöksver</t>
        </is>
      </c>
      <c r="D828" s="1" t="n">
        <v>46104</v>
      </c>
      <c r="E828" s="1" t="n">
        <v>46217</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58432-2023</t>
        </is>
      </c>
      <c r="B829" t="inlineStr">
        <is>
          <t>avverkningsanmälan</t>
        </is>
      </c>
      <c r="C829" t="inlineStr">
        <is>
          <t>Föryngringsavverkning</t>
        </is>
      </c>
      <c r="D829" s="1" t="n">
        <v>45250</v>
      </c>
      <c r="E829" s="1" t="n">
        <v>46217</v>
      </c>
      <c r="F829" t="inlineStr">
        <is>
          <t>JÖNKÖPINGS LÄN</t>
        </is>
      </c>
      <c r="G829" t="inlineStr">
        <is>
          <t>VETLANDA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2786-2024</t>
        </is>
      </c>
      <c r="B830" t="inlineStr">
        <is>
          <t>avverkningsanmälan</t>
        </is>
      </c>
      <c r="C830" t="inlineStr">
        <is>
          <t>Föryngringsavverkning</t>
        </is>
      </c>
      <c r="D830" s="1" t="n">
        <v>45314</v>
      </c>
      <c r="E830" s="1" t="n">
        <v>46217</v>
      </c>
      <c r="F830" t="inlineStr">
        <is>
          <t>JÖNKÖPINGS LÄN</t>
        </is>
      </c>
      <c r="G830" t="inlineStr">
        <is>
          <t>VETLANDA</t>
        </is>
      </c>
      <c r="I830" t="n">
        <v>2.5</v>
      </c>
      <c r="J830" t="n">
        <v>0</v>
      </c>
      <c r="K830" t="n">
        <v>0</v>
      </c>
      <c r="L830" t="n">
        <v>0</v>
      </c>
      <c r="M830" t="n">
        <v>0</v>
      </c>
      <c r="N830" t="n">
        <v>0</v>
      </c>
      <c r="O830" t="n">
        <v>0</v>
      </c>
      <c r="P830" t="n">
        <v>0</v>
      </c>
      <c r="Q830" t="n">
        <v>0</v>
      </c>
      <c r="R830" t="n">
        <v>0</v>
      </c>
      <c r="S830" t="n">
        <v>0</v>
      </c>
      <c r="T830" t="n">
        <v>0</v>
      </c>
      <c r="U830" s="2" t="inlineStr"/>
    </row>
    <row r="831" ht="15" customHeight="1">
      <c r="A831" t="inlineStr">
        <is>
          <t>A 15709-2026</t>
        </is>
      </c>
      <c r="B831" t="inlineStr">
        <is>
          <t>avverkningsanmälan</t>
        </is>
      </c>
      <c r="C831" t="inlineStr">
        <is>
          <t>Föryngringsavverkning</t>
        </is>
      </c>
      <c r="D831" s="1" t="n">
        <v>46107</v>
      </c>
      <c r="E831" s="1" t="n">
        <v>46217</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s="2" t="inlineStr"/>
    </row>
    <row r="832" ht="15" customHeight="1">
      <c r="A832" t="inlineStr">
        <is>
          <t>A 2156-2024</t>
        </is>
      </c>
      <c r="B832" t="inlineStr">
        <is>
          <t>avverkningsanmälan</t>
        </is>
      </c>
      <c r="C832" t="inlineStr">
        <is>
          <t>Föryngringsavverkning</t>
        </is>
      </c>
      <c r="D832" s="1" t="n">
        <v>45309</v>
      </c>
      <c r="E832" s="1" t="n">
        <v>46217</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36700-2022</t>
        </is>
      </c>
      <c r="B833" t="inlineStr">
        <is>
          <t>avverkningsanmälan</t>
        </is>
      </c>
      <c r="C833" t="inlineStr">
        <is>
          <t>Föryngringsavverkning</t>
        </is>
      </c>
      <c r="D833" s="1" t="n">
        <v>44805</v>
      </c>
      <c r="E833" s="1" t="n">
        <v>46217</v>
      </c>
      <c r="F833" t="inlineStr">
        <is>
          <t>JÖNKÖPINGS LÄN</t>
        </is>
      </c>
      <c r="G833" t="inlineStr">
        <is>
          <t>VETLANDA</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15707-2026</t>
        </is>
      </c>
      <c r="B834" t="inlineStr">
        <is>
          <t>avverkningsanmälan</t>
        </is>
      </c>
      <c r="C834" t="inlineStr">
        <is>
          <t>Föryngringsavverkning</t>
        </is>
      </c>
      <c r="D834" s="1" t="n">
        <v>46107</v>
      </c>
      <c r="E834" s="1" t="n">
        <v>46217</v>
      </c>
      <c r="F834" t="inlineStr">
        <is>
          <t>JÖNKÖPINGS LÄN</t>
        </is>
      </c>
      <c r="G834" t="inlineStr">
        <is>
          <t>VETLANDA</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23379-2023</t>
        </is>
      </c>
      <c r="B835" t="inlineStr">
        <is>
          <t>avverkningsanmälan</t>
        </is>
      </c>
      <c r="C835" t="inlineStr">
        <is>
          <t>Föryngringsavverkning</t>
        </is>
      </c>
      <c r="D835" s="1" t="n">
        <v>45076</v>
      </c>
      <c r="E835" s="1" t="n">
        <v>46217</v>
      </c>
      <c r="F835" t="inlineStr">
        <is>
          <t>JÖNKÖPINGS LÄN</t>
        </is>
      </c>
      <c r="G835" t="inlineStr">
        <is>
          <t>VETLANDA</t>
        </is>
      </c>
      <c r="I835" t="n">
        <v>3</v>
      </c>
      <c r="J835" t="n">
        <v>0</v>
      </c>
      <c r="K835" t="n">
        <v>0</v>
      </c>
      <c r="L835" t="n">
        <v>0</v>
      </c>
      <c r="M835" t="n">
        <v>0</v>
      </c>
      <c r="N835" t="n">
        <v>0</v>
      </c>
      <c r="O835" t="n">
        <v>0</v>
      </c>
      <c r="P835" t="n">
        <v>0</v>
      </c>
      <c r="Q835" t="n">
        <v>0</v>
      </c>
      <c r="R835" t="n">
        <v>0</v>
      </c>
      <c r="S835" t="n">
        <v>0</v>
      </c>
      <c r="T835" t="n">
        <v>0</v>
      </c>
      <c r="U835" s="2" t="inlineStr"/>
    </row>
    <row r="836" ht="15" customHeight="1">
      <c r="A836" t="inlineStr">
        <is>
          <t>A 15706-2026</t>
        </is>
      </c>
      <c r="B836" t="inlineStr">
        <is>
          <t>avverkningsanmälan</t>
        </is>
      </c>
      <c r="C836" t="inlineStr">
        <is>
          <t>Föryngringsavverkning</t>
        </is>
      </c>
      <c r="D836" s="1" t="n">
        <v>46107</v>
      </c>
      <c r="E836" s="1" t="n">
        <v>46217</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13756-2023</t>
        </is>
      </c>
      <c r="B837" t="inlineStr">
        <is>
          <t>avverkningsanmälan</t>
        </is>
      </c>
      <c r="C837" t="inlineStr">
        <is>
          <t>Föryngringsavverkning</t>
        </is>
      </c>
      <c r="D837" s="1" t="n">
        <v>45007</v>
      </c>
      <c r="E837" s="1" t="n">
        <v>46217</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34394-2022</t>
        </is>
      </c>
      <c r="B838" t="inlineStr">
        <is>
          <t>avverkningsanmälan</t>
        </is>
      </c>
      <c r="C838" t="inlineStr">
        <is>
          <t>Föryngringsavverkning</t>
        </is>
      </c>
      <c r="D838" s="1" t="n">
        <v>44792</v>
      </c>
      <c r="E838" s="1" t="n">
        <v>46217</v>
      </c>
      <c r="F838" t="inlineStr">
        <is>
          <t>JÖNKÖPINGS LÄN</t>
        </is>
      </c>
      <c r="G838" t="inlineStr">
        <is>
          <t>VETLANDA</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1295-2024</t>
        </is>
      </c>
      <c r="B839" t="inlineStr">
        <is>
          <t>avverkningsanmälan</t>
        </is>
      </c>
      <c r="C839" t="inlineStr">
        <is>
          <t>Föryngringsavverkning</t>
        </is>
      </c>
      <c r="D839" s="1" t="n">
        <v>45303</v>
      </c>
      <c r="E839" s="1" t="n">
        <v>46217</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s="2" t="inlineStr"/>
    </row>
    <row r="840" ht="15" customHeight="1">
      <c r="A840" t="inlineStr">
        <is>
          <t>A 10423-2024</t>
        </is>
      </c>
      <c r="B840" t="inlineStr">
        <is>
          <t>avverkningsanmälan</t>
        </is>
      </c>
      <c r="C840" t="inlineStr">
        <is>
          <t>Föryngringsavverkning</t>
        </is>
      </c>
      <c r="D840" s="1" t="n">
        <v>45365</v>
      </c>
      <c r="E840" s="1" t="n">
        <v>46217</v>
      </c>
      <c r="F840" t="inlineStr">
        <is>
          <t>JÖNKÖPINGS LÄN</t>
        </is>
      </c>
      <c r="G840" t="inlineStr">
        <is>
          <t>VETLANDA</t>
        </is>
      </c>
      <c r="I840" t="n">
        <v>4.5</v>
      </c>
      <c r="J840" t="n">
        <v>0</v>
      </c>
      <c r="K840" t="n">
        <v>0</v>
      </c>
      <c r="L840" t="n">
        <v>0</v>
      </c>
      <c r="M840" t="n">
        <v>0</v>
      </c>
      <c r="N840" t="n">
        <v>0</v>
      </c>
      <c r="O840" t="n">
        <v>0</v>
      </c>
      <c r="P840" t="n">
        <v>0</v>
      </c>
      <c r="Q840" t="n">
        <v>0</v>
      </c>
      <c r="R840" t="n">
        <v>0</v>
      </c>
      <c r="S840" t="n">
        <v>0</v>
      </c>
      <c r="T840" t="n">
        <v>0</v>
      </c>
      <c r="U840" s="2" t="inlineStr"/>
    </row>
    <row r="841" ht="15" customHeight="1">
      <c r="A841" t="inlineStr">
        <is>
          <t>A 56698-2021</t>
        </is>
      </c>
      <c r="B841" t="inlineStr">
        <is>
          <t>avverkningsanmälan</t>
        </is>
      </c>
      <c r="C841" t="inlineStr">
        <is>
          <t>Föryngringsavverkning</t>
        </is>
      </c>
      <c r="D841" s="1" t="n">
        <v>44481</v>
      </c>
      <c r="E841" s="1" t="n">
        <v>46217</v>
      </c>
      <c r="F841" t="inlineStr">
        <is>
          <t>JÖNKÖPINGS LÄN</t>
        </is>
      </c>
      <c r="G841" t="inlineStr">
        <is>
          <t>VETLANDA</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1221-2024</t>
        </is>
      </c>
      <c r="B842" t="inlineStr">
        <is>
          <t>avverkningsanmälan</t>
        </is>
      </c>
      <c r="C842" t="inlineStr">
        <is>
          <t>Föryngringsavverkning</t>
        </is>
      </c>
      <c r="D842" s="1" t="n">
        <v>45302</v>
      </c>
      <c r="E842" s="1" t="n">
        <v>46217</v>
      </c>
      <c r="F842" t="inlineStr">
        <is>
          <t>JÖNKÖPINGS LÄN</t>
        </is>
      </c>
      <c r="G842" t="inlineStr">
        <is>
          <t>VETLANDA</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61391-2023</t>
        </is>
      </c>
      <c r="B843" t="inlineStr">
        <is>
          <t>avverkningsanmälan</t>
        </is>
      </c>
      <c r="C843" t="inlineStr">
        <is>
          <t>Föryngringsavverkning</t>
        </is>
      </c>
      <c r="D843" s="1" t="n">
        <v>45264</v>
      </c>
      <c r="E843" s="1" t="n">
        <v>46217</v>
      </c>
      <c r="F843" t="inlineStr">
        <is>
          <t>JÖNKÖPINGS LÄN</t>
        </is>
      </c>
      <c r="G843" t="inlineStr">
        <is>
          <t>VETLANDA</t>
        </is>
      </c>
      <c r="I843" t="n">
        <v>3.5</v>
      </c>
      <c r="J843" t="n">
        <v>0</v>
      </c>
      <c r="K843" t="n">
        <v>0</v>
      </c>
      <c r="L843" t="n">
        <v>0</v>
      </c>
      <c r="M843" t="n">
        <v>0</v>
      </c>
      <c r="N843" t="n">
        <v>0</v>
      </c>
      <c r="O843" t="n">
        <v>0</v>
      </c>
      <c r="P843" t="n">
        <v>0</v>
      </c>
      <c r="Q843" t="n">
        <v>0</v>
      </c>
      <c r="R843" t="n">
        <v>0</v>
      </c>
      <c r="S843" t="n">
        <v>0</v>
      </c>
      <c r="T843" t="n">
        <v>0</v>
      </c>
      <c r="U843" s="2" t="inlineStr"/>
    </row>
    <row r="844" ht="15" customHeight="1">
      <c r="A844" t="inlineStr">
        <is>
          <t>A 61201-2023</t>
        </is>
      </c>
      <c r="B844" t="inlineStr">
        <is>
          <t>avverkningsanmälan</t>
        </is>
      </c>
      <c r="C844" t="inlineStr">
        <is>
          <t>Föryngringsavverkning</t>
        </is>
      </c>
      <c r="D844" s="1" t="n">
        <v>45264</v>
      </c>
      <c r="E844" s="1" t="n">
        <v>46217</v>
      </c>
      <c r="F844" t="inlineStr">
        <is>
          <t>JÖNKÖPINGS LÄN</t>
        </is>
      </c>
      <c r="G844" t="inlineStr">
        <is>
          <t>VETLANDA</t>
        </is>
      </c>
      <c r="I844" t="n">
        <v>2.4</v>
      </c>
      <c r="J844" t="n">
        <v>0</v>
      </c>
      <c r="K844" t="n">
        <v>0</v>
      </c>
      <c r="L844" t="n">
        <v>0</v>
      </c>
      <c r="M844" t="n">
        <v>0</v>
      </c>
      <c r="N844" t="n">
        <v>0</v>
      </c>
      <c r="O844" t="n">
        <v>0</v>
      </c>
      <c r="P844" t="n">
        <v>0</v>
      </c>
      <c r="Q844" t="n">
        <v>0</v>
      </c>
      <c r="R844" t="n">
        <v>0</v>
      </c>
      <c r="S844" t="n">
        <v>0</v>
      </c>
      <c r="T844" t="n">
        <v>0</v>
      </c>
      <c r="U844" s="2" t="inlineStr"/>
    </row>
    <row r="845" ht="15" customHeight="1">
      <c r="A845" t="inlineStr">
        <is>
          <t>A 16239-2026</t>
        </is>
      </c>
      <c r="B845" t="inlineStr">
        <is>
          <t>avverkningsanmälan</t>
        </is>
      </c>
      <c r="C845" t="inlineStr">
        <is>
          <t>Föryngringsavverkning</t>
        </is>
      </c>
      <c r="D845" s="1" t="n">
        <v>46111</v>
      </c>
      <c r="E845" s="1" t="n">
        <v>46217</v>
      </c>
      <c r="F845" t="inlineStr">
        <is>
          <t>JÖNKÖPINGS LÄN</t>
        </is>
      </c>
      <c r="G845" t="inlineStr">
        <is>
          <t>VETLANDA</t>
        </is>
      </c>
      <c r="I845" t="n">
        <v>2.7</v>
      </c>
      <c r="J845" t="n">
        <v>0</v>
      </c>
      <c r="K845" t="n">
        <v>0</v>
      </c>
      <c r="L845" t="n">
        <v>0</v>
      </c>
      <c r="M845" t="n">
        <v>0</v>
      </c>
      <c r="N845" t="n">
        <v>0</v>
      </c>
      <c r="O845" t="n">
        <v>0</v>
      </c>
      <c r="P845" t="n">
        <v>0</v>
      </c>
      <c r="Q845" t="n">
        <v>0</v>
      </c>
      <c r="R845" t="n">
        <v>0</v>
      </c>
      <c r="S845" t="n">
        <v>0</v>
      </c>
      <c r="T845" t="n">
        <v>0</v>
      </c>
      <c r="U845" s="2" t="inlineStr"/>
    </row>
    <row r="846" ht="15" customHeight="1">
      <c r="A846" t="inlineStr">
        <is>
          <t>A 16426-2026</t>
        </is>
      </c>
      <c r="B846" t="inlineStr">
        <is>
          <t>avverkningsanmälan</t>
        </is>
      </c>
      <c r="C846" t="inlineStr">
        <is>
          <t>Föryngringsavverkning</t>
        </is>
      </c>
      <c r="D846" s="1" t="n">
        <v>46111</v>
      </c>
      <c r="E846" s="1" t="n">
        <v>46217</v>
      </c>
      <c r="F846" t="inlineStr">
        <is>
          <t>JÖNKÖPINGS LÄN</t>
        </is>
      </c>
      <c r="G846" t="inlineStr">
        <is>
          <t>VETLANDA</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5143-2024</t>
        </is>
      </c>
      <c r="B847" t="inlineStr">
        <is>
          <t>avverkningsanmälan</t>
        </is>
      </c>
      <c r="C847" t="inlineStr">
        <is>
          <t>Föryngringsavverkning</t>
        </is>
      </c>
      <c r="D847" s="1" t="n">
        <v>45330</v>
      </c>
      <c r="E847" s="1" t="n">
        <v>46217</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8222-2024</t>
        </is>
      </c>
      <c r="B848" t="inlineStr">
        <is>
          <t>avverkningsanmälan</t>
        </is>
      </c>
      <c r="C848" t="inlineStr">
        <is>
          <t>Föryngringsavverkning</t>
        </is>
      </c>
      <c r="D848" s="1" t="n">
        <v>45351</v>
      </c>
      <c r="E848" s="1" t="n">
        <v>46217</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62953-2023</t>
        </is>
      </c>
      <c r="B849" t="inlineStr">
        <is>
          <t>avverkningsanmälan</t>
        </is>
      </c>
      <c r="C849" t="inlineStr">
        <is>
          <t>Föryngringsavverkning</t>
        </is>
      </c>
      <c r="D849" s="1" t="n">
        <v>45272</v>
      </c>
      <c r="E849" s="1" t="n">
        <v>46217</v>
      </c>
      <c r="F849" t="inlineStr">
        <is>
          <t>JÖNKÖPINGS LÄN</t>
        </is>
      </c>
      <c r="G849" t="inlineStr">
        <is>
          <t>VETLANDA</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17561-2026</t>
        </is>
      </c>
      <c r="B850" t="inlineStr">
        <is>
          <t>avverkningsanmälan</t>
        </is>
      </c>
      <c r="C850" t="inlineStr">
        <is>
          <t>Föryngringsavverkning</t>
        </is>
      </c>
      <c r="D850" s="1" t="n">
        <v>46121</v>
      </c>
      <c r="E850" s="1" t="n">
        <v>46217</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17562-2026</t>
        </is>
      </c>
      <c r="B851" t="inlineStr">
        <is>
          <t>avverkningsanmälan</t>
        </is>
      </c>
      <c r="C851" t="inlineStr">
        <is>
          <t>Avverkning för att bevara och utveckla /försöksver</t>
        </is>
      </c>
      <c r="D851" s="1" t="n">
        <v>46121</v>
      </c>
      <c r="E851" s="1" t="n">
        <v>46217</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22536-2023</t>
        </is>
      </c>
      <c r="B852" t="inlineStr">
        <is>
          <t>avverkningsanmälan</t>
        </is>
      </c>
      <c r="C852" t="inlineStr">
        <is>
          <t>Föryngringsavverkning</t>
        </is>
      </c>
      <c r="D852" s="1" t="n">
        <v>45071</v>
      </c>
      <c r="E852" s="1" t="n">
        <v>46217</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17837-2026</t>
        </is>
      </c>
      <c r="B853" t="inlineStr">
        <is>
          <t>avverkningsanmälan</t>
        </is>
      </c>
      <c r="C853" t="inlineStr">
        <is>
          <t>Föryngringsavverkning</t>
        </is>
      </c>
      <c r="D853" s="1" t="n">
        <v>46122</v>
      </c>
      <c r="E853" s="1" t="n">
        <v>46217</v>
      </c>
      <c r="F853" t="inlineStr">
        <is>
          <t>JÖNKÖPINGS LÄN</t>
        </is>
      </c>
      <c r="G853" t="inlineStr">
        <is>
          <t>VETLANDA</t>
        </is>
      </c>
      <c r="I853" t="n">
        <v>0.2</v>
      </c>
      <c r="J853" t="n">
        <v>0</v>
      </c>
      <c r="K853" t="n">
        <v>0</v>
      </c>
      <c r="L853" t="n">
        <v>0</v>
      </c>
      <c r="M853" t="n">
        <v>0</v>
      </c>
      <c r="N853" t="n">
        <v>0</v>
      </c>
      <c r="O853" t="n">
        <v>0</v>
      </c>
      <c r="P853" t="n">
        <v>0</v>
      </c>
      <c r="Q853" t="n">
        <v>0</v>
      </c>
      <c r="R853" t="n">
        <v>0</v>
      </c>
      <c r="S853" t="n">
        <v>0</v>
      </c>
      <c r="T853" t="n">
        <v>0</v>
      </c>
      <c r="U853" s="2" t="inlineStr"/>
    </row>
    <row r="854" ht="15" customHeight="1">
      <c r="A854" t="inlineStr">
        <is>
          <t>A 25658-2026</t>
        </is>
      </c>
      <c r="B854" t="inlineStr">
        <is>
          <t>avverkningsanmälan</t>
        </is>
      </c>
      <c r="C854" t="inlineStr">
        <is>
          <t>Föryngringsavverkning</t>
        </is>
      </c>
      <c r="D854" s="1" t="n">
        <v>46178</v>
      </c>
      <c r="E854" s="1" t="n">
        <v>46217</v>
      </c>
      <c r="F854" t="inlineStr">
        <is>
          <t>JÖNKÖPINGS LÄN</t>
        </is>
      </c>
      <c r="G854" t="inlineStr">
        <is>
          <t>VETLANDA</t>
        </is>
      </c>
      <c r="I854" t="n">
        <v>7</v>
      </c>
      <c r="J854" t="n">
        <v>0</v>
      </c>
      <c r="K854" t="n">
        <v>0</v>
      </c>
      <c r="L854" t="n">
        <v>0</v>
      </c>
      <c r="M854" t="n">
        <v>0</v>
      </c>
      <c r="N854" t="n">
        <v>0</v>
      </c>
      <c r="O854" t="n">
        <v>0</v>
      </c>
      <c r="P854" t="n">
        <v>0</v>
      </c>
      <c r="Q854" t="n">
        <v>0</v>
      </c>
      <c r="R854" t="n">
        <v>0</v>
      </c>
      <c r="S854" t="n">
        <v>0</v>
      </c>
      <c r="T854" t="n">
        <v>0</v>
      </c>
      <c r="U854" s="2" t="inlineStr"/>
    </row>
    <row r="855" ht="15" customHeight="1">
      <c r="A855" t="inlineStr">
        <is>
          <t>A 61076-2024</t>
        </is>
      </c>
      <c r="B855" t="inlineStr">
        <is>
          <t>avverkningsanmälan</t>
        </is>
      </c>
      <c r="C855" t="inlineStr">
        <is>
          <t>Föryngringsavverkning</t>
        </is>
      </c>
      <c r="D855" s="1" t="n">
        <v>45645</v>
      </c>
      <c r="E855" s="1" t="n">
        <v>46217</v>
      </c>
      <c r="F855" t="inlineStr">
        <is>
          <t>JÖNKÖPINGS LÄN</t>
        </is>
      </c>
      <c r="G855" t="inlineStr">
        <is>
          <t>VETLANDA</t>
        </is>
      </c>
      <c r="I855" t="n">
        <v>3.2</v>
      </c>
      <c r="J855" t="n">
        <v>0</v>
      </c>
      <c r="K855" t="n">
        <v>0</v>
      </c>
      <c r="L855" t="n">
        <v>0</v>
      </c>
      <c r="M855" t="n">
        <v>0</v>
      </c>
      <c r="N855" t="n">
        <v>0</v>
      </c>
      <c r="O855" t="n">
        <v>0</v>
      </c>
      <c r="P855" t="n">
        <v>0</v>
      </c>
      <c r="Q855" t="n">
        <v>0</v>
      </c>
      <c r="R855" t="n">
        <v>0</v>
      </c>
      <c r="S855" t="n">
        <v>0</v>
      </c>
      <c r="T855" t="n">
        <v>0</v>
      </c>
      <c r="U855" s="2" t="inlineStr"/>
    </row>
    <row r="856" ht="15" customHeight="1">
      <c r="A856" t="inlineStr">
        <is>
          <t>A 10934-2024</t>
        </is>
      </c>
      <c r="B856" t="inlineStr">
        <is>
          <t>avverkningsanmälan</t>
        </is>
      </c>
      <c r="C856" t="inlineStr">
        <is>
          <t>Föryngringsavverkning</t>
        </is>
      </c>
      <c r="D856" s="1" t="n">
        <v>45370</v>
      </c>
      <c r="E856" s="1" t="n">
        <v>46217</v>
      </c>
      <c r="F856" t="inlineStr">
        <is>
          <t>JÖNKÖPINGS LÄN</t>
        </is>
      </c>
      <c r="G856" t="inlineStr">
        <is>
          <t>VETLANDA</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61290-2024</t>
        </is>
      </c>
      <c r="B857" t="inlineStr">
        <is>
          <t>avverkningsanmälan</t>
        </is>
      </c>
      <c r="C857" t="inlineStr">
        <is>
          <t>Föryngringsavverkning</t>
        </is>
      </c>
      <c r="D857" s="1" t="n">
        <v>45645</v>
      </c>
      <c r="E857" s="1" t="n">
        <v>46217</v>
      </c>
      <c r="F857" t="inlineStr">
        <is>
          <t>JÖNKÖPINGS LÄN</t>
        </is>
      </c>
      <c r="G857" t="inlineStr">
        <is>
          <t>VETLANDA</t>
        </is>
      </c>
      <c r="H857" t="inlineStr">
        <is>
          <t>Sveaskog</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60536-2023</t>
        </is>
      </c>
      <c r="B858" t="inlineStr">
        <is>
          <t>avverkningsanmälan</t>
        </is>
      </c>
      <c r="C858" t="inlineStr">
        <is>
          <t>Föryngringsavverkning</t>
        </is>
      </c>
      <c r="D858" s="1" t="n">
        <v>45259</v>
      </c>
      <c r="E858" s="1" t="n">
        <v>46217</v>
      </c>
      <c r="F858" t="inlineStr">
        <is>
          <t>JÖNKÖPINGS LÄN</t>
        </is>
      </c>
      <c r="G858" t="inlineStr">
        <is>
          <t>VETLANDA</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55753-2022</t>
        </is>
      </c>
      <c r="B859" t="inlineStr">
        <is>
          <t>avverkningsanmälan</t>
        </is>
      </c>
      <c r="C859" t="inlineStr">
        <is>
          <t>Föryngringsavverkning</t>
        </is>
      </c>
      <c r="D859" s="1" t="n">
        <v>44888</v>
      </c>
      <c r="E859" s="1" t="n">
        <v>46217</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49258-2024</t>
        </is>
      </c>
      <c r="B860" t="inlineStr">
        <is>
          <t>avverkningsanmälan</t>
        </is>
      </c>
      <c r="C860" t="inlineStr">
        <is>
          <t>Föryngringsavverkning</t>
        </is>
      </c>
      <c r="D860" s="1" t="n">
        <v>45595</v>
      </c>
      <c r="E860" s="1" t="n">
        <v>46217</v>
      </c>
      <c r="F860" t="inlineStr">
        <is>
          <t>JÖNKÖPINGS LÄN</t>
        </is>
      </c>
      <c r="G860" t="inlineStr">
        <is>
          <t>VETLANDA</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18379-2026</t>
        </is>
      </c>
      <c r="B861" t="inlineStr">
        <is>
          <t>avverkningsanmälan</t>
        </is>
      </c>
      <c r="C861" t="inlineStr">
        <is>
          <t>Föryngringsavverkning</t>
        </is>
      </c>
      <c r="D861" s="1" t="n">
        <v>46126</v>
      </c>
      <c r="E861" s="1" t="n">
        <v>46217</v>
      </c>
      <c r="F861" t="inlineStr">
        <is>
          <t>JÖNKÖPINGS LÄN</t>
        </is>
      </c>
      <c r="G861" t="inlineStr">
        <is>
          <t>VETLANDA</t>
        </is>
      </c>
      <c r="I861" t="n">
        <v>1.3</v>
      </c>
      <c r="J861" t="n">
        <v>0</v>
      </c>
      <c r="K861" t="n">
        <v>0</v>
      </c>
      <c r="L861" t="n">
        <v>0</v>
      </c>
      <c r="M861" t="n">
        <v>0</v>
      </c>
      <c r="N861" t="n">
        <v>0</v>
      </c>
      <c r="O861" t="n">
        <v>0</v>
      </c>
      <c r="P861" t="n">
        <v>0</v>
      </c>
      <c r="Q861" t="n">
        <v>0</v>
      </c>
      <c r="R861" t="n">
        <v>0</v>
      </c>
      <c r="S861" t="n">
        <v>0</v>
      </c>
      <c r="T861" t="n">
        <v>0</v>
      </c>
      <c r="U861" s="2" t="inlineStr"/>
    </row>
    <row r="862" ht="15" customHeight="1">
      <c r="A862" t="inlineStr">
        <is>
          <t>A 2496-2025</t>
        </is>
      </c>
      <c r="B862" t="inlineStr">
        <is>
          <t>avverkningsanmälan</t>
        </is>
      </c>
      <c r="C862" t="inlineStr">
        <is>
          <t>Föryngringsavverkning</t>
        </is>
      </c>
      <c r="D862" s="1" t="n">
        <v>45674</v>
      </c>
      <c r="E862" s="1" t="n">
        <v>46217</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s="2" t="inlineStr"/>
    </row>
    <row r="863" ht="15" customHeight="1">
      <c r="A863" t="inlineStr">
        <is>
          <t>A 51590-2021</t>
        </is>
      </c>
      <c r="B863" t="inlineStr">
        <is>
          <t>avverkningsanmälan</t>
        </is>
      </c>
      <c r="C863" t="inlineStr">
        <is>
          <t>Föryngringsavverkning</t>
        </is>
      </c>
      <c r="D863" s="1" t="n">
        <v>44462</v>
      </c>
      <c r="E863" s="1" t="n">
        <v>46217</v>
      </c>
      <c r="F863" t="inlineStr">
        <is>
          <t>JÖNKÖPINGS LÄN</t>
        </is>
      </c>
      <c r="G863" t="inlineStr">
        <is>
          <t>VETLANDA</t>
        </is>
      </c>
      <c r="I863" t="n">
        <v>1.2</v>
      </c>
      <c r="J863" t="n">
        <v>0</v>
      </c>
      <c r="K863" t="n">
        <v>0</v>
      </c>
      <c r="L863" t="n">
        <v>0</v>
      </c>
      <c r="M863" t="n">
        <v>0</v>
      </c>
      <c r="N863" t="n">
        <v>0</v>
      </c>
      <c r="O863" t="n">
        <v>0</v>
      </c>
      <c r="P863" t="n">
        <v>0</v>
      </c>
      <c r="Q863" t="n">
        <v>0</v>
      </c>
      <c r="R863" t="n">
        <v>0</v>
      </c>
      <c r="S863" t="n">
        <v>0</v>
      </c>
      <c r="T863" t="n">
        <v>0</v>
      </c>
      <c r="U863" s="2" t="inlineStr"/>
    </row>
    <row r="864" ht="15" customHeight="1">
      <c r="A864" t="inlineStr">
        <is>
          <t>A 18494-2026</t>
        </is>
      </c>
      <c r="B864" t="inlineStr">
        <is>
          <t>avverkningsanmälan</t>
        </is>
      </c>
      <c r="C864" t="inlineStr">
        <is>
          <t>Föryngringsavverkning</t>
        </is>
      </c>
      <c r="D864" s="1" t="n">
        <v>46127</v>
      </c>
      <c r="E864" s="1" t="n">
        <v>46217</v>
      </c>
      <c r="F864" t="inlineStr">
        <is>
          <t>JÖNKÖPINGS LÄN</t>
        </is>
      </c>
      <c r="G864" t="inlineStr">
        <is>
          <t>VETLANDA</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47846-2021</t>
        </is>
      </c>
      <c r="B865" t="inlineStr">
        <is>
          <t>avverkningsanmälan</t>
        </is>
      </c>
      <c r="C865" t="inlineStr">
        <is>
          <t>Föryngringsavverkning</t>
        </is>
      </c>
      <c r="D865" s="1" t="n">
        <v>44448</v>
      </c>
      <c r="E865" s="1" t="n">
        <v>46217</v>
      </c>
      <c r="F865" t="inlineStr">
        <is>
          <t>JÖNKÖPINGS LÄN</t>
        </is>
      </c>
      <c r="G865" t="inlineStr">
        <is>
          <t>VETLANDA</t>
        </is>
      </c>
      <c r="H865" t="inlineStr">
        <is>
          <t>Sveaskog</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38552-2021</t>
        </is>
      </c>
      <c r="B866" t="inlineStr">
        <is>
          <t>avverkningsanmälan</t>
        </is>
      </c>
      <c r="C866" t="inlineStr">
        <is>
          <t>Föryngringsavverkning</t>
        </is>
      </c>
      <c r="D866" s="1" t="n">
        <v>44407</v>
      </c>
      <c r="E866" s="1" t="n">
        <v>46217</v>
      </c>
      <c r="F866" t="inlineStr">
        <is>
          <t>JÖNKÖPINGS LÄN</t>
        </is>
      </c>
      <c r="G866" t="inlineStr">
        <is>
          <t>VETLANDA</t>
        </is>
      </c>
      <c r="I866" t="n">
        <v>1.4</v>
      </c>
      <c r="J866" t="n">
        <v>0</v>
      </c>
      <c r="K866" t="n">
        <v>0</v>
      </c>
      <c r="L866" t="n">
        <v>0</v>
      </c>
      <c r="M866" t="n">
        <v>0</v>
      </c>
      <c r="N866" t="n">
        <v>0</v>
      </c>
      <c r="O866" t="n">
        <v>0</v>
      </c>
      <c r="P866" t="n">
        <v>0</v>
      </c>
      <c r="Q866" t="n">
        <v>0</v>
      </c>
      <c r="R866" t="n">
        <v>0</v>
      </c>
      <c r="S866" t="n">
        <v>0</v>
      </c>
      <c r="T866" t="n">
        <v>0</v>
      </c>
      <c r="U866" s="2" t="inlineStr"/>
    </row>
    <row r="867" ht="15" customHeight="1">
      <c r="A867" t="inlineStr">
        <is>
          <t>A 3116-2024</t>
        </is>
      </c>
      <c r="B867" t="inlineStr">
        <is>
          <t>avverkningsanmälan</t>
        </is>
      </c>
      <c r="C867" t="inlineStr">
        <is>
          <t>Föryngringsavverkning</t>
        </is>
      </c>
      <c r="D867" s="1" t="n">
        <v>45316</v>
      </c>
      <c r="E867" s="1" t="n">
        <v>46217</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18676-2026</t>
        </is>
      </c>
      <c r="B868" t="inlineStr">
        <is>
          <t>avverkningsanmälan</t>
        </is>
      </c>
      <c r="C868" t="inlineStr">
        <is>
          <t>Föryngringsavverkning</t>
        </is>
      </c>
      <c r="D868" s="1" t="n">
        <v>46128</v>
      </c>
      <c r="E868" s="1" t="n">
        <v>46217</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18677-2026</t>
        </is>
      </c>
      <c r="B869" t="inlineStr">
        <is>
          <t>avverkningsanmälan</t>
        </is>
      </c>
      <c r="C869" t="inlineStr">
        <is>
          <t>Föryngringsavverkning</t>
        </is>
      </c>
      <c r="D869" s="1" t="n">
        <v>46128</v>
      </c>
      <c r="E869" s="1" t="n">
        <v>46217</v>
      </c>
      <c r="F869" t="inlineStr">
        <is>
          <t>JÖNKÖPINGS LÄN</t>
        </is>
      </c>
      <c r="G869" t="inlineStr">
        <is>
          <t>VETLANDA</t>
        </is>
      </c>
      <c r="I869" t="n">
        <v>4.1</v>
      </c>
      <c r="J869" t="n">
        <v>0</v>
      </c>
      <c r="K869" t="n">
        <v>0</v>
      </c>
      <c r="L869" t="n">
        <v>0</v>
      </c>
      <c r="M869" t="n">
        <v>0</v>
      </c>
      <c r="N869" t="n">
        <v>0</v>
      </c>
      <c r="O869" t="n">
        <v>0</v>
      </c>
      <c r="P869" t="n">
        <v>0</v>
      </c>
      <c r="Q869" t="n">
        <v>0</v>
      </c>
      <c r="R869" t="n">
        <v>0</v>
      </c>
      <c r="S869" t="n">
        <v>0</v>
      </c>
      <c r="T869" t="n">
        <v>0</v>
      </c>
      <c r="U869" s="2" t="inlineStr"/>
    </row>
    <row r="870" ht="15" customHeight="1">
      <c r="A870" t="inlineStr">
        <is>
          <t>A 18671-2026</t>
        </is>
      </c>
      <c r="B870" t="inlineStr">
        <is>
          <t>avverkningsanmälan</t>
        </is>
      </c>
      <c r="C870" t="inlineStr">
        <is>
          <t>Föryngringsavverkning</t>
        </is>
      </c>
      <c r="D870" s="1" t="n">
        <v>46128</v>
      </c>
      <c r="E870" s="1" t="n">
        <v>46217</v>
      </c>
      <c r="F870" t="inlineStr">
        <is>
          <t>JÖNKÖPINGS LÄN</t>
        </is>
      </c>
      <c r="G870" t="inlineStr">
        <is>
          <t>VETLANDA</t>
        </is>
      </c>
      <c r="I870" t="n">
        <v>2</v>
      </c>
      <c r="J870" t="n">
        <v>0</v>
      </c>
      <c r="K870" t="n">
        <v>0</v>
      </c>
      <c r="L870" t="n">
        <v>0</v>
      </c>
      <c r="M870" t="n">
        <v>0</v>
      </c>
      <c r="N870" t="n">
        <v>0</v>
      </c>
      <c r="O870" t="n">
        <v>0</v>
      </c>
      <c r="P870" t="n">
        <v>0</v>
      </c>
      <c r="Q870" t="n">
        <v>0</v>
      </c>
      <c r="R870" t="n">
        <v>0</v>
      </c>
      <c r="S870" t="n">
        <v>0</v>
      </c>
      <c r="T870" t="n">
        <v>0</v>
      </c>
      <c r="U870" s="2" t="inlineStr"/>
    </row>
    <row r="871" ht="15" customHeight="1">
      <c r="A871" t="inlineStr">
        <is>
          <t>A 8253-2023</t>
        </is>
      </c>
      <c r="B871" t="inlineStr">
        <is>
          <t>avverkningsanmälan</t>
        </is>
      </c>
      <c r="C871" t="inlineStr">
        <is>
          <t>Föryngringsavverkning</t>
        </is>
      </c>
      <c r="D871" s="1" t="n">
        <v>44971</v>
      </c>
      <c r="E871" s="1" t="n">
        <v>46217</v>
      </c>
      <c r="F871" t="inlineStr">
        <is>
          <t>JÖNKÖPINGS LÄN</t>
        </is>
      </c>
      <c r="G871" t="inlineStr">
        <is>
          <t>VETLANDA</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47065-2022</t>
        </is>
      </c>
      <c r="B872" t="inlineStr">
        <is>
          <t>avverkningsanmälan</t>
        </is>
      </c>
      <c r="C872" t="inlineStr">
        <is>
          <t>Föryngringsavverkning</t>
        </is>
      </c>
      <c r="D872" s="1" t="n">
        <v>44851</v>
      </c>
      <c r="E872" s="1" t="n">
        <v>46217</v>
      </c>
      <c r="F872" t="inlineStr">
        <is>
          <t>JÖNKÖPINGS LÄN</t>
        </is>
      </c>
      <c r="G872" t="inlineStr">
        <is>
          <t>VETLANDA</t>
        </is>
      </c>
      <c r="I872" t="n">
        <v>9.5</v>
      </c>
      <c r="J872" t="n">
        <v>0</v>
      </c>
      <c r="K872" t="n">
        <v>0</v>
      </c>
      <c r="L872" t="n">
        <v>0</v>
      </c>
      <c r="M872" t="n">
        <v>0</v>
      </c>
      <c r="N872" t="n">
        <v>0</v>
      </c>
      <c r="O872" t="n">
        <v>0</v>
      </c>
      <c r="P872" t="n">
        <v>0</v>
      </c>
      <c r="Q872" t="n">
        <v>0</v>
      </c>
      <c r="R872" t="n">
        <v>0</v>
      </c>
      <c r="S872" t="n">
        <v>0</v>
      </c>
      <c r="T872" t="n">
        <v>0</v>
      </c>
      <c r="U872" s="2" t="inlineStr"/>
    </row>
    <row r="873" ht="15" customHeight="1">
      <c r="A873" t="inlineStr">
        <is>
          <t>A 27687-2024</t>
        </is>
      </c>
      <c r="B873" t="inlineStr">
        <is>
          <t>avverkningsanmälan</t>
        </is>
      </c>
      <c r="C873" t="inlineStr">
        <is>
          <t>Föryngringsavverkning</t>
        </is>
      </c>
      <c r="D873" s="1" t="n">
        <v>45475</v>
      </c>
      <c r="E873" s="1" t="n">
        <v>46217</v>
      </c>
      <c r="F873" t="inlineStr">
        <is>
          <t>JÖNKÖPINGS LÄN</t>
        </is>
      </c>
      <c r="G873" t="inlineStr">
        <is>
          <t>VETLANDA</t>
        </is>
      </c>
      <c r="I873" t="n">
        <v>3.3</v>
      </c>
      <c r="J873" t="n">
        <v>0</v>
      </c>
      <c r="K873" t="n">
        <v>0</v>
      </c>
      <c r="L873" t="n">
        <v>0</v>
      </c>
      <c r="M873" t="n">
        <v>0</v>
      </c>
      <c r="N873" t="n">
        <v>0</v>
      </c>
      <c r="O873" t="n">
        <v>0</v>
      </c>
      <c r="P873" t="n">
        <v>0</v>
      </c>
      <c r="Q873" t="n">
        <v>0</v>
      </c>
      <c r="R873" t="n">
        <v>0</v>
      </c>
      <c r="S873" t="n">
        <v>0</v>
      </c>
      <c r="T873" t="n">
        <v>0</v>
      </c>
      <c r="U873" s="2" t="inlineStr"/>
    </row>
    <row r="874" ht="15" customHeight="1">
      <c r="A874" t="inlineStr">
        <is>
          <t>A 18673-2026</t>
        </is>
      </c>
      <c r="B874" t="inlineStr">
        <is>
          <t>avverkningsanmälan</t>
        </is>
      </c>
      <c r="C874" t="inlineStr">
        <is>
          <t>Föryngringsavverkning</t>
        </is>
      </c>
      <c r="D874" s="1" t="n">
        <v>46128</v>
      </c>
      <c r="E874" s="1" t="n">
        <v>46217</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18675-2026</t>
        </is>
      </c>
      <c r="B875" t="inlineStr">
        <is>
          <t>avverkningsanmälan</t>
        </is>
      </c>
      <c r="C875" t="inlineStr">
        <is>
          <t>Föryngringsavverkning</t>
        </is>
      </c>
      <c r="D875" s="1" t="n">
        <v>46128</v>
      </c>
      <c r="E875" s="1" t="n">
        <v>46217</v>
      </c>
      <c r="F875" t="inlineStr">
        <is>
          <t>JÖNKÖPINGS LÄN</t>
        </is>
      </c>
      <c r="G875" t="inlineStr">
        <is>
          <t>VETLANDA</t>
        </is>
      </c>
      <c r="I875" t="n">
        <v>4.1</v>
      </c>
      <c r="J875" t="n">
        <v>0</v>
      </c>
      <c r="K875" t="n">
        <v>0</v>
      </c>
      <c r="L875" t="n">
        <v>0</v>
      </c>
      <c r="M875" t="n">
        <v>0</v>
      </c>
      <c r="N875" t="n">
        <v>0</v>
      </c>
      <c r="O875" t="n">
        <v>0</v>
      </c>
      <c r="P875" t="n">
        <v>0</v>
      </c>
      <c r="Q875" t="n">
        <v>0</v>
      </c>
      <c r="R875" t="n">
        <v>0</v>
      </c>
      <c r="S875" t="n">
        <v>0</v>
      </c>
      <c r="T875" t="n">
        <v>0</v>
      </c>
      <c r="U875" s="2" t="inlineStr"/>
    </row>
    <row r="876" ht="15" customHeight="1">
      <c r="A876" t="inlineStr">
        <is>
          <t>A 4905-2024</t>
        </is>
      </c>
      <c r="B876" t="inlineStr">
        <is>
          <t>avverkningsanmälan</t>
        </is>
      </c>
      <c r="C876" t="inlineStr">
        <is>
          <t>Föryngringsavverkning</t>
        </is>
      </c>
      <c r="D876" s="1" t="n">
        <v>45329</v>
      </c>
      <c r="E876" s="1" t="n">
        <v>46217</v>
      </c>
      <c r="F876" t="inlineStr">
        <is>
          <t>JÖNKÖPINGS LÄN</t>
        </is>
      </c>
      <c r="G876" t="inlineStr">
        <is>
          <t>VETLANDA</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4944-2024</t>
        </is>
      </c>
      <c r="B877" t="inlineStr">
        <is>
          <t>avverkningsanmälan</t>
        </is>
      </c>
      <c r="C877" t="inlineStr">
        <is>
          <t>Föryngringsavverkning</t>
        </is>
      </c>
      <c r="D877" s="1" t="n">
        <v>45329</v>
      </c>
      <c r="E877" s="1" t="n">
        <v>46217</v>
      </c>
      <c r="F877" t="inlineStr">
        <is>
          <t>JÖNKÖPINGS LÄN</t>
        </is>
      </c>
      <c r="G877" t="inlineStr">
        <is>
          <t>VETLANDA</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6383-2023</t>
        </is>
      </c>
      <c r="B878" t="inlineStr">
        <is>
          <t>avverkningsanmälan</t>
        </is>
      </c>
      <c r="C878" t="inlineStr">
        <is>
          <t>Föryngringsavverkning</t>
        </is>
      </c>
      <c r="D878" s="1" t="n">
        <v>44965</v>
      </c>
      <c r="E878" s="1" t="n">
        <v>46217</v>
      </c>
      <c r="F878" t="inlineStr">
        <is>
          <t>JÖNKÖPINGS LÄN</t>
        </is>
      </c>
      <c r="G878" t="inlineStr">
        <is>
          <t>VETLANDA</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19628-2026</t>
        </is>
      </c>
      <c r="B879" t="inlineStr">
        <is>
          <t>avverkningsanmälan</t>
        </is>
      </c>
      <c r="C879" t="inlineStr">
        <is>
          <t>Föryngringsavverkning</t>
        </is>
      </c>
      <c r="D879" s="1" t="n">
        <v>46133</v>
      </c>
      <c r="E879" s="1" t="n">
        <v>46217</v>
      </c>
      <c r="F879" t="inlineStr">
        <is>
          <t>JÖNKÖPINGS LÄN</t>
        </is>
      </c>
      <c r="G879" t="inlineStr">
        <is>
          <t>VETLANDA</t>
        </is>
      </c>
      <c r="I879" t="n">
        <v>1.6</v>
      </c>
      <c r="J879" t="n">
        <v>0</v>
      </c>
      <c r="K879" t="n">
        <v>0</v>
      </c>
      <c r="L879" t="n">
        <v>0</v>
      </c>
      <c r="M879" t="n">
        <v>0</v>
      </c>
      <c r="N879" t="n">
        <v>0</v>
      </c>
      <c r="O879" t="n">
        <v>0</v>
      </c>
      <c r="P879" t="n">
        <v>0</v>
      </c>
      <c r="Q879" t="n">
        <v>0</v>
      </c>
      <c r="R879" t="n">
        <v>0</v>
      </c>
      <c r="S879" t="n">
        <v>0</v>
      </c>
      <c r="T879" t="n">
        <v>0</v>
      </c>
      <c r="U879" s="2" t="inlineStr"/>
    </row>
    <row r="880" ht="15" customHeight="1">
      <c r="A880" t="inlineStr">
        <is>
          <t>A 60986-2021</t>
        </is>
      </c>
      <c r="B880" t="inlineStr">
        <is>
          <t>avverkningsanmälan</t>
        </is>
      </c>
      <c r="C880" t="inlineStr">
        <is>
          <t>Föryngringsavverkning</t>
        </is>
      </c>
      <c r="D880" s="1" t="n">
        <v>44497</v>
      </c>
      <c r="E880" s="1" t="n">
        <v>46217</v>
      </c>
      <c r="F880" t="inlineStr">
        <is>
          <t>JÖNKÖPINGS LÄN</t>
        </is>
      </c>
      <c r="G880" t="inlineStr">
        <is>
          <t>VETLANDA</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30989-2026</t>
        </is>
      </c>
      <c r="B881" t="inlineStr">
        <is>
          <t>avverkningsanmälan</t>
        </is>
      </c>
      <c r="C881" t="inlineStr">
        <is>
          <t>Föryngringsavverkning</t>
        </is>
      </c>
      <c r="D881" s="1" t="n">
        <v>46213</v>
      </c>
      <c r="E881" s="1" t="n">
        <v>46217</v>
      </c>
      <c r="F881" t="inlineStr">
        <is>
          <t>JÖNKÖPINGS LÄN</t>
        </is>
      </c>
      <c r="G881" t="inlineStr">
        <is>
          <t>VETLANDA</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57584-2021</t>
        </is>
      </c>
      <c r="B882" t="inlineStr">
        <is>
          <t>avverkningsanmälan</t>
        </is>
      </c>
      <c r="C882" t="inlineStr">
        <is>
          <t>Föryngringsavverkning</t>
        </is>
      </c>
      <c r="D882" s="1" t="n">
        <v>44484</v>
      </c>
      <c r="E882" s="1" t="n">
        <v>46217</v>
      </c>
      <c r="F882" t="inlineStr">
        <is>
          <t>JÖNKÖPINGS LÄN</t>
        </is>
      </c>
      <c r="G882" t="inlineStr">
        <is>
          <t>VETLANDA</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61454-2022</t>
        </is>
      </c>
      <c r="B883" t="inlineStr">
        <is>
          <t>avverkningsanmälan</t>
        </is>
      </c>
      <c r="C883" t="inlineStr">
        <is>
          <t>Föryngringsavverkning</t>
        </is>
      </c>
      <c r="D883" s="1" t="n">
        <v>44916</v>
      </c>
      <c r="E883" s="1" t="n">
        <v>46217</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s="2" t="inlineStr"/>
    </row>
    <row r="884" ht="15" customHeight="1">
      <c r="A884" t="inlineStr">
        <is>
          <t>A 58511-2021</t>
        </is>
      </c>
      <c r="B884" t="inlineStr">
        <is>
          <t>avverkningsanmälan</t>
        </is>
      </c>
      <c r="C884" t="inlineStr">
        <is>
          <t>Föryngringsavverkning</t>
        </is>
      </c>
      <c r="D884" s="1" t="n">
        <v>44488</v>
      </c>
      <c r="E884" s="1" t="n">
        <v>46217</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62103-2021</t>
        </is>
      </c>
      <c r="B885" t="inlineStr">
        <is>
          <t>avverkningsanmälan</t>
        </is>
      </c>
      <c r="C885" t="inlineStr">
        <is>
          <t>Föryngringsavverkning</t>
        </is>
      </c>
      <c r="D885" s="1" t="n">
        <v>44502</v>
      </c>
      <c r="E885" s="1" t="n">
        <v>46217</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s="2" t="inlineStr"/>
    </row>
    <row r="886" ht="15" customHeight="1">
      <c r="A886" t="inlineStr">
        <is>
          <t>A 19625-2026</t>
        </is>
      </c>
      <c r="B886" t="inlineStr">
        <is>
          <t>avverkningsanmälan</t>
        </is>
      </c>
      <c r="C886" t="inlineStr">
        <is>
          <t>Föryngringsavverkning</t>
        </is>
      </c>
      <c r="D886" s="1" t="n">
        <v>46133</v>
      </c>
      <c r="E886" s="1" t="n">
        <v>46217</v>
      </c>
      <c r="F886" t="inlineStr">
        <is>
          <t>JÖNKÖPINGS LÄN</t>
        </is>
      </c>
      <c r="G886" t="inlineStr">
        <is>
          <t>VETLANDA</t>
        </is>
      </c>
      <c r="I886" t="n">
        <v>1.5</v>
      </c>
      <c r="J886" t="n">
        <v>0</v>
      </c>
      <c r="K886" t="n">
        <v>0</v>
      </c>
      <c r="L886" t="n">
        <v>0</v>
      </c>
      <c r="M886" t="n">
        <v>0</v>
      </c>
      <c r="N886" t="n">
        <v>0</v>
      </c>
      <c r="O886" t="n">
        <v>0</v>
      </c>
      <c r="P886" t="n">
        <v>0</v>
      </c>
      <c r="Q886" t="n">
        <v>0</v>
      </c>
      <c r="R886" t="n">
        <v>0</v>
      </c>
      <c r="S886" t="n">
        <v>0</v>
      </c>
      <c r="T886" t="n">
        <v>0</v>
      </c>
      <c r="U886" s="2" t="inlineStr"/>
    </row>
    <row r="887" ht="15" customHeight="1">
      <c r="A887" t="inlineStr">
        <is>
          <t>A 25164-2026</t>
        </is>
      </c>
      <c r="B887" t="inlineStr">
        <is>
          <t>avverkningsanmälan</t>
        </is>
      </c>
      <c r="C887" t="inlineStr">
        <is>
          <t>Föryngringsavverkning</t>
        </is>
      </c>
      <c r="D887" s="1" t="n">
        <v>46175</v>
      </c>
      <c r="E887" s="1" t="n">
        <v>46217</v>
      </c>
      <c r="F887" t="inlineStr">
        <is>
          <t>JÖNKÖPINGS LÄN</t>
        </is>
      </c>
      <c r="G887" t="inlineStr">
        <is>
          <t>VETLANDA</t>
        </is>
      </c>
      <c r="I887" t="n">
        <v>2.5</v>
      </c>
      <c r="J887" t="n">
        <v>0</v>
      </c>
      <c r="K887" t="n">
        <v>0</v>
      </c>
      <c r="L887" t="n">
        <v>0</v>
      </c>
      <c r="M887" t="n">
        <v>0</v>
      </c>
      <c r="N887" t="n">
        <v>0</v>
      </c>
      <c r="O887" t="n">
        <v>0</v>
      </c>
      <c r="P887" t="n">
        <v>0</v>
      </c>
      <c r="Q887" t="n">
        <v>0</v>
      </c>
      <c r="R887" t="n">
        <v>0</v>
      </c>
      <c r="S887" t="n">
        <v>0</v>
      </c>
      <c r="T887" t="n">
        <v>0</v>
      </c>
      <c r="U887" s="2" t="inlineStr"/>
    </row>
    <row r="888" ht="15" customHeight="1">
      <c r="A888" t="inlineStr">
        <is>
          <t>A 4794-2023</t>
        </is>
      </c>
      <c r="B888" t="inlineStr">
        <is>
          <t>avverkningsanmälan</t>
        </is>
      </c>
      <c r="C888" t="inlineStr">
        <is>
          <t>Föryngringsavverkning</t>
        </is>
      </c>
      <c r="D888" s="1" t="n">
        <v>44957</v>
      </c>
      <c r="E888" s="1" t="n">
        <v>46217</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6896-2023</t>
        </is>
      </c>
      <c r="B889" t="inlineStr">
        <is>
          <t>avverkningsanmälan</t>
        </is>
      </c>
      <c r="C889" t="inlineStr">
        <is>
          <t>Föryngringsavverkning</t>
        </is>
      </c>
      <c r="D889" s="1" t="n">
        <v>44967</v>
      </c>
      <c r="E889" s="1" t="n">
        <v>46217</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6897-2023</t>
        </is>
      </c>
      <c r="B890" t="inlineStr">
        <is>
          <t>avverkningsanmälan</t>
        </is>
      </c>
      <c r="C890" t="inlineStr">
        <is>
          <t>Föryngringsavverkning</t>
        </is>
      </c>
      <c r="D890" s="1" t="n">
        <v>44967</v>
      </c>
      <c r="E890" s="1" t="n">
        <v>46217</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58768-2022</t>
        </is>
      </c>
      <c r="B891" t="inlineStr">
        <is>
          <t>avverkningsanmälan</t>
        </is>
      </c>
      <c r="C891" t="inlineStr">
        <is>
          <t>Föryngringsavverkning</t>
        </is>
      </c>
      <c r="D891" s="1" t="n">
        <v>44903</v>
      </c>
      <c r="E891" s="1" t="n">
        <v>46217</v>
      </c>
      <c r="F891" t="inlineStr">
        <is>
          <t>JÖNKÖPINGS LÄN</t>
        </is>
      </c>
      <c r="G891" t="inlineStr">
        <is>
          <t>VETLANDA</t>
        </is>
      </c>
      <c r="I891" t="n">
        <v>3</v>
      </c>
      <c r="J891" t="n">
        <v>0</v>
      </c>
      <c r="K891" t="n">
        <v>0</v>
      </c>
      <c r="L891" t="n">
        <v>0</v>
      </c>
      <c r="M891" t="n">
        <v>0</v>
      </c>
      <c r="N891" t="n">
        <v>0</v>
      </c>
      <c r="O891" t="n">
        <v>0</v>
      </c>
      <c r="P891" t="n">
        <v>0</v>
      </c>
      <c r="Q891" t="n">
        <v>0</v>
      </c>
      <c r="R891" t="n">
        <v>0</v>
      </c>
      <c r="S891" t="n">
        <v>0</v>
      </c>
      <c r="T891" t="n">
        <v>0</v>
      </c>
      <c r="U891" s="2" t="inlineStr"/>
    </row>
    <row r="892" ht="15" customHeight="1">
      <c r="A892" t="inlineStr">
        <is>
          <t>A 17210-2024</t>
        </is>
      </c>
      <c r="B892" t="inlineStr">
        <is>
          <t>avverkningsanmälan</t>
        </is>
      </c>
      <c r="C892" t="inlineStr">
        <is>
          <t>Avverkning för att bevara och utveckla /försöksver</t>
        </is>
      </c>
      <c r="D892" s="1" t="n">
        <v>45414</v>
      </c>
      <c r="E892" s="1" t="n">
        <v>46217</v>
      </c>
      <c r="F892" t="inlineStr">
        <is>
          <t>JÖNKÖPINGS LÄN</t>
        </is>
      </c>
      <c r="G892" t="inlineStr">
        <is>
          <t>VETLANDA</t>
        </is>
      </c>
      <c r="H892" t="inlineStr">
        <is>
          <t>Sveaskog</t>
        </is>
      </c>
      <c r="I892" t="n">
        <v>4.2</v>
      </c>
      <c r="J892" t="n">
        <v>0</v>
      </c>
      <c r="K892" t="n">
        <v>0</v>
      </c>
      <c r="L892" t="n">
        <v>0</v>
      </c>
      <c r="M892" t="n">
        <v>0</v>
      </c>
      <c r="N892" t="n">
        <v>0</v>
      </c>
      <c r="O892" t="n">
        <v>0</v>
      </c>
      <c r="P892" t="n">
        <v>0</v>
      </c>
      <c r="Q892" t="n">
        <v>0</v>
      </c>
      <c r="R892" t="n">
        <v>0</v>
      </c>
      <c r="S892" t="n">
        <v>0</v>
      </c>
      <c r="T892" t="n">
        <v>0</v>
      </c>
      <c r="U892" s="2" t="inlineStr"/>
    </row>
    <row r="893" ht="15" customHeight="1">
      <c r="A893" t="inlineStr">
        <is>
          <t>A 17234-2024</t>
        </is>
      </c>
      <c r="B893" t="inlineStr">
        <is>
          <t>avverkningsanmälan</t>
        </is>
      </c>
      <c r="C893" t="inlineStr">
        <is>
          <t>Föryngringsavverkning</t>
        </is>
      </c>
      <c r="D893" s="1" t="n">
        <v>45414</v>
      </c>
      <c r="E893" s="1" t="n">
        <v>46217</v>
      </c>
      <c r="F893" t="inlineStr">
        <is>
          <t>JÖNKÖPINGS LÄN</t>
        </is>
      </c>
      <c r="G893" t="inlineStr">
        <is>
          <t>VETLANDA</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3956-2023</t>
        </is>
      </c>
      <c r="B894" t="inlineStr">
        <is>
          <t>avverkningsanmälan</t>
        </is>
      </c>
      <c r="C894" t="inlineStr">
        <is>
          <t>Föryngringsavverkning</t>
        </is>
      </c>
      <c r="D894" s="1" t="n">
        <v>44952</v>
      </c>
      <c r="E894" s="1" t="n">
        <v>46217</v>
      </c>
      <c r="F894" t="inlineStr">
        <is>
          <t>JÖNKÖPINGS LÄN</t>
        </is>
      </c>
      <c r="G894" t="inlineStr">
        <is>
          <t>VETLANDA</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7519-2022</t>
        </is>
      </c>
      <c r="B895" t="inlineStr">
        <is>
          <t>avverkningsanmälan</t>
        </is>
      </c>
      <c r="C895" t="inlineStr">
        <is>
          <t>Föryngringsavverkning</t>
        </is>
      </c>
      <c r="D895" s="1" t="n">
        <v>44607</v>
      </c>
      <c r="E895" s="1" t="n">
        <v>46217</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42439-2022</t>
        </is>
      </c>
      <c r="B896" t="inlineStr">
        <is>
          <t>avverkningsanmälan</t>
        </is>
      </c>
      <c r="C896" t="inlineStr">
        <is>
          <t>Föryngringsavverkning</t>
        </is>
      </c>
      <c r="D896" s="1" t="n">
        <v>44831</v>
      </c>
      <c r="E896" s="1" t="n">
        <v>46217</v>
      </c>
      <c r="F896" t="inlineStr">
        <is>
          <t>JÖNKÖPINGS LÄN</t>
        </is>
      </c>
      <c r="G896" t="inlineStr">
        <is>
          <t>VETLANDA</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16547-2024</t>
        </is>
      </c>
      <c r="B897" t="inlineStr">
        <is>
          <t>avverkningsanmälan</t>
        </is>
      </c>
      <c r="C897" t="inlineStr">
        <is>
          <t>Föryngringsavverkning</t>
        </is>
      </c>
      <c r="D897" s="1" t="n">
        <v>45408</v>
      </c>
      <c r="E897" s="1" t="n">
        <v>46217</v>
      </c>
      <c r="F897" t="inlineStr">
        <is>
          <t>JÖNKÖPINGS LÄN</t>
        </is>
      </c>
      <c r="G897" t="inlineStr">
        <is>
          <t>VETLANDA</t>
        </is>
      </c>
      <c r="I897" t="n">
        <v>1.8</v>
      </c>
      <c r="J897" t="n">
        <v>0</v>
      </c>
      <c r="K897" t="n">
        <v>0</v>
      </c>
      <c r="L897" t="n">
        <v>0</v>
      </c>
      <c r="M897" t="n">
        <v>0</v>
      </c>
      <c r="N897" t="n">
        <v>0</v>
      </c>
      <c r="O897" t="n">
        <v>0</v>
      </c>
      <c r="P897" t="n">
        <v>0</v>
      </c>
      <c r="Q897" t="n">
        <v>0</v>
      </c>
      <c r="R897" t="n">
        <v>0</v>
      </c>
      <c r="S897" t="n">
        <v>0</v>
      </c>
      <c r="T897" t="n">
        <v>0</v>
      </c>
      <c r="U897" s="2" t="inlineStr"/>
    </row>
    <row r="898" ht="15" customHeight="1">
      <c r="A898" t="inlineStr">
        <is>
          <t>A 53796-2022</t>
        </is>
      </c>
      <c r="B898" t="inlineStr">
        <is>
          <t>avverkningsanmälan</t>
        </is>
      </c>
      <c r="C898" t="inlineStr">
        <is>
          <t>Föryngringsavverkning</t>
        </is>
      </c>
      <c r="D898" s="1" t="n">
        <v>44880</v>
      </c>
      <c r="E898" s="1" t="n">
        <v>46217</v>
      </c>
      <c r="F898" t="inlineStr">
        <is>
          <t>JÖNKÖPINGS LÄN</t>
        </is>
      </c>
      <c r="G898" t="inlineStr">
        <is>
          <t>VETLANDA</t>
        </is>
      </c>
      <c r="I898" t="n">
        <v>1.4</v>
      </c>
      <c r="J898" t="n">
        <v>0</v>
      </c>
      <c r="K898" t="n">
        <v>0</v>
      </c>
      <c r="L898" t="n">
        <v>0</v>
      </c>
      <c r="M898" t="n">
        <v>0</v>
      </c>
      <c r="N898" t="n">
        <v>0</v>
      </c>
      <c r="O898" t="n">
        <v>0</v>
      </c>
      <c r="P898" t="n">
        <v>0</v>
      </c>
      <c r="Q898" t="n">
        <v>0</v>
      </c>
      <c r="R898" t="n">
        <v>0</v>
      </c>
      <c r="S898" t="n">
        <v>0</v>
      </c>
      <c r="T898" t="n">
        <v>0</v>
      </c>
      <c r="U898" s="2" t="inlineStr"/>
    </row>
    <row r="899" ht="15" customHeight="1">
      <c r="A899" t="inlineStr">
        <is>
          <t>A 12201-2023</t>
        </is>
      </c>
      <c r="B899" t="inlineStr">
        <is>
          <t>avverkningsanmälan</t>
        </is>
      </c>
      <c r="C899" t="inlineStr">
        <is>
          <t>Föryngringsavverkning</t>
        </is>
      </c>
      <c r="D899" s="1" t="n">
        <v>44998</v>
      </c>
      <c r="E899" s="1" t="n">
        <v>46217</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4706-2022</t>
        </is>
      </c>
      <c r="B900" t="inlineStr">
        <is>
          <t>avverkningsanmälan</t>
        </is>
      </c>
      <c r="C900" t="inlineStr">
        <is>
          <t>Föryngringsavverkning</t>
        </is>
      </c>
      <c r="D900" s="1" t="n">
        <v>44592</v>
      </c>
      <c r="E900" s="1" t="n">
        <v>46217</v>
      </c>
      <c r="F900" t="inlineStr">
        <is>
          <t>JÖNKÖPINGS LÄN</t>
        </is>
      </c>
      <c r="G900" t="inlineStr">
        <is>
          <t>VETLANDA</t>
        </is>
      </c>
      <c r="I900" t="n">
        <v>5.1</v>
      </c>
      <c r="J900" t="n">
        <v>0</v>
      </c>
      <c r="K900" t="n">
        <v>0</v>
      </c>
      <c r="L900" t="n">
        <v>0</v>
      </c>
      <c r="M900" t="n">
        <v>0</v>
      </c>
      <c r="N900" t="n">
        <v>0</v>
      </c>
      <c r="O900" t="n">
        <v>0</v>
      </c>
      <c r="P900" t="n">
        <v>0</v>
      </c>
      <c r="Q900" t="n">
        <v>0</v>
      </c>
      <c r="R900" t="n">
        <v>0</v>
      </c>
      <c r="S900" t="n">
        <v>0</v>
      </c>
      <c r="T900" t="n">
        <v>0</v>
      </c>
      <c r="U900" s="2" t="inlineStr"/>
    </row>
    <row r="901" ht="15" customHeight="1">
      <c r="A901" t="inlineStr">
        <is>
          <t>A 1103-2024</t>
        </is>
      </c>
      <c r="B901" t="inlineStr">
        <is>
          <t>avverkningsanmälan</t>
        </is>
      </c>
      <c r="C901" t="inlineStr">
        <is>
          <t>Föryngringsavverkning</t>
        </is>
      </c>
      <c r="D901" s="1" t="n">
        <v>45302</v>
      </c>
      <c r="E901" s="1" t="n">
        <v>46217</v>
      </c>
      <c r="F901" t="inlineStr">
        <is>
          <t>JÖNKÖPINGS LÄN</t>
        </is>
      </c>
      <c r="G901" t="inlineStr">
        <is>
          <t>VETLANDA</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3548-2023</t>
        </is>
      </c>
      <c r="B902" t="inlineStr">
        <is>
          <t>avverkningsanmälan</t>
        </is>
      </c>
      <c r="C902" t="inlineStr">
        <is>
          <t>Föryngringsavverkning</t>
        </is>
      </c>
      <c r="D902" s="1" t="n">
        <v>44946</v>
      </c>
      <c r="E902" s="1" t="n">
        <v>46217</v>
      </c>
      <c r="F902" t="inlineStr">
        <is>
          <t>JÖNKÖPINGS LÄN</t>
        </is>
      </c>
      <c r="G902" t="inlineStr">
        <is>
          <t>VETLANDA</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17847-2022</t>
        </is>
      </c>
      <c r="B903" t="inlineStr">
        <is>
          <t>avverkningsanmälan</t>
        </is>
      </c>
      <c r="C903" t="inlineStr">
        <is>
          <t>Föryngringsavverkning</t>
        </is>
      </c>
      <c r="D903" s="1" t="n">
        <v>44683</v>
      </c>
      <c r="E903" s="1" t="n">
        <v>46217</v>
      </c>
      <c r="F903" t="inlineStr">
        <is>
          <t>JÖNKÖPINGS LÄN</t>
        </is>
      </c>
      <c r="G903" t="inlineStr">
        <is>
          <t>VETLANDA</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A 21290-2024</t>
        </is>
      </c>
      <c r="B904" t="inlineStr">
        <is>
          <t>avverkningsanmälan</t>
        </is>
      </c>
      <c r="C904" t="inlineStr">
        <is>
          <t>Föryngringsavverkning</t>
        </is>
      </c>
      <c r="D904" s="1" t="n">
        <v>45440</v>
      </c>
      <c r="E904" s="1" t="n">
        <v>46217</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50285-2021</t>
        </is>
      </c>
      <c r="B905" t="inlineStr">
        <is>
          <t>avverkningsanmälan</t>
        </is>
      </c>
      <c r="C905" t="inlineStr">
        <is>
          <t>Föryngringsavverkning</t>
        </is>
      </c>
      <c r="D905" s="1" t="n">
        <v>44459</v>
      </c>
      <c r="E905" s="1" t="n">
        <v>46217</v>
      </c>
      <c r="F905" t="inlineStr">
        <is>
          <t>JÖNKÖPINGS LÄN</t>
        </is>
      </c>
      <c r="G905" t="inlineStr">
        <is>
          <t>VETLANDA</t>
        </is>
      </c>
      <c r="I905" t="n">
        <v>0.2</v>
      </c>
      <c r="J905" t="n">
        <v>0</v>
      </c>
      <c r="K905" t="n">
        <v>0</v>
      </c>
      <c r="L905" t="n">
        <v>0</v>
      </c>
      <c r="M905" t="n">
        <v>0</v>
      </c>
      <c r="N905" t="n">
        <v>0</v>
      </c>
      <c r="O905" t="n">
        <v>0</v>
      </c>
      <c r="P905" t="n">
        <v>0</v>
      </c>
      <c r="Q905" t="n">
        <v>0</v>
      </c>
      <c r="R905" t="n">
        <v>0</v>
      </c>
      <c r="S905" t="n">
        <v>0</v>
      </c>
      <c r="T905" t="n">
        <v>0</v>
      </c>
      <c r="U905" s="2" t="inlineStr"/>
    </row>
    <row r="906" ht="15" customHeight="1">
      <c r="A906" t="inlineStr">
        <is>
          <t>A 17124-2022</t>
        </is>
      </c>
      <c r="B906" t="inlineStr">
        <is>
          <t>avverkningsanmälan</t>
        </is>
      </c>
      <c r="C906" t="inlineStr">
        <is>
          <t>Föryngringsavverkning</t>
        </is>
      </c>
      <c r="D906" s="1" t="n">
        <v>44677</v>
      </c>
      <c r="E906" s="1" t="n">
        <v>46217</v>
      </c>
      <c r="F906" t="inlineStr">
        <is>
          <t>JÖNKÖPINGS LÄN</t>
        </is>
      </c>
      <c r="G906" t="inlineStr">
        <is>
          <t>VETLANDA</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2465-2025</t>
        </is>
      </c>
      <c r="B907" t="inlineStr">
        <is>
          <t>avverkningsanmälan</t>
        </is>
      </c>
      <c r="C907" t="inlineStr">
        <is>
          <t>Föryngringsavverkning</t>
        </is>
      </c>
      <c r="D907" s="1" t="n">
        <v>45674</v>
      </c>
      <c r="E907" s="1" t="n">
        <v>46217</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8204-2024</t>
        </is>
      </c>
      <c r="B908" t="inlineStr">
        <is>
          <t>avverkningsanmälan</t>
        </is>
      </c>
      <c r="C908" t="inlineStr">
        <is>
          <t>Föryngringsavverkning</t>
        </is>
      </c>
      <c r="D908" s="1" t="n">
        <v>45351</v>
      </c>
      <c r="E908" s="1" t="n">
        <v>46217</v>
      </c>
      <c r="F908" t="inlineStr">
        <is>
          <t>JÖNKÖPINGS LÄN</t>
        </is>
      </c>
      <c r="G908" t="inlineStr">
        <is>
          <t>VETLANDA</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9889-2024</t>
        </is>
      </c>
      <c r="B909" t="inlineStr">
        <is>
          <t>avverkningsanmälan</t>
        </is>
      </c>
      <c r="C909" t="inlineStr">
        <is>
          <t>Föryngringsavverkning</t>
        </is>
      </c>
      <c r="D909" s="1" t="n">
        <v>45363</v>
      </c>
      <c r="E909" s="1" t="n">
        <v>46217</v>
      </c>
      <c r="F909" t="inlineStr">
        <is>
          <t>JÖNKÖPINGS LÄN</t>
        </is>
      </c>
      <c r="G909" t="inlineStr">
        <is>
          <t>VETLANDA</t>
        </is>
      </c>
      <c r="H909" t="inlineStr">
        <is>
          <t>Kyrkan</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9892-2024</t>
        </is>
      </c>
      <c r="B910" t="inlineStr">
        <is>
          <t>avverkningsanmälan</t>
        </is>
      </c>
      <c r="C910" t="inlineStr">
        <is>
          <t>Föryngringsavverkning</t>
        </is>
      </c>
      <c r="D910" s="1" t="n">
        <v>45363</v>
      </c>
      <c r="E910" s="1" t="n">
        <v>46217</v>
      </c>
      <c r="F910" t="inlineStr">
        <is>
          <t>JÖNKÖPINGS LÄN</t>
        </is>
      </c>
      <c r="G910" t="inlineStr">
        <is>
          <t>VETLANDA</t>
        </is>
      </c>
      <c r="H910" t="inlineStr">
        <is>
          <t>Kyrkan</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61666-2022</t>
        </is>
      </c>
      <c r="B911" t="inlineStr">
        <is>
          <t>avverkningsanmälan</t>
        </is>
      </c>
      <c r="C911" t="inlineStr">
        <is>
          <t>Föryngringsavverkning</t>
        </is>
      </c>
      <c r="D911" s="1" t="n">
        <v>44917</v>
      </c>
      <c r="E911" s="1" t="n">
        <v>46217</v>
      </c>
      <c r="F911" t="inlineStr">
        <is>
          <t>JÖNKÖPINGS LÄN</t>
        </is>
      </c>
      <c r="G911" t="inlineStr">
        <is>
          <t>VETLANDA</t>
        </is>
      </c>
      <c r="I911" t="n">
        <v>5.8</v>
      </c>
      <c r="J911" t="n">
        <v>0</v>
      </c>
      <c r="K911" t="n">
        <v>0</v>
      </c>
      <c r="L911" t="n">
        <v>0</v>
      </c>
      <c r="M911" t="n">
        <v>0</v>
      </c>
      <c r="N911" t="n">
        <v>0</v>
      </c>
      <c r="O911" t="n">
        <v>0</v>
      </c>
      <c r="P911" t="n">
        <v>0</v>
      </c>
      <c r="Q911" t="n">
        <v>0</v>
      </c>
      <c r="R911" t="n">
        <v>0</v>
      </c>
      <c r="S911" t="n">
        <v>0</v>
      </c>
      <c r="T911" t="n">
        <v>0</v>
      </c>
      <c r="U911" s="2" t="inlineStr"/>
    </row>
    <row r="912" ht="15" customHeight="1">
      <c r="A912" t="inlineStr">
        <is>
          <t>A 28361-2022</t>
        </is>
      </c>
      <c r="B912" t="inlineStr">
        <is>
          <t>avverkningsanmälan</t>
        </is>
      </c>
      <c r="C912" t="inlineStr">
        <is>
          <t>Föryngringsavverkning</t>
        </is>
      </c>
      <c r="D912" s="1" t="n">
        <v>44747</v>
      </c>
      <c r="E912" s="1" t="n">
        <v>46217</v>
      </c>
      <c r="F912" t="inlineStr">
        <is>
          <t>JÖNKÖPINGS LÄN</t>
        </is>
      </c>
      <c r="G912" t="inlineStr">
        <is>
          <t>VETLANDA</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9851-2024</t>
        </is>
      </c>
      <c r="B913" t="inlineStr">
        <is>
          <t>avverkningsanmälan</t>
        </is>
      </c>
      <c r="C913" t="inlineStr">
        <is>
          <t>Föryngringsavverkning</t>
        </is>
      </c>
      <c r="D913" s="1" t="n">
        <v>45363</v>
      </c>
      <c r="E913" s="1" t="n">
        <v>46217</v>
      </c>
      <c r="F913" t="inlineStr">
        <is>
          <t>JÖNKÖPINGS LÄN</t>
        </is>
      </c>
      <c r="G913" t="inlineStr">
        <is>
          <t>VETLANDA</t>
        </is>
      </c>
      <c r="H913" t="inlineStr">
        <is>
          <t>Kyrkan</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9868-2024</t>
        </is>
      </c>
      <c r="B914" t="inlineStr">
        <is>
          <t>avverkningsanmälan</t>
        </is>
      </c>
      <c r="C914" t="inlineStr">
        <is>
          <t>Föryngringsavverkning</t>
        </is>
      </c>
      <c r="D914" s="1" t="n">
        <v>45363</v>
      </c>
      <c r="E914" s="1" t="n">
        <v>46217</v>
      </c>
      <c r="F914" t="inlineStr">
        <is>
          <t>JÖNKÖPINGS LÄN</t>
        </is>
      </c>
      <c r="G914" t="inlineStr">
        <is>
          <t>VETLANDA</t>
        </is>
      </c>
      <c r="H914" t="inlineStr">
        <is>
          <t>Kyrkan</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46133-2023</t>
        </is>
      </c>
      <c r="B915" t="inlineStr">
        <is>
          <t>avverkningsanmälan</t>
        </is>
      </c>
      <c r="C915" t="inlineStr">
        <is>
          <t>Föryngringsavverkning</t>
        </is>
      </c>
      <c r="D915" s="1" t="n">
        <v>45190</v>
      </c>
      <c r="E915" s="1" t="n">
        <v>46217</v>
      </c>
      <c r="F915" t="inlineStr">
        <is>
          <t>JÖNKÖPINGS LÄN</t>
        </is>
      </c>
      <c r="G915" t="inlineStr">
        <is>
          <t>VETLANDA</t>
        </is>
      </c>
      <c r="I915" t="n">
        <v>7.1</v>
      </c>
      <c r="J915" t="n">
        <v>0</v>
      </c>
      <c r="K915" t="n">
        <v>0</v>
      </c>
      <c r="L915" t="n">
        <v>0</v>
      </c>
      <c r="M915" t="n">
        <v>0</v>
      </c>
      <c r="N915" t="n">
        <v>0</v>
      </c>
      <c r="O915" t="n">
        <v>0</v>
      </c>
      <c r="P915" t="n">
        <v>0</v>
      </c>
      <c r="Q915" t="n">
        <v>0</v>
      </c>
      <c r="R915" t="n">
        <v>0</v>
      </c>
      <c r="S915" t="n">
        <v>0</v>
      </c>
      <c r="T915" t="n">
        <v>0</v>
      </c>
      <c r="U915" s="2" t="inlineStr"/>
    </row>
    <row r="916" ht="15" customHeight="1">
      <c r="A916" t="inlineStr">
        <is>
          <t>A 21458-2024</t>
        </is>
      </c>
      <c r="B916" t="inlineStr">
        <is>
          <t>avverkningsanmälan</t>
        </is>
      </c>
      <c r="C916" t="inlineStr">
        <is>
          <t>Föryngringsavverkning</t>
        </is>
      </c>
      <c r="D916" s="1" t="n">
        <v>45441</v>
      </c>
      <c r="E916" s="1" t="n">
        <v>46217</v>
      </c>
      <c r="F916" t="inlineStr">
        <is>
          <t>JÖNKÖPINGS LÄN</t>
        </is>
      </c>
      <c r="G916" t="inlineStr">
        <is>
          <t>VETLANDA</t>
        </is>
      </c>
      <c r="I916" t="n">
        <v>1</v>
      </c>
      <c r="J916" t="n">
        <v>0</v>
      </c>
      <c r="K916" t="n">
        <v>0</v>
      </c>
      <c r="L916" t="n">
        <v>0</v>
      </c>
      <c r="M916" t="n">
        <v>0</v>
      </c>
      <c r="N916" t="n">
        <v>0</v>
      </c>
      <c r="O916" t="n">
        <v>0</v>
      </c>
      <c r="P916" t="n">
        <v>0</v>
      </c>
      <c r="Q916" t="n">
        <v>0</v>
      </c>
      <c r="R916" t="n">
        <v>0</v>
      </c>
      <c r="S916" t="n">
        <v>0</v>
      </c>
      <c r="T916" t="n">
        <v>0</v>
      </c>
      <c r="U916" s="2" t="inlineStr"/>
    </row>
    <row r="917" ht="15" customHeight="1">
      <c r="A917" t="inlineStr">
        <is>
          <t>A 7626-2023</t>
        </is>
      </c>
      <c r="B917" t="inlineStr">
        <is>
          <t>avverkningsanmälan</t>
        </is>
      </c>
      <c r="C917" t="inlineStr">
        <is>
          <t>Föryngringsavverkning</t>
        </is>
      </c>
      <c r="D917" s="1" t="n">
        <v>44972</v>
      </c>
      <c r="E917" s="1" t="n">
        <v>46217</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58345-2021</t>
        </is>
      </c>
      <c r="B918" t="inlineStr">
        <is>
          <t>avverkningsanmälan</t>
        </is>
      </c>
      <c r="C918" t="inlineStr">
        <is>
          <t>Föryngringsavverkning</t>
        </is>
      </c>
      <c r="D918" s="1" t="n">
        <v>44488</v>
      </c>
      <c r="E918" s="1" t="n">
        <v>46217</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3955-2023</t>
        </is>
      </c>
      <c r="B919" t="inlineStr">
        <is>
          <t>avverkningsanmälan</t>
        </is>
      </c>
      <c r="C919" t="inlineStr">
        <is>
          <t>Föryngringsavverkning</t>
        </is>
      </c>
      <c r="D919" s="1" t="n">
        <v>44952</v>
      </c>
      <c r="E919" s="1" t="n">
        <v>46217</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9779-2023</t>
        </is>
      </c>
      <c r="B920" t="inlineStr">
        <is>
          <t>avverkningsanmälan</t>
        </is>
      </c>
      <c r="C920" t="inlineStr">
        <is>
          <t>Föryngringsavverkning</t>
        </is>
      </c>
      <c r="D920" s="1" t="n">
        <v>44984</v>
      </c>
      <c r="E920" s="1" t="n">
        <v>46217</v>
      </c>
      <c r="F920" t="inlineStr">
        <is>
          <t>JÖNKÖPINGS LÄN</t>
        </is>
      </c>
      <c r="G920" t="inlineStr">
        <is>
          <t>VETLANDA</t>
        </is>
      </c>
      <c r="I920" t="n">
        <v>1.9</v>
      </c>
      <c r="J920" t="n">
        <v>0</v>
      </c>
      <c r="K920" t="n">
        <v>0</v>
      </c>
      <c r="L920" t="n">
        <v>0</v>
      </c>
      <c r="M920" t="n">
        <v>0</v>
      </c>
      <c r="N920" t="n">
        <v>0</v>
      </c>
      <c r="O920" t="n">
        <v>0</v>
      </c>
      <c r="P920" t="n">
        <v>0</v>
      </c>
      <c r="Q920" t="n">
        <v>0</v>
      </c>
      <c r="R920" t="n">
        <v>0</v>
      </c>
      <c r="S920" t="n">
        <v>0</v>
      </c>
      <c r="T920" t="n">
        <v>0</v>
      </c>
      <c r="U920" s="2" t="inlineStr"/>
    </row>
    <row r="921" ht="15" customHeight="1">
      <c r="A921" t="inlineStr">
        <is>
          <t>A 36440-2023</t>
        </is>
      </c>
      <c r="B921" t="inlineStr">
        <is>
          <t>avverkningsanmälan</t>
        </is>
      </c>
      <c r="C921" t="inlineStr">
        <is>
          <t>Föryngringsavverkning</t>
        </is>
      </c>
      <c r="D921" s="1" t="n">
        <v>45152</v>
      </c>
      <c r="E921" s="1" t="n">
        <v>46217</v>
      </c>
      <c r="F921" t="inlineStr">
        <is>
          <t>JÖNKÖPINGS LÄN</t>
        </is>
      </c>
      <c r="G921" t="inlineStr">
        <is>
          <t>VETLANDA</t>
        </is>
      </c>
      <c r="I921" t="n">
        <v>11.2</v>
      </c>
      <c r="J921" t="n">
        <v>0</v>
      </c>
      <c r="K921" t="n">
        <v>0</v>
      </c>
      <c r="L921" t="n">
        <v>0</v>
      </c>
      <c r="M921" t="n">
        <v>0</v>
      </c>
      <c r="N921" t="n">
        <v>0</v>
      </c>
      <c r="O921" t="n">
        <v>0</v>
      </c>
      <c r="P921" t="n">
        <v>0</v>
      </c>
      <c r="Q921" t="n">
        <v>0</v>
      </c>
      <c r="R921" t="n">
        <v>0</v>
      </c>
      <c r="S921" t="n">
        <v>0</v>
      </c>
      <c r="T921" t="n">
        <v>0</v>
      </c>
      <c r="U921" s="2" t="inlineStr"/>
    </row>
    <row r="922" ht="15" customHeight="1">
      <c r="A922" t="inlineStr">
        <is>
          <t>A 56547-2021</t>
        </is>
      </c>
      <c r="B922" t="inlineStr">
        <is>
          <t>avverkningsanmälan</t>
        </is>
      </c>
      <c r="C922" t="inlineStr">
        <is>
          <t>Föryngringsavverkning</t>
        </is>
      </c>
      <c r="D922" s="1" t="n">
        <v>44480</v>
      </c>
      <c r="E922" s="1" t="n">
        <v>46217</v>
      </c>
      <c r="F922" t="inlineStr">
        <is>
          <t>JÖNKÖPINGS LÄN</t>
        </is>
      </c>
      <c r="G922" t="inlineStr">
        <is>
          <t>VETLANDA</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14674-2022</t>
        </is>
      </c>
      <c r="B923" t="inlineStr">
        <is>
          <t>avverkningsanmälan</t>
        </is>
      </c>
      <c r="C923" t="inlineStr">
        <is>
          <t>Föryngringsavverkning</t>
        </is>
      </c>
      <c r="D923" s="1" t="n">
        <v>44655</v>
      </c>
      <c r="E923" s="1" t="n">
        <v>46217</v>
      </c>
      <c r="F923" t="inlineStr">
        <is>
          <t>JÖNKÖPINGS LÄN</t>
        </is>
      </c>
      <c r="G923" t="inlineStr">
        <is>
          <t>VETLANDA</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20193-2023</t>
        </is>
      </c>
      <c r="B924" t="inlineStr">
        <is>
          <t>avverkningsanmälan</t>
        </is>
      </c>
      <c r="C924" t="inlineStr">
        <is>
          <t>Föryngringsavverkning</t>
        </is>
      </c>
      <c r="D924" s="1" t="n">
        <v>45055</v>
      </c>
      <c r="E924" s="1" t="n">
        <v>46217</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60820-2021</t>
        </is>
      </c>
      <c r="B925" t="inlineStr">
        <is>
          <t>avverkningsanmälan</t>
        </is>
      </c>
      <c r="C925" t="inlineStr">
        <is>
          <t>Föryngringsavverkning</t>
        </is>
      </c>
      <c r="D925" s="1" t="n">
        <v>44495</v>
      </c>
      <c r="E925" s="1" t="n">
        <v>46217</v>
      </c>
      <c r="F925" t="inlineStr">
        <is>
          <t>JÖNKÖPINGS LÄN</t>
        </is>
      </c>
      <c r="G925" t="inlineStr">
        <is>
          <t>VETLANDA</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52201-2023</t>
        </is>
      </c>
      <c r="B926" t="inlineStr">
        <is>
          <t>avverkningsanmälan</t>
        </is>
      </c>
      <c r="C926" t="inlineStr">
        <is>
          <t>Föryngringsavverkning</t>
        </is>
      </c>
      <c r="D926" s="1" t="n">
        <v>45224</v>
      </c>
      <c r="E926" s="1" t="n">
        <v>46217</v>
      </c>
      <c r="F926" t="inlineStr">
        <is>
          <t>JÖNKÖPINGS LÄN</t>
        </is>
      </c>
      <c r="G926" t="inlineStr">
        <is>
          <t>VETLANDA</t>
        </is>
      </c>
      <c r="H926" t="inlineStr">
        <is>
          <t>Sveaskog</t>
        </is>
      </c>
      <c r="I926" t="n">
        <v>1.8</v>
      </c>
      <c r="J926" t="n">
        <v>0</v>
      </c>
      <c r="K926" t="n">
        <v>0</v>
      </c>
      <c r="L926" t="n">
        <v>0</v>
      </c>
      <c r="M926" t="n">
        <v>0</v>
      </c>
      <c r="N926" t="n">
        <v>0</v>
      </c>
      <c r="O926" t="n">
        <v>0</v>
      </c>
      <c r="P926" t="n">
        <v>0</v>
      </c>
      <c r="Q926" t="n">
        <v>0</v>
      </c>
      <c r="R926" t="n">
        <v>0</v>
      </c>
      <c r="S926" t="n">
        <v>0</v>
      </c>
      <c r="T926" t="n">
        <v>0</v>
      </c>
      <c r="U926" s="2" t="inlineStr"/>
    </row>
    <row r="927" ht="15" customHeight="1">
      <c r="A927" t="inlineStr">
        <is>
          <t>A 27446-2023</t>
        </is>
      </c>
      <c r="B927" t="inlineStr">
        <is>
          <t>avverkningsanmälan</t>
        </is>
      </c>
      <c r="C927" t="inlineStr">
        <is>
          <t>Föryngringsavverkning</t>
        </is>
      </c>
      <c r="D927" s="1" t="n">
        <v>45097</v>
      </c>
      <c r="E927" s="1" t="n">
        <v>46217</v>
      </c>
      <c r="F927" t="inlineStr">
        <is>
          <t>JÖNKÖPINGS LÄN</t>
        </is>
      </c>
      <c r="G927" t="inlineStr">
        <is>
          <t>VETLANDA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22177-2023</t>
        </is>
      </c>
      <c r="B928" t="inlineStr">
        <is>
          <t>avverkningsanmälan</t>
        </is>
      </c>
      <c r="C928" t="inlineStr">
        <is>
          <t>Föryngringsavverkning</t>
        </is>
      </c>
      <c r="D928" s="1" t="n">
        <v>45069</v>
      </c>
      <c r="E928" s="1" t="n">
        <v>46217</v>
      </c>
      <c r="F928" t="inlineStr">
        <is>
          <t>JÖNKÖPINGS LÄN</t>
        </is>
      </c>
      <c r="G928" t="inlineStr">
        <is>
          <t>VETLANDA</t>
        </is>
      </c>
      <c r="I928" t="n">
        <v>1.7</v>
      </c>
      <c r="J928" t="n">
        <v>0</v>
      </c>
      <c r="K928" t="n">
        <v>0</v>
      </c>
      <c r="L928" t="n">
        <v>0</v>
      </c>
      <c r="M928" t="n">
        <v>0</v>
      </c>
      <c r="N928" t="n">
        <v>0</v>
      </c>
      <c r="O928" t="n">
        <v>0</v>
      </c>
      <c r="P928" t="n">
        <v>0</v>
      </c>
      <c r="Q928" t="n">
        <v>0</v>
      </c>
      <c r="R928" t="n">
        <v>0</v>
      </c>
      <c r="S928" t="n">
        <v>0</v>
      </c>
      <c r="T928" t="n">
        <v>0</v>
      </c>
      <c r="U928" s="2" t="inlineStr"/>
    </row>
    <row r="929" ht="15" customHeight="1">
      <c r="A929" t="inlineStr">
        <is>
          <t>A 1444-2025</t>
        </is>
      </c>
      <c r="B929" t="inlineStr">
        <is>
          <t>avverkningsanmälan</t>
        </is>
      </c>
      <c r="C929" t="inlineStr">
        <is>
          <t>Föryngringsavverkning</t>
        </is>
      </c>
      <c r="D929" s="1" t="n">
        <v>45669</v>
      </c>
      <c r="E929" s="1" t="n">
        <v>46217</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s="2" t="inlineStr"/>
    </row>
    <row r="930" ht="15" customHeight="1">
      <c r="A930" t="inlineStr">
        <is>
          <t>A 29684-2023</t>
        </is>
      </c>
      <c r="B930" t="inlineStr">
        <is>
          <t>avverkningsanmälan</t>
        </is>
      </c>
      <c r="C930" t="inlineStr">
        <is>
          <t>Föryngringsavverkning</t>
        </is>
      </c>
      <c r="D930" s="1" t="n">
        <v>45107</v>
      </c>
      <c r="E930" s="1" t="n">
        <v>46217</v>
      </c>
      <c r="F930" t="inlineStr">
        <is>
          <t>JÖNKÖPINGS LÄN</t>
        </is>
      </c>
      <c r="G930" t="inlineStr">
        <is>
          <t>VETLANDA</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54002-2021</t>
        </is>
      </c>
      <c r="B931" t="inlineStr">
        <is>
          <t>avverkningsanmälan</t>
        </is>
      </c>
      <c r="C931" t="inlineStr">
        <is>
          <t>Föryngringsavverkning</t>
        </is>
      </c>
      <c r="D931" s="1" t="n">
        <v>44470</v>
      </c>
      <c r="E931" s="1" t="n">
        <v>46217</v>
      </c>
      <c r="F931" t="inlineStr">
        <is>
          <t>JÖNKÖPINGS LÄN</t>
        </is>
      </c>
      <c r="G931" t="inlineStr">
        <is>
          <t>VETLANDA</t>
        </is>
      </c>
      <c r="I931" t="n">
        <v>1.5</v>
      </c>
      <c r="J931" t="n">
        <v>0</v>
      </c>
      <c r="K931" t="n">
        <v>0</v>
      </c>
      <c r="L931" t="n">
        <v>0</v>
      </c>
      <c r="M931" t="n">
        <v>0</v>
      </c>
      <c r="N931" t="n">
        <v>0</v>
      </c>
      <c r="O931" t="n">
        <v>0</v>
      </c>
      <c r="P931" t="n">
        <v>0</v>
      </c>
      <c r="Q931" t="n">
        <v>0</v>
      </c>
      <c r="R931" t="n">
        <v>0</v>
      </c>
      <c r="S931" t="n">
        <v>0</v>
      </c>
      <c r="T931" t="n">
        <v>0</v>
      </c>
      <c r="U931" s="2" t="inlineStr"/>
    </row>
    <row r="932" ht="15" customHeight="1">
      <c r="A932" t="inlineStr">
        <is>
          <t>A 52648-2023</t>
        </is>
      </c>
      <c r="B932" t="inlineStr">
        <is>
          <t>avverkningsanmälan</t>
        </is>
      </c>
      <c r="C932" t="inlineStr">
        <is>
          <t>Föryngringsavverkning</t>
        </is>
      </c>
      <c r="D932" s="1" t="n">
        <v>45219</v>
      </c>
      <c r="E932" s="1" t="n">
        <v>46217</v>
      </c>
      <c r="F932" t="inlineStr">
        <is>
          <t>JÖNKÖPINGS LÄN</t>
        </is>
      </c>
      <c r="G932" t="inlineStr">
        <is>
          <t>VETLANDA</t>
        </is>
      </c>
      <c r="I932" t="n">
        <v>1.4</v>
      </c>
      <c r="J932" t="n">
        <v>0</v>
      </c>
      <c r="K932" t="n">
        <v>0</v>
      </c>
      <c r="L932" t="n">
        <v>0</v>
      </c>
      <c r="M932" t="n">
        <v>0</v>
      </c>
      <c r="N932" t="n">
        <v>0</v>
      </c>
      <c r="O932" t="n">
        <v>0</v>
      </c>
      <c r="P932" t="n">
        <v>0</v>
      </c>
      <c r="Q932" t="n">
        <v>0</v>
      </c>
      <c r="R932" t="n">
        <v>0</v>
      </c>
      <c r="S932" t="n">
        <v>0</v>
      </c>
      <c r="T932" t="n">
        <v>0</v>
      </c>
      <c r="U932" s="2" t="inlineStr"/>
    </row>
    <row r="933" ht="15" customHeight="1">
      <c r="A933" t="inlineStr">
        <is>
          <t>A 53736-2024</t>
        </is>
      </c>
      <c r="B933" t="inlineStr">
        <is>
          <t>avverkningsanmälan</t>
        </is>
      </c>
      <c r="C933" t="inlineStr">
        <is>
          <t>Föryngringsavverkning</t>
        </is>
      </c>
      <c r="D933" s="1" t="n">
        <v>45615</v>
      </c>
      <c r="E933" s="1" t="n">
        <v>46217</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43158-2023</t>
        </is>
      </c>
      <c r="B934" t="inlineStr">
        <is>
          <t>avverkningsanmälan</t>
        </is>
      </c>
      <c r="C934" t="inlineStr">
        <is>
          <t>Föryngringsavverkning</t>
        </is>
      </c>
      <c r="D934" s="1" t="n">
        <v>45183</v>
      </c>
      <c r="E934" s="1" t="n">
        <v>46217</v>
      </c>
      <c r="F934" t="inlineStr">
        <is>
          <t>JÖNKÖPINGS LÄN</t>
        </is>
      </c>
      <c r="G934" t="inlineStr">
        <is>
          <t>VETLANDA</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10186-2024</t>
        </is>
      </c>
      <c r="B935" t="inlineStr">
        <is>
          <t>avverkningsanmälan</t>
        </is>
      </c>
      <c r="C935" t="inlineStr">
        <is>
          <t>Föryngringsavverkning</t>
        </is>
      </c>
      <c r="D935" s="1" t="n">
        <v>45364</v>
      </c>
      <c r="E935" s="1" t="n">
        <v>46217</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s="2" t="inlineStr"/>
    </row>
    <row r="936" ht="15" customHeight="1">
      <c r="A936" t="inlineStr">
        <is>
          <t>A 5937-2023</t>
        </is>
      </c>
      <c r="B936" t="inlineStr">
        <is>
          <t>avverkningsanmälan</t>
        </is>
      </c>
      <c r="C936" t="inlineStr">
        <is>
          <t>Föryngringsavverkning</t>
        </is>
      </c>
      <c r="D936" s="1" t="n">
        <v>44963</v>
      </c>
      <c r="E936" s="1" t="n">
        <v>46217</v>
      </c>
      <c r="F936" t="inlineStr">
        <is>
          <t>JÖNKÖPINGS LÄN</t>
        </is>
      </c>
      <c r="G936" t="inlineStr">
        <is>
          <t>VETLANDA</t>
        </is>
      </c>
      <c r="I936" t="n">
        <v>2.8</v>
      </c>
      <c r="J936" t="n">
        <v>0</v>
      </c>
      <c r="K936" t="n">
        <v>0</v>
      </c>
      <c r="L936" t="n">
        <v>0</v>
      </c>
      <c r="M936" t="n">
        <v>0</v>
      </c>
      <c r="N936" t="n">
        <v>0</v>
      </c>
      <c r="O936" t="n">
        <v>0</v>
      </c>
      <c r="P936" t="n">
        <v>0</v>
      </c>
      <c r="Q936" t="n">
        <v>0</v>
      </c>
      <c r="R936" t="n">
        <v>0</v>
      </c>
      <c r="S936" t="n">
        <v>0</v>
      </c>
      <c r="T936" t="n">
        <v>0</v>
      </c>
      <c r="U936" s="2" t="inlineStr"/>
    </row>
    <row r="937" ht="15" customHeight="1">
      <c r="A937" t="inlineStr">
        <is>
          <t>A 34069-2023</t>
        </is>
      </c>
      <c r="B937" t="inlineStr">
        <is>
          <t>avverkningsanmälan</t>
        </is>
      </c>
      <c r="C937" t="inlineStr">
        <is>
          <t>Föryngringsavverkning</t>
        </is>
      </c>
      <c r="D937" s="1" t="n">
        <v>45135</v>
      </c>
      <c r="E937" s="1" t="n">
        <v>46217</v>
      </c>
      <c r="F937" t="inlineStr">
        <is>
          <t>JÖNKÖPINGS LÄN</t>
        </is>
      </c>
      <c r="G937" t="inlineStr">
        <is>
          <t>VETLANDA</t>
        </is>
      </c>
      <c r="I937" t="n">
        <v>5.3</v>
      </c>
      <c r="J937" t="n">
        <v>0</v>
      </c>
      <c r="K937" t="n">
        <v>0</v>
      </c>
      <c r="L937" t="n">
        <v>0</v>
      </c>
      <c r="M937" t="n">
        <v>0</v>
      </c>
      <c r="N937" t="n">
        <v>0</v>
      </c>
      <c r="O937" t="n">
        <v>0</v>
      </c>
      <c r="P937" t="n">
        <v>0</v>
      </c>
      <c r="Q937" t="n">
        <v>0</v>
      </c>
      <c r="R937" t="n">
        <v>0</v>
      </c>
      <c r="S937" t="n">
        <v>0</v>
      </c>
      <c r="T937" t="n">
        <v>0</v>
      </c>
      <c r="U937" s="2" t="inlineStr"/>
    </row>
    <row r="938" ht="15" customHeight="1">
      <c r="A938" t="inlineStr">
        <is>
          <t>A 51228-2023</t>
        </is>
      </c>
      <c r="B938" t="inlineStr">
        <is>
          <t>avverkningsanmälan</t>
        </is>
      </c>
      <c r="C938" t="inlineStr">
        <is>
          <t>Föryngringsavverkning</t>
        </is>
      </c>
      <c r="D938" s="1" t="n">
        <v>45219</v>
      </c>
      <c r="E938" s="1" t="n">
        <v>46217</v>
      </c>
      <c r="F938" t="inlineStr">
        <is>
          <t>JÖNKÖPINGS LÄN</t>
        </is>
      </c>
      <c r="G938" t="inlineStr">
        <is>
          <t>VETLANDA</t>
        </is>
      </c>
      <c r="H938" t="inlineStr">
        <is>
          <t>Sveaskog</t>
        </is>
      </c>
      <c r="I938" t="n">
        <v>1.6</v>
      </c>
      <c r="J938" t="n">
        <v>0</v>
      </c>
      <c r="K938" t="n">
        <v>0</v>
      </c>
      <c r="L938" t="n">
        <v>0</v>
      </c>
      <c r="M938" t="n">
        <v>0</v>
      </c>
      <c r="N938" t="n">
        <v>0</v>
      </c>
      <c r="O938" t="n">
        <v>0</v>
      </c>
      <c r="P938" t="n">
        <v>0</v>
      </c>
      <c r="Q938" t="n">
        <v>0</v>
      </c>
      <c r="R938" t="n">
        <v>0</v>
      </c>
      <c r="S938" t="n">
        <v>0</v>
      </c>
      <c r="T938" t="n">
        <v>0</v>
      </c>
      <c r="U938" s="2" t="inlineStr"/>
    </row>
    <row r="939" ht="15" customHeight="1">
      <c r="A939" t="inlineStr">
        <is>
          <t>A 523-2023</t>
        </is>
      </c>
      <c r="B939" t="inlineStr">
        <is>
          <t>avverkningsanmälan</t>
        </is>
      </c>
      <c r="C939" t="inlineStr">
        <is>
          <t>Föryngringsavverkning</t>
        </is>
      </c>
      <c r="D939" s="1" t="n">
        <v>44930</v>
      </c>
      <c r="E939" s="1" t="n">
        <v>46217</v>
      </c>
      <c r="F939" t="inlineStr">
        <is>
          <t>JÖNKÖPINGS LÄN</t>
        </is>
      </c>
      <c r="G939" t="inlineStr">
        <is>
          <t>VETLANDA</t>
        </is>
      </c>
      <c r="I939" t="n">
        <v>2.5</v>
      </c>
      <c r="J939" t="n">
        <v>0</v>
      </c>
      <c r="K939" t="n">
        <v>0</v>
      </c>
      <c r="L939" t="n">
        <v>0</v>
      </c>
      <c r="M939" t="n">
        <v>0</v>
      </c>
      <c r="N939" t="n">
        <v>0</v>
      </c>
      <c r="O939" t="n">
        <v>0</v>
      </c>
      <c r="P939" t="n">
        <v>0</v>
      </c>
      <c r="Q939" t="n">
        <v>0</v>
      </c>
      <c r="R939" t="n">
        <v>0</v>
      </c>
      <c r="S939" t="n">
        <v>0</v>
      </c>
      <c r="T939" t="n">
        <v>0</v>
      </c>
      <c r="U939" s="2" t="inlineStr"/>
    </row>
    <row r="940" ht="15" customHeight="1">
      <c r="A940" t="inlineStr">
        <is>
          <t>A 64851-2023</t>
        </is>
      </c>
      <c r="B940" t="inlineStr">
        <is>
          <t>avverkningsanmälan</t>
        </is>
      </c>
      <c r="C940" t="inlineStr">
        <is>
          <t>Föryngringsavverkning</t>
        </is>
      </c>
      <c r="D940" s="1" t="n">
        <v>45282</v>
      </c>
      <c r="E940" s="1" t="n">
        <v>46217</v>
      </c>
      <c r="F940" t="inlineStr">
        <is>
          <t>JÖNKÖPINGS LÄN</t>
        </is>
      </c>
      <c r="G940" t="inlineStr">
        <is>
          <t>VETLANDA</t>
        </is>
      </c>
      <c r="I940" t="n">
        <v>2.1</v>
      </c>
      <c r="J940" t="n">
        <v>0</v>
      </c>
      <c r="K940" t="n">
        <v>0</v>
      </c>
      <c r="L940" t="n">
        <v>0</v>
      </c>
      <c r="M940" t="n">
        <v>0</v>
      </c>
      <c r="N940" t="n">
        <v>0</v>
      </c>
      <c r="O940" t="n">
        <v>0</v>
      </c>
      <c r="P940" t="n">
        <v>0</v>
      </c>
      <c r="Q940" t="n">
        <v>0</v>
      </c>
      <c r="R940" t="n">
        <v>0</v>
      </c>
      <c r="S940" t="n">
        <v>0</v>
      </c>
      <c r="T940" t="n">
        <v>0</v>
      </c>
      <c r="U940" s="2" t="inlineStr"/>
    </row>
    <row r="941" ht="15" customHeight="1">
      <c r="A941" t="inlineStr">
        <is>
          <t>A 57090-2023</t>
        </is>
      </c>
      <c r="B941" t="inlineStr">
        <is>
          <t>avverkningsanmälan</t>
        </is>
      </c>
      <c r="C941" t="inlineStr">
        <is>
          <t>Föryngringsavverkning</t>
        </is>
      </c>
      <c r="D941" s="1" t="n">
        <v>45245</v>
      </c>
      <c r="E941" s="1" t="n">
        <v>46217</v>
      </c>
      <c r="F941" t="inlineStr">
        <is>
          <t>JÖNKÖPINGS LÄN</t>
        </is>
      </c>
      <c r="G941" t="inlineStr">
        <is>
          <t>VETLANDA</t>
        </is>
      </c>
      <c r="I941" t="n">
        <v>1.5</v>
      </c>
      <c r="J941" t="n">
        <v>0</v>
      </c>
      <c r="K941" t="n">
        <v>0</v>
      </c>
      <c r="L941" t="n">
        <v>0</v>
      </c>
      <c r="M941" t="n">
        <v>0</v>
      </c>
      <c r="N941" t="n">
        <v>0</v>
      </c>
      <c r="O941" t="n">
        <v>0</v>
      </c>
      <c r="P941" t="n">
        <v>0</v>
      </c>
      <c r="Q941" t="n">
        <v>0</v>
      </c>
      <c r="R941" t="n">
        <v>0</v>
      </c>
      <c r="S941" t="n">
        <v>0</v>
      </c>
      <c r="T941" t="n">
        <v>0</v>
      </c>
      <c r="U941" s="2" t="inlineStr"/>
    </row>
    <row r="942" ht="15" customHeight="1">
      <c r="A942" t="inlineStr">
        <is>
          <t>A 46143-2022</t>
        </is>
      </c>
      <c r="B942" t="inlineStr">
        <is>
          <t>avverkningsanmälan</t>
        </is>
      </c>
      <c r="C942" t="inlineStr">
        <is>
          <t>Föryngringsavverkning</t>
        </is>
      </c>
      <c r="D942" s="1" t="n">
        <v>44847</v>
      </c>
      <c r="E942" s="1" t="n">
        <v>46217</v>
      </c>
      <c r="F942" t="inlineStr">
        <is>
          <t>JÖNKÖPINGS LÄN</t>
        </is>
      </c>
      <c r="G942" t="inlineStr">
        <is>
          <t>VETLANDA</t>
        </is>
      </c>
      <c r="I942" t="n">
        <v>5.5</v>
      </c>
      <c r="J942" t="n">
        <v>0</v>
      </c>
      <c r="K942" t="n">
        <v>0</v>
      </c>
      <c r="L942" t="n">
        <v>0</v>
      </c>
      <c r="M942" t="n">
        <v>0</v>
      </c>
      <c r="N942" t="n">
        <v>0</v>
      </c>
      <c r="O942" t="n">
        <v>0</v>
      </c>
      <c r="P942" t="n">
        <v>0</v>
      </c>
      <c r="Q942" t="n">
        <v>0</v>
      </c>
      <c r="R942" t="n">
        <v>0</v>
      </c>
      <c r="S942" t="n">
        <v>0</v>
      </c>
      <c r="T942" t="n">
        <v>0</v>
      </c>
      <c r="U942" s="2" t="inlineStr"/>
    </row>
    <row r="943" ht="15" customHeight="1">
      <c r="A943" t="inlineStr">
        <is>
          <t>A 2310-2024</t>
        </is>
      </c>
      <c r="B943" t="inlineStr">
        <is>
          <t>avverkningsanmälan</t>
        </is>
      </c>
      <c r="C943" t="inlineStr">
        <is>
          <t>Föryngringsavverkning</t>
        </is>
      </c>
      <c r="D943" s="1" t="n">
        <v>45310</v>
      </c>
      <c r="E943" s="1" t="n">
        <v>46217</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37447-2021</t>
        </is>
      </c>
      <c r="B944" t="inlineStr">
        <is>
          <t>avverkningsanmälan</t>
        </is>
      </c>
      <c r="C944" t="inlineStr">
        <is>
          <t>Föryngringsavverkning</t>
        </is>
      </c>
      <c r="D944" s="1" t="n">
        <v>44398</v>
      </c>
      <c r="E944" s="1" t="n">
        <v>46217</v>
      </c>
      <c r="F944" t="inlineStr">
        <is>
          <t>JÖNKÖPINGS LÄN</t>
        </is>
      </c>
      <c r="G944" t="inlineStr">
        <is>
          <t>VETLANDA</t>
        </is>
      </c>
      <c r="I944" t="n">
        <v>4.6</v>
      </c>
      <c r="J944" t="n">
        <v>0</v>
      </c>
      <c r="K944" t="n">
        <v>0</v>
      </c>
      <c r="L944" t="n">
        <v>0</v>
      </c>
      <c r="M944" t="n">
        <v>0</v>
      </c>
      <c r="N944" t="n">
        <v>0</v>
      </c>
      <c r="O944" t="n">
        <v>0</v>
      </c>
      <c r="P944" t="n">
        <v>0</v>
      </c>
      <c r="Q944" t="n">
        <v>0</v>
      </c>
      <c r="R944" t="n">
        <v>0</v>
      </c>
      <c r="S944" t="n">
        <v>0</v>
      </c>
      <c r="T944" t="n">
        <v>0</v>
      </c>
      <c r="U944" s="2" t="inlineStr"/>
    </row>
    <row r="945" ht="15" customHeight="1">
      <c r="A945" t="inlineStr">
        <is>
          <t>A 18514-2025</t>
        </is>
      </c>
      <c r="B945" t="inlineStr">
        <is>
          <t>avverkningsanmälan</t>
        </is>
      </c>
      <c r="C945" t="inlineStr">
        <is>
          <t>Föryngringsavverkning</t>
        </is>
      </c>
      <c r="D945" s="1" t="n">
        <v>45763</v>
      </c>
      <c r="E945" s="1" t="n">
        <v>46217</v>
      </c>
      <c r="F945" t="inlineStr">
        <is>
          <t>JÖNKÖPINGS LÄN</t>
        </is>
      </c>
      <c r="G945" t="inlineStr">
        <is>
          <t>VETLANDA</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44647-2024</t>
        </is>
      </c>
      <c r="B946" t="inlineStr">
        <is>
          <t>avverkningsanmälan</t>
        </is>
      </c>
      <c r="C946" t="inlineStr">
        <is>
          <t>Föryngringsavverkning</t>
        </is>
      </c>
      <c r="D946" s="1" t="n">
        <v>45574</v>
      </c>
      <c r="E946" s="1" t="n">
        <v>46217</v>
      </c>
      <c r="F946" t="inlineStr">
        <is>
          <t>JÖNKÖPINGS LÄN</t>
        </is>
      </c>
      <c r="G946" t="inlineStr">
        <is>
          <t>VETLANDA</t>
        </is>
      </c>
      <c r="H946" t="inlineStr">
        <is>
          <t>Sveaskog</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44994-2024</t>
        </is>
      </c>
      <c r="B947" t="inlineStr">
        <is>
          <t>avverkningsanmälan</t>
        </is>
      </c>
      <c r="C947" t="inlineStr">
        <is>
          <t>Föryngringsavverkning</t>
        </is>
      </c>
      <c r="D947" s="1" t="n">
        <v>45575</v>
      </c>
      <c r="E947" s="1" t="n">
        <v>46217</v>
      </c>
      <c r="F947" t="inlineStr">
        <is>
          <t>JÖNKÖPINGS LÄN</t>
        </is>
      </c>
      <c r="G947" t="inlineStr">
        <is>
          <t>VETLANDA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9730-2024</t>
        </is>
      </c>
      <c r="B948" t="inlineStr">
        <is>
          <t>avverkningsanmälan</t>
        </is>
      </c>
      <c r="C948" t="inlineStr">
        <is>
          <t>Avverkning för annat ändamål</t>
        </is>
      </c>
      <c r="D948" s="1" t="n">
        <v>45362</v>
      </c>
      <c r="E948" s="1" t="n">
        <v>46217</v>
      </c>
      <c r="F948" t="inlineStr">
        <is>
          <t>JÖNKÖPINGS LÄN</t>
        </is>
      </c>
      <c r="G948" t="inlineStr">
        <is>
          <t>VETLANDA</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58570-2023</t>
        </is>
      </c>
      <c r="B949" t="inlineStr">
        <is>
          <t>avverkningsanmälan</t>
        </is>
      </c>
      <c r="C949" t="inlineStr">
        <is>
          <t>Föryngringsavverkning</t>
        </is>
      </c>
      <c r="D949" s="1" t="n">
        <v>45251</v>
      </c>
      <c r="E949" s="1" t="n">
        <v>46217</v>
      </c>
      <c r="F949" t="inlineStr">
        <is>
          <t>JÖNKÖPINGS LÄN</t>
        </is>
      </c>
      <c r="G949" t="inlineStr">
        <is>
          <t>VETLANDA</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20537-2023</t>
        </is>
      </c>
      <c r="B950" t="inlineStr">
        <is>
          <t>avverkningsanmälan</t>
        </is>
      </c>
      <c r="C950" t="inlineStr">
        <is>
          <t>Avverkning för annat ändamål</t>
        </is>
      </c>
      <c r="D950" s="1" t="n">
        <v>45057</v>
      </c>
      <c r="E950" s="1" t="n">
        <v>46217</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s="2" t="inlineStr"/>
    </row>
    <row r="951" ht="15" customHeight="1">
      <c r="A951" t="inlineStr">
        <is>
          <t>A 12270-2023</t>
        </is>
      </c>
      <c r="B951" t="inlineStr">
        <is>
          <t>avverkningsanmälan</t>
        </is>
      </c>
      <c r="C951" t="inlineStr">
        <is>
          <t>Föryngringsavverkning</t>
        </is>
      </c>
      <c r="D951" s="1" t="n">
        <v>44998</v>
      </c>
      <c r="E951" s="1" t="n">
        <v>46217</v>
      </c>
      <c r="F951" t="inlineStr">
        <is>
          <t>JÖNKÖPINGS LÄN</t>
        </is>
      </c>
      <c r="G951" t="inlineStr">
        <is>
          <t>VETLANDA</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7830-2023</t>
        </is>
      </c>
      <c r="B952" t="inlineStr">
        <is>
          <t>avverkningsanmälan</t>
        </is>
      </c>
      <c r="C952" t="inlineStr">
        <is>
          <t>Avverkning för annat ändamål</t>
        </is>
      </c>
      <c r="D952" s="1" t="n">
        <v>44970</v>
      </c>
      <c r="E952" s="1" t="n">
        <v>46217</v>
      </c>
      <c r="F952" t="inlineStr">
        <is>
          <t>JÖNKÖPINGS LÄN</t>
        </is>
      </c>
      <c r="G952" t="inlineStr">
        <is>
          <t>VETLANDA</t>
        </is>
      </c>
      <c r="I952" t="n">
        <v>2.4</v>
      </c>
      <c r="J952" t="n">
        <v>0</v>
      </c>
      <c r="K952" t="n">
        <v>0</v>
      </c>
      <c r="L952" t="n">
        <v>0</v>
      </c>
      <c r="M952" t="n">
        <v>0</v>
      </c>
      <c r="N952" t="n">
        <v>0</v>
      </c>
      <c r="O952" t="n">
        <v>0</v>
      </c>
      <c r="P952" t="n">
        <v>0</v>
      </c>
      <c r="Q952" t="n">
        <v>0</v>
      </c>
      <c r="R952" t="n">
        <v>0</v>
      </c>
      <c r="S952" t="n">
        <v>0</v>
      </c>
      <c r="T952" t="n">
        <v>0</v>
      </c>
      <c r="U952" s="2" t="inlineStr"/>
    </row>
    <row r="953" ht="15" customHeight="1">
      <c r="A953" t="inlineStr">
        <is>
          <t>A 39110-2023</t>
        </is>
      </c>
      <c r="B953" t="inlineStr">
        <is>
          <t>avverkningsanmälan</t>
        </is>
      </c>
      <c r="C953" t="inlineStr">
        <is>
          <t>Föryngringsavverkning</t>
        </is>
      </c>
      <c r="D953" s="1" t="n">
        <v>45164</v>
      </c>
      <c r="E953" s="1" t="n">
        <v>46217</v>
      </c>
      <c r="F953" t="inlineStr">
        <is>
          <t>JÖNKÖPINGS LÄN</t>
        </is>
      </c>
      <c r="G953" t="inlineStr">
        <is>
          <t>VETLANDA</t>
        </is>
      </c>
      <c r="I953" t="n">
        <v>0</v>
      </c>
      <c r="J953" t="n">
        <v>0</v>
      </c>
      <c r="K953" t="n">
        <v>0</v>
      </c>
      <c r="L953" t="n">
        <v>0</v>
      </c>
      <c r="M953" t="n">
        <v>0</v>
      </c>
      <c r="N953" t="n">
        <v>0</v>
      </c>
      <c r="O953" t="n">
        <v>0</v>
      </c>
      <c r="P953" t="n">
        <v>0</v>
      </c>
      <c r="Q953" t="n">
        <v>0</v>
      </c>
      <c r="R953" t="n">
        <v>0</v>
      </c>
      <c r="S953" t="n">
        <v>0</v>
      </c>
      <c r="T953" t="n">
        <v>0</v>
      </c>
      <c r="U953" s="2" t="inlineStr"/>
    </row>
    <row r="954" ht="15" customHeight="1">
      <c r="A954" t="inlineStr">
        <is>
          <t>A 28404-2022</t>
        </is>
      </c>
      <c r="B954" t="inlineStr">
        <is>
          <t>avverkningsanmälan</t>
        </is>
      </c>
      <c r="C954" t="inlineStr">
        <is>
          <t>Föryngringsavverkning</t>
        </is>
      </c>
      <c r="D954" s="1" t="n">
        <v>44747</v>
      </c>
      <c r="E954" s="1" t="n">
        <v>46217</v>
      </c>
      <c r="F954" t="inlineStr">
        <is>
          <t>JÖNKÖPINGS LÄN</t>
        </is>
      </c>
      <c r="G954" t="inlineStr">
        <is>
          <t>VETLANDA</t>
        </is>
      </c>
      <c r="I954" t="n">
        <v>3.6</v>
      </c>
      <c r="J954" t="n">
        <v>0</v>
      </c>
      <c r="K954" t="n">
        <v>0</v>
      </c>
      <c r="L954" t="n">
        <v>0</v>
      </c>
      <c r="M954" t="n">
        <v>0</v>
      </c>
      <c r="N954" t="n">
        <v>0</v>
      </c>
      <c r="O954" t="n">
        <v>0</v>
      </c>
      <c r="P954" t="n">
        <v>0</v>
      </c>
      <c r="Q954" t="n">
        <v>0</v>
      </c>
      <c r="R954" t="n">
        <v>0</v>
      </c>
      <c r="S954" t="n">
        <v>0</v>
      </c>
      <c r="T954" t="n">
        <v>0</v>
      </c>
      <c r="U954" s="2" t="inlineStr"/>
    </row>
    <row r="955" ht="15" customHeight="1">
      <c r="A955" t="inlineStr">
        <is>
          <t>A 26228-2023</t>
        </is>
      </c>
      <c r="B955" t="inlineStr">
        <is>
          <t>avverkningsanmälan</t>
        </is>
      </c>
      <c r="C955" t="inlineStr">
        <is>
          <t>Föryngringsavverkning</t>
        </is>
      </c>
      <c r="D955" s="1" t="n">
        <v>45091</v>
      </c>
      <c r="E955" s="1" t="n">
        <v>46217</v>
      </c>
      <c r="F955" t="inlineStr">
        <is>
          <t>JÖNKÖPINGS LÄN</t>
        </is>
      </c>
      <c r="G955" t="inlineStr">
        <is>
          <t>VETLANDA</t>
        </is>
      </c>
      <c r="I955" t="n">
        <v>1.3</v>
      </c>
      <c r="J955" t="n">
        <v>0</v>
      </c>
      <c r="K955" t="n">
        <v>0</v>
      </c>
      <c r="L955" t="n">
        <v>0</v>
      </c>
      <c r="M955" t="n">
        <v>0</v>
      </c>
      <c r="N955" t="n">
        <v>0</v>
      </c>
      <c r="O955" t="n">
        <v>0</v>
      </c>
      <c r="P955" t="n">
        <v>0</v>
      </c>
      <c r="Q955" t="n">
        <v>0</v>
      </c>
      <c r="R955" t="n">
        <v>0</v>
      </c>
      <c r="S955" t="n">
        <v>0</v>
      </c>
      <c r="T955" t="n">
        <v>0</v>
      </c>
      <c r="U955" s="2" t="inlineStr"/>
    </row>
    <row r="956" ht="15" customHeight="1">
      <c r="A956" t="inlineStr">
        <is>
          <t>A 4968-2024</t>
        </is>
      </c>
      <c r="B956" t="inlineStr">
        <is>
          <t>avverkningsanmälan</t>
        </is>
      </c>
      <c r="C956" t="inlineStr">
        <is>
          <t>Föryngringsavverkning</t>
        </is>
      </c>
      <c r="D956" s="1" t="n">
        <v>45329</v>
      </c>
      <c r="E956" s="1" t="n">
        <v>46217</v>
      </c>
      <c r="F956" t="inlineStr">
        <is>
          <t>JÖNKÖPINGS LÄN</t>
        </is>
      </c>
      <c r="G956" t="inlineStr">
        <is>
          <t>VETLANDA</t>
        </is>
      </c>
      <c r="H956" t="inlineStr">
        <is>
          <t>Kyrkan</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16074-2024</t>
        </is>
      </c>
      <c r="B957" t="inlineStr">
        <is>
          <t>avverkningsanmälan</t>
        </is>
      </c>
      <c r="C957" t="inlineStr">
        <is>
          <t>Föryngringsavverkning</t>
        </is>
      </c>
      <c r="D957" s="1" t="n">
        <v>45406</v>
      </c>
      <c r="E957" s="1" t="n">
        <v>46217</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33935-2023</t>
        </is>
      </c>
      <c r="B958" t="inlineStr">
        <is>
          <t>avverkningsanmälan</t>
        </is>
      </c>
      <c r="C958" t="inlineStr">
        <is>
          <t>Föryngringsavverkning</t>
        </is>
      </c>
      <c r="D958" s="1" t="n">
        <v>45134</v>
      </c>
      <c r="E958" s="1" t="n">
        <v>46217</v>
      </c>
      <c r="F958" t="inlineStr">
        <is>
          <t>JÖNKÖPINGS LÄN</t>
        </is>
      </c>
      <c r="G958" t="inlineStr">
        <is>
          <t>VETLANDA</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10381-2024</t>
        </is>
      </c>
      <c r="B959" t="inlineStr">
        <is>
          <t>avverkningsanmälan</t>
        </is>
      </c>
      <c r="C959" t="inlineStr">
        <is>
          <t>Föryngringsavverkning</t>
        </is>
      </c>
      <c r="D959" s="1" t="n">
        <v>45365</v>
      </c>
      <c r="E959" s="1" t="n">
        <v>46217</v>
      </c>
      <c r="F959" t="inlineStr">
        <is>
          <t>JÖNKÖPINGS LÄN</t>
        </is>
      </c>
      <c r="G959" t="inlineStr">
        <is>
          <t>VETLANDA</t>
        </is>
      </c>
      <c r="I959" t="n">
        <v>1.4</v>
      </c>
      <c r="J959" t="n">
        <v>0</v>
      </c>
      <c r="K959" t="n">
        <v>0</v>
      </c>
      <c r="L959" t="n">
        <v>0</v>
      </c>
      <c r="M959" t="n">
        <v>0</v>
      </c>
      <c r="N959" t="n">
        <v>0</v>
      </c>
      <c r="O959" t="n">
        <v>0</v>
      </c>
      <c r="P959" t="n">
        <v>0</v>
      </c>
      <c r="Q959" t="n">
        <v>0</v>
      </c>
      <c r="R959" t="n">
        <v>0</v>
      </c>
      <c r="S959" t="n">
        <v>0</v>
      </c>
      <c r="T959" t="n">
        <v>0</v>
      </c>
      <c r="U959" s="2" t="inlineStr"/>
    </row>
    <row r="960" ht="15" customHeight="1">
      <c r="A960" t="inlineStr">
        <is>
          <t>A 28130-2023</t>
        </is>
      </c>
      <c r="B960" t="inlineStr">
        <is>
          <t>avverkningsanmälan</t>
        </is>
      </c>
      <c r="C960" t="inlineStr">
        <is>
          <t>Föryngringsavverkning</t>
        </is>
      </c>
      <c r="D960" s="1" t="n">
        <v>45099</v>
      </c>
      <c r="E960" s="1" t="n">
        <v>46217</v>
      </c>
      <c r="F960" t="inlineStr">
        <is>
          <t>JÖNKÖPINGS LÄN</t>
        </is>
      </c>
      <c r="G960" t="inlineStr">
        <is>
          <t>VETLANDA</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25198-2024</t>
        </is>
      </c>
      <c r="B961" t="inlineStr">
        <is>
          <t>avverkningsanmälan</t>
        </is>
      </c>
      <c r="C961" t="inlineStr">
        <is>
          <t>Föryngringsavverkning</t>
        </is>
      </c>
      <c r="D961" s="1" t="n">
        <v>45462</v>
      </c>
      <c r="E961" s="1" t="n">
        <v>46217</v>
      </c>
      <c r="F961" t="inlineStr">
        <is>
          <t>JÖNKÖPINGS LÄN</t>
        </is>
      </c>
      <c r="G961" t="inlineStr">
        <is>
          <t>VETLANDA</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6377-2023</t>
        </is>
      </c>
      <c r="B962" t="inlineStr">
        <is>
          <t>avverkningsanmälan</t>
        </is>
      </c>
      <c r="C962" t="inlineStr">
        <is>
          <t>Föryngringsavverkning</t>
        </is>
      </c>
      <c r="D962" s="1" t="n">
        <v>44965</v>
      </c>
      <c r="E962" s="1" t="n">
        <v>46217</v>
      </c>
      <c r="F962" t="inlineStr">
        <is>
          <t>JÖNKÖPINGS LÄN</t>
        </is>
      </c>
      <c r="G962" t="inlineStr">
        <is>
          <t>VETLANDA</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29480-2024</t>
        </is>
      </c>
      <c r="B963" t="inlineStr">
        <is>
          <t>avverkningsanmälan</t>
        </is>
      </c>
      <c r="C963" t="inlineStr">
        <is>
          <t>Föryngringsavverkning</t>
        </is>
      </c>
      <c r="D963" s="1" t="n">
        <v>45484</v>
      </c>
      <c r="E963" s="1" t="n">
        <v>46217</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34799-2024</t>
        </is>
      </c>
      <c r="B964" t="inlineStr">
        <is>
          <t>avverkningsanmälan</t>
        </is>
      </c>
      <c r="C964" t="inlineStr">
        <is>
          <t>Föryngringsavverkning</t>
        </is>
      </c>
      <c r="D964" s="1" t="n">
        <v>45526</v>
      </c>
      <c r="E964" s="1" t="n">
        <v>46217</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1441-2024</t>
        </is>
      </c>
      <c r="B965" t="inlineStr">
        <is>
          <t>avverkningsanmälan</t>
        </is>
      </c>
      <c r="C965" t="inlineStr">
        <is>
          <t>Föryngringsavverkning</t>
        </is>
      </c>
      <c r="D965" s="1" t="n">
        <v>45303</v>
      </c>
      <c r="E965" s="1" t="n">
        <v>46217</v>
      </c>
      <c r="F965" t="inlineStr">
        <is>
          <t>JÖNKÖPINGS LÄN</t>
        </is>
      </c>
      <c r="G965" t="inlineStr">
        <is>
          <t>VETLANDA</t>
        </is>
      </c>
      <c r="I965" t="n">
        <v>4.8</v>
      </c>
      <c r="J965" t="n">
        <v>0</v>
      </c>
      <c r="K965" t="n">
        <v>0</v>
      </c>
      <c r="L965" t="n">
        <v>0</v>
      </c>
      <c r="M965" t="n">
        <v>0</v>
      </c>
      <c r="N965" t="n">
        <v>0</v>
      </c>
      <c r="O965" t="n">
        <v>0</v>
      </c>
      <c r="P965" t="n">
        <v>0</v>
      </c>
      <c r="Q965" t="n">
        <v>0</v>
      </c>
      <c r="R965" t="n">
        <v>0</v>
      </c>
      <c r="S965" t="n">
        <v>0</v>
      </c>
      <c r="T965" t="n">
        <v>0</v>
      </c>
      <c r="U965" s="2" t="inlineStr"/>
    </row>
    <row r="966" ht="15" customHeight="1">
      <c r="A966" t="inlineStr">
        <is>
          <t>A 52971-2023</t>
        </is>
      </c>
      <c r="B966" t="inlineStr">
        <is>
          <t>avverkningsanmälan</t>
        </is>
      </c>
      <c r="C966" t="inlineStr">
        <is>
          <t>Föryngringsavverkning</t>
        </is>
      </c>
      <c r="D966" s="1" t="n">
        <v>45226</v>
      </c>
      <c r="E966" s="1" t="n">
        <v>46217</v>
      </c>
      <c r="F966" t="inlineStr">
        <is>
          <t>JÖNKÖPINGS LÄN</t>
        </is>
      </c>
      <c r="G966" t="inlineStr">
        <is>
          <t>VETLANDA</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18799-2023</t>
        </is>
      </c>
      <c r="B967" t="inlineStr">
        <is>
          <t>avverkningsanmälan</t>
        </is>
      </c>
      <c r="C967" t="inlineStr">
        <is>
          <t>Avverkning för annat ändamål</t>
        </is>
      </c>
      <c r="D967" s="1" t="n">
        <v>45042</v>
      </c>
      <c r="E967" s="1" t="n">
        <v>46217</v>
      </c>
      <c r="F967" t="inlineStr">
        <is>
          <t>JÖNKÖPINGS LÄN</t>
        </is>
      </c>
      <c r="G967" t="inlineStr">
        <is>
          <t>VETLANDA</t>
        </is>
      </c>
      <c r="I967" t="n">
        <v>2.2</v>
      </c>
      <c r="J967" t="n">
        <v>0</v>
      </c>
      <c r="K967" t="n">
        <v>0</v>
      </c>
      <c r="L967" t="n">
        <v>0</v>
      </c>
      <c r="M967" t="n">
        <v>0</v>
      </c>
      <c r="N967" t="n">
        <v>0</v>
      </c>
      <c r="O967" t="n">
        <v>0</v>
      </c>
      <c r="P967" t="n">
        <v>0</v>
      </c>
      <c r="Q967" t="n">
        <v>0</v>
      </c>
      <c r="R967" t="n">
        <v>0</v>
      </c>
      <c r="S967" t="n">
        <v>0</v>
      </c>
      <c r="T967" t="n">
        <v>0</v>
      </c>
      <c r="U967" s="2" t="inlineStr"/>
    </row>
    <row r="968" ht="15" customHeight="1">
      <c r="A968" t="inlineStr">
        <is>
          <t>A 31457-2023</t>
        </is>
      </c>
      <c r="B968" t="inlineStr">
        <is>
          <t>avverkningsanmälan</t>
        </is>
      </c>
      <c r="C968" t="inlineStr">
        <is>
          <t>Föryngringsavverkning</t>
        </is>
      </c>
      <c r="D968" s="1" t="n">
        <v>45114</v>
      </c>
      <c r="E968" s="1" t="n">
        <v>46217</v>
      </c>
      <c r="F968" t="inlineStr">
        <is>
          <t>JÖNKÖPINGS LÄN</t>
        </is>
      </c>
      <c r="G968" t="inlineStr">
        <is>
          <t>VETLANDA</t>
        </is>
      </c>
      <c r="I968" t="n">
        <v>5.7</v>
      </c>
      <c r="J968" t="n">
        <v>0</v>
      </c>
      <c r="K968" t="n">
        <v>0</v>
      </c>
      <c r="L968" t="n">
        <v>0</v>
      </c>
      <c r="M968" t="n">
        <v>0</v>
      </c>
      <c r="N968" t="n">
        <v>0</v>
      </c>
      <c r="O968" t="n">
        <v>0</v>
      </c>
      <c r="P968" t="n">
        <v>0</v>
      </c>
      <c r="Q968" t="n">
        <v>0</v>
      </c>
      <c r="R968" t="n">
        <v>0</v>
      </c>
      <c r="S968" t="n">
        <v>0</v>
      </c>
      <c r="T968" t="n">
        <v>0</v>
      </c>
      <c r="U968" s="2" t="inlineStr"/>
    </row>
    <row r="969" ht="15" customHeight="1">
      <c r="A969" t="inlineStr">
        <is>
          <t>A 4416-2024</t>
        </is>
      </c>
      <c r="B969" t="inlineStr">
        <is>
          <t>avverkningsanmälan</t>
        </is>
      </c>
      <c r="C969" t="inlineStr">
        <is>
          <t>Föryngringsavverkning</t>
        </is>
      </c>
      <c r="D969" s="1" t="n">
        <v>45327</v>
      </c>
      <c r="E969" s="1" t="n">
        <v>46217</v>
      </c>
      <c r="F969" t="inlineStr">
        <is>
          <t>JÖNKÖPINGS LÄN</t>
        </is>
      </c>
      <c r="G969" t="inlineStr">
        <is>
          <t>VETLANDA</t>
        </is>
      </c>
      <c r="I969" t="n">
        <v>1.8</v>
      </c>
      <c r="J969" t="n">
        <v>0</v>
      </c>
      <c r="K969" t="n">
        <v>0</v>
      </c>
      <c r="L969" t="n">
        <v>0</v>
      </c>
      <c r="M969" t="n">
        <v>0</v>
      </c>
      <c r="N969" t="n">
        <v>0</v>
      </c>
      <c r="O969" t="n">
        <v>0</v>
      </c>
      <c r="P969" t="n">
        <v>0</v>
      </c>
      <c r="Q969" t="n">
        <v>0</v>
      </c>
      <c r="R969" t="n">
        <v>0</v>
      </c>
      <c r="S969" t="n">
        <v>0</v>
      </c>
      <c r="T969" t="n">
        <v>0</v>
      </c>
      <c r="U969" s="2" t="inlineStr"/>
    </row>
    <row r="970" ht="15" customHeight="1">
      <c r="A970" t="inlineStr">
        <is>
          <t>A 17374-2023</t>
        </is>
      </c>
      <c r="B970" t="inlineStr">
        <is>
          <t>avverkningsanmälan</t>
        </is>
      </c>
      <c r="C970" t="inlineStr">
        <is>
          <t>Föryngringsavverkning</t>
        </is>
      </c>
      <c r="D970" s="1" t="n">
        <v>45035</v>
      </c>
      <c r="E970" s="1" t="n">
        <v>46217</v>
      </c>
      <c r="F970" t="inlineStr">
        <is>
          <t>JÖNKÖPINGS LÄN</t>
        </is>
      </c>
      <c r="G970" t="inlineStr">
        <is>
          <t>VETLANDA</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482-2024</t>
        </is>
      </c>
      <c r="B971" t="inlineStr">
        <is>
          <t>avverkningsanmälan</t>
        </is>
      </c>
      <c r="C971" t="inlineStr">
        <is>
          <t>Föryngringsavverkning</t>
        </is>
      </c>
      <c r="D971" s="1" t="n">
        <v>45298</v>
      </c>
      <c r="E971" s="1" t="n">
        <v>46217</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s="2" t="inlineStr"/>
    </row>
    <row r="972" ht="15" customHeight="1">
      <c r="A972" t="inlineStr">
        <is>
          <t>A 4061-2025</t>
        </is>
      </c>
      <c r="B972" t="inlineStr">
        <is>
          <t>avverkningsanmälan</t>
        </is>
      </c>
      <c r="C972" t="inlineStr">
        <is>
          <t>Föryngringsavverkning</t>
        </is>
      </c>
      <c r="D972" s="1" t="n">
        <v>45684</v>
      </c>
      <c r="E972" s="1" t="n">
        <v>46217</v>
      </c>
      <c r="F972" t="inlineStr">
        <is>
          <t>JÖNKÖPINGS LÄN</t>
        </is>
      </c>
      <c r="G972" t="inlineStr">
        <is>
          <t>VETLANDA</t>
        </is>
      </c>
      <c r="H972" t="inlineStr">
        <is>
          <t>Sveaskog</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606-2025</t>
        </is>
      </c>
      <c r="B973" t="inlineStr">
        <is>
          <t>avverkningsanmälan</t>
        </is>
      </c>
      <c r="C973" t="inlineStr">
        <is>
          <t>Föryngringsavverkning</t>
        </is>
      </c>
      <c r="D973" s="1" t="n">
        <v>45660</v>
      </c>
      <c r="E973" s="1" t="n">
        <v>46217</v>
      </c>
      <c r="F973" t="inlineStr">
        <is>
          <t>JÖNKÖPINGS LÄN</t>
        </is>
      </c>
      <c r="G973" t="inlineStr">
        <is>
          <t>VETLANDA</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42878-2023</t>
        </is>
      </c>
      <c r="B974" t="inlineStr">
        <is>
          <t>avverkningsanmälan</t>
        </is>
      </c>
      <c r="C974" t="inlineStr">
        <is>
          <t>Föryngringsavverkning</t>
        </is>
      </c>
      <c r="D974" s="1" t="n">
        <v>45182</v>
      </c>
      <c r="E974" s="1" t="n">
        <v>46217</v>
      </c>
      <c r="F974" t="inlineStr">
        <is>
          <t>JÖNKÖPINGS LÄN</t>
        </is>
      </c>
      <c r="G974" t="inlineStr">
        <is>
          <t>VETLANDA</t>
        </is>
      </c>
      <c r="H974" t="inlineStr">
        <is>
          <t>Sveaskog</t>
        </is>
      </c>
      <c r="I974" t="n">
        <v>1</v>
      </c>
      <c r="J974" t="n">
        <v>0</v>
      </c>
      <c r="K974" t="n">
        <v>0</v>
      </c>
      <c r="L974" t="n">
        <v>0</v>
      </c>
      <c r="M974" t="n">
        <v>0</v>
      </c>
      <c r="N974" t="n">
        <v>0</v>
      </c>
      <c r="O974" t="n">
        <v>0</v>
      </c>
      <c r="P974" t="n">
        <v>0</v>
      </c>
      <c r="Q974" t="n">
        <v>0</v>
      </c>
      <c r="R974" t="n">
        <v>0</v>
      </c>
      <c r="S974" t="n">
        <v>0</v>
      </c>
      <c r="T974" t="n">
        <v>0</v>
      </c>
      <c r="U974" s="2" t="inlineStr"/>
    </row>
    <row r="975" ht="15" customHeight="1">
      <c r="A975" t="inlineStr">
        <is>
          <t>A 42880-2023</t>
        </is>
      </c>
      <c r="B975" t="inlineStr">
        <is>
          <t>avverkningsanmälan</t>
        </is>
      </c>
      <c r="C975" t="inlineStr">
        <is>
          <t>Avverkning för att bevara och utveckla /försöksver</t>
        </is>
      </c>
      <c r="D975" s="1" t="n">
        <v>45182</v>
      </c>
      <c r="E975" s="1" t="n">
        <v>46217</v>
      </c>
      <c r="F975" t="inlineStr">
        <is>
          <t>JÖNKÖPINGS LÄN</t>
        </is>
      </c>
      <c r="G975" t="inlineStr">
        <is>
          <t>VETLANDA</t>
        </is>
      </c>
      <c r="H975" t="inlineStr">
        <is>
          <t>Sveaskog</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42902-2023</t>
        </is>
      </c>
      <c r="B976" t="inlineStr">
        <is>
          <t>avverkningsanmälan</t>
        </is>
      </c>
      <c r="C976" t="inlineStr">
        <is>
          <t>Föryngringsavverkning</t>
        </is>
      </c>
      <c r="D976" s="1" t="n">
        <v>45182</v>
      </c>
      <c r="E976" s="1" t="n">
        <v>46217</v>
      </c>
      <c r="F976" t="inlineStr">
        <is>
          <t>JÖNKÖPINGS LÄN</t>
        </is>
      </c>
      <c r="G976" t="inlineStr">
        <is>
          <t>VETLANDA</t>
        </is>
      </c>
      <c r="I976" t="n">
        <v>0.9</v>
      </c>
      <c r="J976" t="n">
        <v>0</v>
      </c>
      <c r="K976" t="n">
        <v>0</v>
      </c>
      <c r="L976" t="n">
        <v>0</v>
      </c>
      <c r="M976" t="n">
        <v>0</v>
      </c>
      <c r="N976" t="n">
        <v>0</v>
      </c>
      <c r="O976" t="n">
        <v>0</v>
      </c>
      <c r="P976" t="n">
        <v>0</v>
      </c>
      <c r="Q976" t="n">
        <v>0</v>
      </c>
      <c r="R976" t="n">
        <v>0</v>
      </c>
      <c r="S976" t="n">
        <v>0</v>
      </c>
      <c r="T976" t="n">
        <v>0</v>
      </c>
      <c r="U976" s="2" t="inlineStr"/>
    </row>
    <row r="977" ht="15" customHeight="1">
      <c r="A977" t="inlineStr">
        <is>
          <t>A 44349-2023</t>
        </is>
      </c>
      <c r="B977" t="inlineStr">
        <is>
          <t>avverkningsanmälan</t>
        </is>
      </c>
      <c r="C977" t="inlineStr">
        <is>
          <t>Föryngringsavverkning</t>
        </is>
      </c>
      <c r="D977" s="1" t="n">
        <v>45188</v>
      </c>
      <c r="E977" s="1" t="n">
        <v>46217</v>
      </c>
      <c r="F977" t="inlineStr">
        <is>
          <t>JÖNKÖPINGS LÄN</t>
        </is>
      </c>
      <c r="G977" t="inlineStr">
        <is>
          <t>VETLANDA</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25555-2023</t>
        </is>
      </c>
      <c r="B978" t="inlineStr">
        <is>
          <t>avverkningsanmälan</t>
        </is>
      </c>
      <c r="C978" t="inlineStr">
        <is>
          <t>Föryngringsavverkning</t>
        </is>
      </c>
      <c r="D978" s="1" t="n">
        <v>45089</v>
      </c>
      <c r="E978" s="1" t="n">
        <v>46217</v>
      </c>
      <c r="F978" t="inlineStr">
        <is>
          <t>JÖNKÖPINGS LÄN</t>
        </is>
      </c>
      <c r="G978" t="inlineStr">
        <is>
          <t>VETLANDA</t>
        </is>
      </c>
      <c r="I978" t="n">
        <v>0.9</v>
      </c>
      <c r="J978" t="n">
        <v>0</v>
      </c>
      <c r="K978" t="n">
        <v>0</v>
      </c>
      <c r="L978" t="n">
        <v>0</v>
      </c>
      <c r="M978" t="n">
        <v>0</v>
      </c>
      <c r="N978" t="n">
        <v>0</v>
      </c>
      <c r="O978" t="n">
        <v>0</v>
      </c>
      <c r="P978" t="n">
        <v>0</v>
      </c>
      <c r="Q978" t="n">
        <v>0</v>
      </c>
      <c r="R978" t="n">
        <v>0</v>
      </c>
      <c r="S978" t="n">
        <v>0</v>
      </c>
      <c r="T978" t="n">
        <v>0</v>
      </c>
      <c r="U978" s="2" t="inlineStr"/>
    </row>
    <row r="979" ht="15" customHeight="1">
      <c r="A979" t="inlineStr">
        <is>
          <t>A 53308-2023</t>
        </is>
      </c>
      <c r="B979" t="inlineStr">
        <is>
          <t>avverkningsanmälan</t>
        </is>
      </c>
      <c r="C979" t="inlineStr">
        <is>
          <t>Föryngringsavverkning</t>
        </is>
      </c>
      <c r="D979" s="1" t="n">
        <v>45222</v>
      </c>
      <c r="E979" s="1" t="n">
        <v>46217</v>
      </c>
      <c r="F979" t="inlineStr">
        <is>
          <t>JÖNKÖPINGS LÄN</t>
        </is>
      </c>
      <c r="G979" t="inlineStr">
        <is>
          <t>VETLANDA</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50759-2024</t>
        </is>
      </c>
      <c r="B980" t="inlineStr">
        <is>
          <t>avverkningsanmälan</t>
        </is>
      </c>
      <c r="C980" t="inlineStr">
        <is>
          <t>Föryngringsavverkning</t>
        </is>
      </c>
      <c r="D980" s="1" t="n">
        <v>45602</v>
      </c>
      <c r="E980" s="1" t="n">
        <v>46217</v>
      </c>
      <c r="F980" t="inlineStr">
        <is>
          <t>JÖNKÖPINGS LÄN</t>
        </is>
      </c>
      <c r="G980" t="inlineStr">
        <is>
          <t>VETLANDA</t>
        </is>
      </c>
      <c r="I980" t="n">
        <v>2.1</v>
      </c>
      <c r="J980" t="n">
        <v>0</v>
      </c>
      <c r="K980" t="n">
        <v>0</v>
      </c>
      <c r="L980" t="n">
        <v>0</v>
      </c>
      <c r="M980" t="n">
        <v>0</v>
      </c>
      <c r="N980" t="n">
        <v>0</v>
      </c>
      <c r="O980" t="n">
        <v>0</v>
      </c>
      <c r="P980" t="n">
        <v>0</v>
      </c>
      <c r="Q980" t="n">
        <v>0</v>
      </c>
      <c r="R980" t="n">
        <v>0</v>
      </c>
      <c r="S980" t="n">
        <v>0</v>
      </c>
      <c r="T980" t="n">
        <v>0</v>
      </c>
      <c r="U980" s="2" t="inlineStr"/>
    </row>
    <row r="981" ht="15" customHeight="1">
      <c r="A981" t="inlineStr">
        <is>
          <t>A 5804-2024</t>
        </is>
      </c>
      <c r="B981" t="inlineStr">
        <is>
          <t>avverkningsanmälan</t>
        </is>
      </c>
      <c r="C981" t="inlineStr">
        <is>
          <t>Avverkning för annat ändamål</t>
        </is>
      </c>
      <c r="D981" s="1" t="n">
        <v>45335</v>
      </c>
      <c r="E981" s="1" t="n">
        <v>46217</v>
      </c>
      <c r="F981" t="inlineStr">
        <is>
          <t>JÖNKÖPINGS LÄN</t>
        </is>
      </c>
      <c r="G981" t="inlineStr">
        <is>
          <t>VETLANDA</t>
        </is>
      </c>
      <c r="I981" t="n">
        <v>0.2</v>
      </c>
      <c r="J981" t="n">
        <v>0</v>
      </c>
      <c r="K981" t="n">
        <v>0</v>
      </c>
      <c r="L981" t="n">
        <v>0</v>
      </c>
      <c r="M981" t="n">
        <v>0</v>
      </c>
      <c r="N981" t="n">
        <v>0</v>
      </c>
      <c r="O981" t="n">
        <v>0</v>
      </c>
      <c r="P981" t="n">
        <v>0</v>
      </c>
      <c r="Q981" t="n">
        <v>0</v>
      </c>
      <c r="R981" t="n">
        <v>0</v>
      </c>
      <c r="S981" t="n">
        <v>0</v>
      </c>
      <c r="T981" t="n">
        <v>0</v>
      </c>
      <c r="U981" s="2" t="inlineStr"/>
    </row>
    <row r="982" ht="15" customHeight="1">
      <c r="A982" t="inlineStr">
        <is>
          <t>A 47312-2021</t>
        </is>
      </c>
      <c r="B982" t="inlineStr">
        <is>
          <t>avverkningsanmälan</t>
        </is>
      </c>
      <c r="C982" t="inlineStr">
        <is>
          <t>Föryngringsavverkning</t>
        </is>
      </c>
      <c r="D982" s="1" t="n">
        <v>44447</v>
      </c>
      <c r="E982" s="1" t="n">
        <v>46217</v>
      </c>
      <c r="F982" t="inlineStr">
        <is>
          <t>JÖNKÖPINGS LÄN</t>
        </is>
      </c>
      <c r="G982" t="inlineStr">
        <is>
          <t>VETLANDA</t>
        </is>
      </c>
      <c r="I982" t="n">
        <v>2.3</v>
      </c>
      <c r="J982" t="n">
        <v>0</v>
      </c>
      <c r="K982" t="n">
        <v>0</v>
      </c>
      <c r="L982" t="n">
        <v>0</v>
      </c>
      <c r="M982" t="n">
        <v>0</v>
      </c>
      <c r="N982" t="n">
        <v>0</v>
      </c>
      <c r="O982" t="n">
        <v>0</v>
      </c>
      <c r="P982" t="n">
        <v>0</v>
      </c>
      <c r="Q982" t="n">
        <v>0</v>
      </c>
      <c r="R982" t="n">
        <v>0</v>
      </c>
      <c r="S982" t="n">
        <v>0</v>
      </c>
      <c r="T982" t="n">
        <v>0</v>
      </c>
      <c r="U982" s="2" t="inlineStr"/>
    </row>
    <row r="983" ht="15" customHeight="1">
      <c r="A983" t="inlineStr">
        <is>
          <t>A 61283-2024</t>
        </is>
      </c>
      <c r="B983" t="inlineStr">
        <is>
          <t>avverkningsanmälan</t>
        </is>
      </c>
      <c r="C983" t="inlineStr">
        <is>
          <t>Föryngringsavverkning</t>
        </is>
      </c>
      <c r="D983" s="1" t="n">
        <v>45645</v>
      </c>
      <c r="E983" s="1" t="n">
        <v>46217</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61287-2024</t>
        </is>
      </c>
      <c r="B984" t="inlineStr">
        <is>
          <t>avverkningsanmälan</t>
        </is>
      </c>
      <c r="C984" t="inlineStr">
        <is>
          <t>Föryngringsavverkning</t>
        </is>
      </c>
      <c r="D984" s="1" t="n">
        <v>45645</v>
      </c>
      <c r="E984" s="1" t="n">
        <v>46217</v>
      </c>
      <c r="F984" t="inlineStr">
        <is>
          <t>JÖNKÖPINGS LÄN</t>
        </is>
      </c>
      <c r="G984" t="inlineStr">
        <is>
          <t>VETLANDA</t>
        </is>
      </c>
      <c r="H984" t="inlineStr">
        <is>
          <t>Sveaskog</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45945-2024</t>
        </is>
      </c>
      <c r="B985" t="inlineStr">
        <is>
          <t>avverkningsanmälan</t>
        </is>
      </c>
      <c r="C985" t="inlineStr">
        <is>
          <t>Föryngringsavverkning</t>
        </is>
      </c>
      <c r="D985" s="1" t="n">
        <v>45580</v>
      </c>
      <c r="E985" s="1" t="n">
        <v>46217</v>
      </c>
      <c r="F985" t="inlineStr">
        <is>
          <t>JÖNKÖPINGS LÄN</t>
        </is>
      </c>
      <c r="G985" t="inlineStr">
        <is>
          <t>VETLANDA</t>
        </is>
      </c>
      <c r="I985" t="n">
        <v>1.1</v>
      </c>
      <c r="J985" t="n">
        <v>0</v>
      </c>
      <c r="K985" t="n">
        <v>0</v>
      </c>
      <c r="L985" t="n">
        <v>0</v>
      </c>
      <c r="M985" t="n">
        <v>0</v>
      </c>
      <c r="N985" t="n">
        <v>0</v>
      </c>
      <c r="O985" t="n">
        <v>0</v>
      </c>
      <c r="P985" t="n">
        <v>0</v>
      </c>
      <c r="Q985" t="n">
        <v>0</v>
      </c>
      <c r="R985" t="n">
        <v>0</v>
      </c>
      <c r="S985" t="n">
        <v>0</v>
      </c>
      <c r="T985" t="n">
        <v>0</v>
      </c>
      <c r="U985" s="2" t="inlineStr"/>
    </row>
    <row r="986" ht="15" customHeight="1">
      <c r="A986" t="inlineStr">
        <is>
          <t>A 21824-2022</t>
        </is>
      </c>
      <c r="B986" t="inlineStr">
        <is>
          <t>avverkningsanmälan</t>
        </is>
      </c>
      <c r="C986" t="inlineStr">
        <is>
          <t>Föryngringsavverkning</t>
        </is>
      </c>
      <c r="D986" s="1" t="n">
        <v>44710</v>
      </c>
      <c r="E986" s="1" t="n">
        <v>46217</v>
      </c>
      <c r="F986" t="inlineStr">
        <is>
          <t>JÖNKÖPINGS LÄN</t>
        </is>
      </c>
      <c r="G986" t="inlineStr">
        <is>
          <t>VETLANDA</t>
        </is>
      </c>
      <c r="I986" t="n">
        <v>3.8</v>
      </c>
      <c r="J986" t="n">
        <v>0</v>
      </c>
      <c r="K986" t="n">
        <v>0</v>
      </c>
      <c r="L986" t="n">
        <v>0</v>
      </c>
      <c r="M986" t="n">
        <v>0</v>
      </c>
      <c r="N986" t="n">
        <v>0</v>
      </c>
      <c r="O986" t="n">
        <v>0</v>
      </c>
      <c r="P986" t="n">
        <v>0</v>
      </c>
      <c r="Q986" t="n">
        <v>0</v>
      </c>
      <c r="R986" t="n">
        <v>0</v>
      </c>
      <c r="S986" t="n">
        <v>0</v>
      </c>
      <c r="T986" t="n">
        <v>0</v>
      </c>
      <c r="U986" s="2" t="inlineStr"/>
    </row>
    <row r="987" ht="15" customHeight="1">
      <c r="A987" t="inlineStr">
        <is>
          <t>A 3790-2024</t>
        </is>
      </c>
      <c r="B987" t="inlineStr">
        <is>
          <t>avverkningsanmälan</t>
        </is>
      </c>
      <c r="C987" t="inlineStr">
        <is>
          <t>Föryngringsavverkning</t>
        </is>
      </c>
      <c r="D987" s="1" t="n">
        <v>45321</v>
      </c>
      <c r="E987" s="1" t="n">
        <v>46217</v>
      </c>
      <c r="F987" t="inlineStr">
        <is>
          <t>JÖNKÖPINGS LÄN</t>
        </is>
      </c>
      <c r="G987" t="inlineStr">
        <is>
          <t>VETLANDA</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43234-2023</t>
        </is>
      </c>
      <c r="B988" t="inlineStr">
        <is>
          <t>avverkningsanmälan</t>
        </is>
      </c>
      <c r="C988" t="inlineStr">
        <is>
          <t>Föryngringsavverkning</t>
        </is>
      </c>
      <c r="D988" s="1" t="n">
        <v>45183</v>
      </c>
      <c r="E988" s="1" t="n">
        <v>46217</v>
      </c>
      <c r="F988" t="inlineStr">
        <is>
          <t>JÖNKÖPINGS LÄN</t>
        </is>
      </c>
      <c r="G988" t="inlineStr">
        <is>
          <t>VETLANDA</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27793-2022</t>
        </is>
      </c>
      <c r="B989" t="inlineStr">
        <is>
          <t>avverkningsanmälan</t>
        </is>
      </c>
      <c r="C989" t="inlineStr">
        <is>
          <t>Föryngringsavverkning</t>
        </is>
      </c>
      <c r="D989" s="1" t="n">
        <v>44743</v>
      </c>
      <c r="E989" s="1" t="n">
        <v>46217</v>
      </c>
      <c r="F989" t="inlineStr">
        <is>
          <t>JÖNKÖPINGS LÄN</t>
        </is>
      </c>
      <c r="G989" t="inlineStr">
        <is>
          <t>VETLANDA</t>
        </is>
      </c>
      <c r="I989" t="n">
        <v>2.5</v>
      </c>
      <c r="J989" t="n">
        <v>0</v>
      </c>
      <c r="K989" t="n">
        <v>0</v>
      </c>
      <c r="L989" t="n">
        <v>0</v>
      </c>
      <c r="M989" t="n">
        <v>0</v>
      </c>
      <c r="N989" t="n">
        <v>0</v>
      </c>
      <c r="O989" t="n">
        <v>0</v>
      </c>
      <c r="P989" t="n">
        <v>0</v>
      </c>
      <c r="Q989" t="n">
        <v>0</v>
      </c>
      <c r="R989" t="n">
        <v>0</v>
      </c>
      <c r="S989" t="n">
        <v>0</v>
      </c>
      <c r="T989" t="n">
        <v>0</v>
      </c>
      <c r="U989" s="2" t="inlineStr"/>
    </row>
    <row r="990" ht="15" customHeight="1">
      <c r="A990" t="inlineStr">
        <is>
          <t>A 33681-2023</t>
        </is>
      </c>
      <c r="B990" t="inlineStr">
        <is>
          <t>avverkningsanmälan</t>
        </is>
      </c>
      <c r="C990" t="inlineStr">
        <is>
          <t>Föryngringsavverkning</t>
        </is>
      </c>
      <c r="D990" s="1" t="n">
        <v>45132</v>
      </c>
      <c r="E990" s="1" t="n">
        <v>46217</v>
      </c>
      <c r="F990" t="inlineStr">
        <is>
          <t>JÖNKÖPINGS LÄN</t>
        </is>
      </c>
      <c r="G990" t="inlineStr">
        <is>
          <t>VETLANDA</t>
        </is>
      </c>
      <c r="I990" t="n">
        <v>2.1</v>
      </c>
      <c r="J990" t="n">
        <v>0</v>
      </c>
      <c r="K990" t="n">
        <v>0</v>
      </c>
      <c r="L990" t="n">
        <v>0</v>
      </c>
      <c r="M990" t="n">
        <v>0</v>
      </c>
      <c r="N990" t="n">
        <v>0</v>
      </c>
      <c r="O990" t="n">
        <v>0</v>
      </c>
      <c r="P990" t="n">
        <v>0</v>
      </c>
      <c r="Q990" t="n">
        <v>0</v>
      </c>
      <c r="R990" t="n">
        <v>0</v>
      </c>
      <c r="S990" t="n">
        <v>0</v>
      </c>
      <c r="T990" t="n">
        <v>0</v>
      </c>
      <c r="U990" s="2" t="inlineStr"/>
    </row>
    <row r="991" ht="15" customHeight="1">
      <c r="A991" t="inlineStr">
        <is>
          <t>A 61721-2024</t>
        </is>
      </c>
      <c r="B991" t="inlineStr">
        <is>
          <t>avverkningsanmälan</t>
        </is>
      </c>
      <c r="C991" t="inlineStr">
        <is>
          <t>Föryngringsavverkning</t>
        </is>
      </c>
      <c r="D991" s="1" t="n">
        <v>45649</v>
      </c>
      <c r="E991" s="1" t="n">
        <v>46217</v>
      </c>
      <c r="F991" t="inlineStr">
        <is>
          <t>JÖNKÖPINGS LÄN</t>
        </is>
      </c>
      <c r="G991" t="inlineStr">
        <is>
          <t>VETLANDA</t>
        </is>
      </c>
      <c r="H991" t="inlineStr">
        <is>
          <t>Kyrkan</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34802-2024</t>
        </is>
      </c>
      <c r="B992" t="inlineStr">
        <is>
          <t>avverkningsanmälan</t>
        </is>
      </c>
      <c r="C992" t="inlineStr">
        <is>
          <t>Föryngringsavverkning</t>
        </is>
      </c>
      <c r="D992" s="1" t="n">
        <v>45526</v>
      </c>
      <c r="E992" s="1" t="n">
        <v>46217</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2221-2025</t>
        </is>
      </c>
      <c r="B993" t="inlineStr">
        <is>
          <t>avverkningsanmälan</t>
        </is>
      </c>
      <c r="C993" t="inlineStr">
        <is>
          <t>Föryngringsavverkning</t>
        </is>
      </c>
      <c r="D993" s="1" t="n">
        <v>45673</v>
      </c>
      <c r="E993" s="1" t="n">
        <v>46217</v>
      </c>
      <c r="F993" t="inlineStr">
        <is>
          <t>JÖNKÖPINGS LÄN</t>
        </is>
      </c>
      <c r="G993" t="inlineStr">
        <is>
          <t>VETLANDA</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7041-2025</t>
        </is>
      </c>
      <c r="B994" t="inlineStr">
        <is>
          <t>avverkningsanmälan</t>
        </is>
      </c>
      <c r="C994" t="inlineStr">
        <is>
          <t>Föryngringsavverkning</t>
        </is>
      </c>
      <c r="D994" s="1" t="n">
        <v>45701</v>
      </c>
      <c r="E994" s="1" t="n">
        <v>46217</v>
      </c>
      <c r="F994" t="inlineStr">
        <is>
          <t>JÖNKÖPINGS LÄN</t>
        </is>
      </c>
      <c r="G994" t="inlineStr">
        <is>
          <t>VETLANDA</t>
        </is>
      </c>
      <c r="H994" t="inlineStr">
        <is>
          <t>Sveaskog</t>
        </is>
      </c>
      <c r="I994" t="n">
        <v>3.1</v>
      </c>
      <c r="J994" t="n">
        <v>0</v>
      </c>
      <c r="K994" t="n">
        <v>0</v>
      </c>
      <c r="L994" t="n">
        <v>0</v>
      </c>
      <c r="M994" t="n">
        <v>0</v>
      </c>
      <c r="N994" t="n">
        <v>0</v>
      </c>
      <c r="O994" t="n">
        <v>0</v>
      </c>
      <c r="P994" t="n">
        <v>0</v>
      </c>
      <c r="Q994" t="n">
        <v>0</v>
      </c>
      <c r="R994" t="n">
        <v>0</v>
      </c>
      <c r="S994" t="n">
        <v>0</v>
      </c>
      <c r="T994" t="n">
        <v>0</v>
      </c>
      <c r="U994" s="2" t="inlineStr"/>
    </row>
    <row r="995" ht="15" customHeight="1">
      <c r="A995" t="inlineStr">
        <is>
          <t>A 50695-2021</t>
        </is>
      </c>
      <c r="B995" t="inlineStr">
        <is>
          <t>avverkningsanmälan</t>
        </is>
      </c>
      <c r="C995" t="inlineStr">
        <is>
          <t>Föryngringsavverkning</t>
        </is>
      </c>
      <c r="D995" s="1" t="n">
        <v>44459</v>
      </c>
      <c r="E995" s="1" t="n">
        <v>46217</v>
      </c>
      <c r="F995" t="inlineStr">
        <is>
          <t>JÖNKÖPINGS LÄN</t>
        </is>
      </c>
      <c r="G995" t="inlineStr">
        <is>
          <t>VETLANDA</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7824-2023</t>
        </is>
      </c>
      <c r="B996" t="inlineStr">
        <is>
          <t>avverkningsanmälan</t>
        </is>
      </c>
      <c r="C996" t="inlineStr">
        <is>
          <t>Föryngringsavverkning</t>
        </is>
      </c>
      <c r="D996" s="1" t="n">
        <v>44970</v>
      </c>
      <c r="E996" s="1" t="n">
        <v>46217</v>
      </c>
      <c r="F996" t="inlineStr">
        <is>
          <t>JÖNKÖPINGS LÄN</t>
        </is>
      </c>
      <c r="G996" t="inlineStr">
        <is>
          <t>VETLANDA</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9497-2024</t>
        </is>
      </c>
      <c r="B997" t="inlineStr">
        <is>
          <t>avverkningsanmälan</t>
        </is>
      </c>
      <c r="C997" t="inlineStr">
        <is>
          <t>Föryngringsavverkning</t>
        </is>
      </c>
      <c r="D997" s="1" t="n">
        <v>45359</v>
      </c>
      <c r="E997" s="1" t="n">
        <v>46217</v>
      </c>
      <c r="F997" t="inlineStr">
        <is>
          <t>JÖNKÖPINGS LÄN</t>
        </is>
      </c>
      <c r="G997" t="inlineStr">
        <is>
          <t>VETLANDA</t>
        </is>
      </c>
      <c r="I997" t="n">
        <v>1.7</v>
      </c>
      <c r="J997" t="n">
        <v>0</v>
      </c>
      <c r="K997" t="n">
        <v>0</v>
      </c>
      <c r="L997" t="n">
        <v>0</v>
      </c>
      <c r="M997" t="n">
        <v>0</v>
      </c>
      <c r="N997" t="n">
        <v>0</v>
      </c>
      <c r="O997" t="n">
        <v>0</v>
      </c>
      <c r="P997" t="n">
        <v>0</v>
      </c>
      <c r="Q997" t="n">
        <v>0</v>
      </c>
      <c r="R997" t="n">
        <v>0</v>
      </c>
      <c r="S997" t="n">
        <v>0</v>
      </c>
      <c r="T997" t="n">
        <v>0</v>
      </c>
      <c r="U997" s="2" t="inlineStr"/>
    </row>
    <row r="998" ht="15" customHeight="1">
      <c r="A998" t="inlineStr">
        <is>
          <t>A 56403-2024</t>
        </is>
      </c>
      <c r="B998" t="inlineStr">
        <is>
          <t>avverkningsanmälan</t>
        </is>
      </c>
      <c r="C998" t="inlineStr">
        <is>
          <t>Föryngringsavverkning</t>
        </is>
      </c>
      <c r="D998" s="1" t="n">
        <v>45625</v>
      </c>
      <c r="E998" s="1" t="n">
        <v>46217</v>
      </c>
      <c r="F998" t="inlineStr">
        <is>
          <t>JÖNKÖPINGS LÄN</t>
        </is>
      </c>
      <c r="G998" t="inlineStr">
        <is>
          <t>VETLANDA</t>
        </is>
      </c>
      <c r="I998" t="n">
        <v>3.5</v>
      </c>
      <c r="J998" t="n">
        <v>0</v>
      </c>
      <c r="K998" t="n">
        <v>0</v>
      </c>
      <c r="L998" t="n">
        <v>0</v>
      </c>
      <c r="M998" t="n">
        <v>0</v>
      </c>
      <c r="N998" t="n">
        <v>0</v>
      </c>
      <c r="O998" t="n">
        <v>0</v>
      </c>
      <c r="P998" t="n">
        <v>0</v>
      </c>
      <c r="Q998" t="n">
        <v>0</v>
      </c>
      <c r="R998" t="n">
        <v>0</v>
      </c>
      <c r="S998" t="n">
        <v>0</v>
      </c>
      <c r="T998" t="n">
        <v>0</v>
      </c>
      <c r="U998" s="2" t="inlineStr"/>
    </row>
    <row r="999" ht="15" customHeight="1">
      <c r="A999" t="inlineStr">
        <is>
          <t>A 37846-2024</t>
        </is>
      </c>
      <c r="B999" t="inlineStr">
        <is>
          <t>avverkningsanmälan</t>
        </is>
      </c>
      <c r="C999" t="inlineStr">
        <is>
          <t>Föryngringsavverkning</t>
        </is>
      </c>
      <c r="D999" s="1" t="n">
        <v>45544</v>
      </c>
      <c r="E999" s="1" t="n">
        <v>46217</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s="2" t="inlineStr"/>
    </row>
    <row r="1000" ht="15" customHeight="1">
      <c r="A1000" t="inlineStr">
        <is>
          <t>A 7828-2023</t>
        </is>
      </c>
      <c r="B1000" t="inlineStr">
        <is>
          <t>avverkningsanmälan</t>
        </is>
      </c>
      <c r="C1000" t="inlineStr">
        <is>
          <t>Föryngringsavverkning</t>
        </is>
      </c>
      <c r="D1000" s="1" t="n">
        <v>44970</v>
      </c>
      <c r="E1000" s="1" t="n">
        <v>46217</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2497-2025</t>
        </is>
      </c>
      <c r="B1001" t="inlineStr">
        <is>
          <t>avverkningsanmälan</t>
        </is>
      </c>
      <c r="C1001" t="inlineStr">
        <is>
          <t>Föryngringsavverkning</t>
        </is>
      </c>
      <c r="D1001" s="1" t="n">
        <v>45674</v>
      </c>
      <c r="E1001" s="1" t="n">
        <v>46217</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12875-2024</t>
        </is>
      </c>
      <c r="B1002" t="inlineStr">
        <is>
          <t>avverkningsanmälan</t>
        </is>
      </c>
      <c r="C1002" t="inlineStr">
        <is>
          <t>Föryngringsavverkning</t>
        </is>
      </c>
      <c r="D1002" s="1" t="n">
        <v>45385</v>
      </c>
      <c r="E1002" s="1" t="n">
        <v>46217</v>
      </c>
      <c r="F1002" t="inlineStr">
        <is>
          <t>JÖNKÖPINGS LÄN</t>
        </is>
      </c>
      <c r="G1002" t="inlineStr">
        <is>
          <t>VETLANDA</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44331-2023</t>
        </is>
      </c>
      <c r="B1003" t="inlineStr">
        <is>
          <t>avverkningsanmälan</t>
        </is>
      </c>
      <c r="C1003" t="inlineStr">
        <is>
          <t>Föryngringsavverkning</t>
        </is>
      </c>
      <c r="D1003" s="1" t="n">
        <v>45188</v>
      </c>
      <c r="E1003" s="1" t="n">
        <v>46217</v>
      </c>
      <c r="F1003" t="inlineStr">
        <is>
          <t>JÖNKÖPINGS LÄN</t>
        </is>
      </c>
      <c r="G1003" t="inlineStr">
        <is>
          <t>VETLANDA</t>
        </is>
      </c>
      <c r="I1003" t="n">
        <v>1.6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2772-2024</t>
        </is>
      </c>
      <c r="B1004" t="inlineStr">
        <is>
          <t>avverkningsanmälan</t>
        </is>
      </c>
      <c r="C1004" t="inlineStr">
        <is>
          <t>Föryngringsavverkning</t>
        </is>
      </c>
      <c r="D1004" s="1" t="n">
        <v>45314</v>
      </c>
      <c r="E1004" s="1" t="n">
        <v>46217</v>
      </c>
      <c r="F1004" t="inlineStr">
        <is>
          <t>JÖNKÖPINGS LÄN</t>
        </is>
      </c>
      <c r="G1004" t="inlineStr">
        <is>
          <t>VETLANDA</t>
        </is>
      </c>
      <c r="I1004" t="n">
        <v>2.3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61285-2024</t>
        </is>
      </c>
      <c r="B1005" t="inlineStr">
        <is>
          <t>avverkningsanmälan</t>
        </is>
      </c>
      <c r="C1005" t="inlineStr">
        <is>
          <t>Föryngringsavverkning</t>
        </is>
      </c>
      <c r="D1005" s="1" t="n">
        <v>45645</v>
      </c>
      <c r="E1005" s="1" t="n">
        <v>46217</v>
      </c>
      <c r="F1005" t="inlineStr">
        <is>
          <t>JÖNKÖPINGS LÄN</t>
        </is>
      </c>
      <c r="G1005" t="inlineStr">
        <is>
          <t>VETLANDA</t>
        </is>
      </c>
      <c r="H1005" t="inlineStr">
        <is>
          <t>Sveaskog</t>
        </is>
      </c>
      <c r="I1005" t="n">
        <v>3.5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61293-2024</t>
        </is>
      </c>
      <c r="B1006" t="inlineStr">
        <is>
          <t>avverkningsanmälan</t>
        </is>
      </c>
      <c r="C1006" t="inlineStr">
        <is>
          <t>Föryngringsavverkning</t>
        </is>
      </c>
      <c r="D1006" s="1" t="n">
        <v>45645</v>
      </c>
      <c r="E1006" s="1" t="n">
        <v>46217</v>
      </c>
      <c r="F1006" t="inlineStr">
        <is>
          <t>JÖNKÖPINGS LÄN</t>
        </is>
      </c>
      <c r="G1006" t="inlineStr">
        <is>
          <t>VETLANDA</t>
        </is>
      </c>
      <c r="H1006" t="inlineStr">
        <is>
          <t>Sveaskog</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53101-2023</t>
        </is>
      </c>
      <c r="B1007" t="inlineStr">
        <is>
          <t>avverkningsanmälan</t>
        </is>
      </c>
      <c r="C1007" t="inlineStr">
        <is>
          <t>Föryngringsavverkning</t>
        </is>
      </c>
      <c r="D1007" s="1" t="n">
        <v>45228</v>
      </c>
      <c r="E1007" s="1" t="n">
        <v>46217</v>
      </c>
      <c r="F1007" t="inlineStr">
        <is>
          <t>JÖNKÖPINGS LÄN</t>
        </is>
      </c>
      <c r="G1007" t="inlineStr">
        <is>
          <t>VETLANDA</t>
        </is>
      </c>
      <c r="I1007" t="n">
        <v>3.3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4941-2024</t>
        </is>
      </c>
      <c r="B1008" t="inlineStr">
        <is>
          <t>avverkningsanmälan</t>
        </is>
      </c>
      <c r="C1008" t="inlineStr">
        <is>
          <t>Föryngringsavverkning</t>
        </is>
      </c>
      <c r="D1008" s="1" t="n">
        <v>45329</v>
      </c>
      <c r="E1008" s="1" t="n">
        <v>46217</v>
      </c>
      <c r="F1008" t="inlineStr">
        <is>
          <t>JÖNKÖPINGS LÄN</t>
        </is>
      </c>
      <c r="G1008" t="inlineStr">
        <is>
          <t>VETLANDA</t>
        </is>
      </c>
      <c r="I1008" t="n">
        <v>2.1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13811-2025</t>
        </is>
      </c>
      <c r="B1009" t="inlineStr">
        <is>
          <t>avverkningsanmälan</t>
        </is>
      </c>
      <c r="C1009" t="inlineStr">
        <is>
          <t>Föryngringsavverkning</t>
        </is>
      </c>
      <c r="D1009" s="1" t="n">
        <v>45737</v>
      </c>
      <c r="E1009" s="1" t="n">
        <v>46217</v>
      </c>
      <c r="F1009" t="inlineStr">
        <is>
          <t>JÖNKÖPINGS LÄN</t>
        </is>
      </c>
      <c r="G1009" t="inlineStr">
        <is>
          <t>VETLANDA</t>
        </is>
      </c>
      <c r="I1009" t="n">
        <v>2.4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13813-2025</t>
        </is>
      </c>
      <c r="B1010" t="inlineStr">
        <is>
          <t>avverkningsanmälan</t>
        </is>
      </c>
      <c r="C1010" t="inlineStr">
        <is>
          <t>Föryngringsavverkning</t>
        </is>
      </c>
      <c r="D1010" s="1" t="n">
        <v>45737</v>
      </c>
      <c r="E1010" s="1" t="n">
        <v>46217</v>
      </c>
      <c r="F1010" t="inlineStr">
        <is>
          <t>JÖNKÖPINGS LÄN</t>
        </is>
      </c>
      <c r="G1010" t="inlineStr">
        <is>
          <t>VETLANDA</t>
        </is>
      </c>
      <c r="I1010" t="n">
        <v>1.8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11816-2024</t>
        </is>
      </c>
      <c r="B1011" t="inlineStr">
        <is>
          <t>avverkningsanmälan</t>
        </is>
      </c>
      <c r="C1011" t="inlineStr">
        <is>
          <t>Föryngringsavverkning</t>
        </is>
      </c>
      <c r="D1011" s="1" t="n">
        <v>45376</v>
      </c>
      <c r="E1011" s="1" t="n">
        <v>46217</v>
      </c>
      <c r="F1011" t="inlineStr">
        <is>
          <t>JÖNKÖPINGS LÄN</t>
        </is>
      </c>
      <c r="G1011" t="inlineStr">
        <is>
          <t>VETLANDA</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7113-2025</t>
        </is>
      </c>
      <c r="B1012" t="inlineStr">
        <is>
          <t>avverkningsanmälan</t>
        </is>
      </c>
      <c r="C1012" t="inlineStr">
        <is>
          <t>Avverkning för annat ändamål</t>
        </is>
      </c>
      <c r="D1012" s="1" t="n">
        <v>45702</v>
      </c>
      <c r="E1012" s="1" t="n">
        <v>46217</v>
      </c>
      <c r="F1012" t="inlineStr">
        <is>
          <t>JÖNKÖPINGS LÄN</t>
        </is>
      </c>
      <c r="G1012" t="inlineStr">
        <is>
          <t>VETLANDA</t>
        </is>
      </c>
      <c r="H1012" t="inlineStr">
        <is>
          <t>Sveaskog</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2849-2024</t>
        </is>
      </c>
      <c r="B1013" t="inlineStr">
        <is>
          <t>avverkningsanmälan</t>
        </is>
      </c>
      <c r="C1013" t="inlineStr">
        <is>
          <t>Föryngringsavverkning</t>
        </is>
      </c>
      <c r="D1013" s="1" t="n">
        <v>45315</v>
      </c>
      <c r="E1013" s="1" t="n">
        <v>46217</v>
      </c>
      <c r="F1013" t="inlineStr">
        <is>
          <t>JÖNKÖPINGS LÄN</t>
        </is>
      </c>
      <c r="G1013" t="inlineStr">
        <is>
          <t>VETLANDA</t>
        </is>
      </c>
      <c r="I1013" t="n">
        <v>2.5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3310-2023</t>
        </is>
      </c>
      <c r="B1014" t="inlineStr">
        <is>
          <t>avverkningsanmälan</t>
        </is>
      </c>
      <c r="C1014" t="inlineStr">
        <is>
          <t>Föryngringsavverkning</t>
        </is>
      </c>
      <c r="D1014" s="1" t="n">
        <v>44949</v>
      </c>
      <c r="E1014" s="1" t="n">
        <v>46217</v>
      </c>
      <c r="F1014" t="inlineStr">
        <is>
          <t>JÖNKÖPINGS LÄN</t>
        </is>
      </c>
      <c r="G1014" t="inlineStr">
        <is>
          <t>VETLANDA</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53474-2023</t>
        </is>
      </c>
      <c r="B1015" t="inlineStr">
        <is>
          <t>avverkningsanmälan</t>
        </is>
      </c>
      <c r="C1015" t="inlineStr">
        <is>
          <t>Föryngringsavverkning</t>
        </is>
      </c>
      <c r="D1015" s="1" t="n">
        <v>45230</v>
      </c>
      <c r="E1015" s="1" t="n">
        <v>46217</v>
      </c>
      <c r="F1015" t="inlineStr">
        <is>
          <t>JÖNKÖPINGS LÄN</t>
        </is>
      </c>
      <c r="G1015" t="inlineStr">
        <is>
          <t>VETLANDA</t>
        </is>
      </c>
      <c r="H1015" t="inlineStr">
        <is>
          <t>Sveaskog</t>
        </is>
      </c>
      <c r="I1015" t="n">
        <v>1.9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49411-2024</t>
        </is>
      </c>
      <c r="B1016" t="inlineStr">
        <is>
          <t>avverkningsanmälan</t>
        </is>
      </c>
      <c r="C1016" t="inlineStr">
        <is>
          <t>Föryngringsavverkning</t>
        </is>
      </c>
      <c r="D1016" s="1" t="n">
        <v>45595</v>
      </c>
      <c r="E1016" s="1" t="n">
        <v>46217</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1587-2025</t>
        </is>
      </c>
      <c r="B1017" t="inlineStr">
        <is>
          <t>avverkningsanmälan</t>
        </is>
      </c>
      <c r="C1017" t="inlineStr">
        <is>
          <t>Föryngringsavverkning</t>
        </is>
      </c>
      <c r="D1017" s="1" t="n">
        <v>45670</v>
      </c>
      <c r="E1017" s="1" t="n">
        <v>46217</v>
      </c>
      <c r="F1017" t="inlineStr">
        <is>
          <t>JÖNKÖPINGS LÄN</t>
        </is>
      </c>
      <c r="G1017" t="inlineStr">
        <is>
          <t>VETLANDA</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63451-2023</t>
        </is>
      </c>
      <c r="B1018" t="inlineStr">
        <is>
          <t>avverkningsanmälan</t>
        </is>
      </c>
      <c r="C1018" t="inlineStr">
        <is>
          <t>Föryngringsavverkning</t>
        </is>
      </c>
      <c r="D1018" s="1" t="n">
        <v>45274</v>
      </c>
      <c r="E1018" s="1" t="n">
        <v>46217</v>
      </c>
      <c r="F1018" t="inlineStr">
        <is>
          <t>JÖNKÖPINGS LÄN</t>
        </is>
      </c>
      <c r="G1018" t="inlineStr">
        <is>
          <t>VETLANDA</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32374-2022</t>
        </is>
      </c>
      <c r="B1019" t="inlineStr">
        <is>
          <t>avverkningsanmälan</t>
        </is>
      </c>
      <c r="C1019" t="inlineStr">
        <is>
          <t>Föryngringsavverkning</t>
        </is>
      </c>
      <c r="D1019" s="1" t="n">
        <v>44781</v>
      </c>
      <c r="E1019" s="1" t="n">
        <v>46217</v>
      </c>
      <c r="F1019" t="inlineStr">
        <is>
          <t>JÖNKÖPINGS LÄN</t>
        </is>
      </c>
      <c r="G1019" t="inlineStr">
        <is>
          <t>VETLANDA</t>
        </is>
      </c>
      <c r="I1019" t="n">
        <v>3.8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20964-2024</t>
        </is>
      </c>
      <c r="B1020" t="inlineStr">
        <is>
          <t>avverkningsanmälan</t>
        </is>
      </c>
      <c r="C1020" t="inlineStr">
        <is>
          <t>Föryngringsavverkning</t>
        </is>
      </c>
      <c r="D1020" s="1" t="n">
        <v>45439</v>
      </c>
      <c r="E1020" s="1" t="n">
        <v>46217</v>
      </c>
      <c r="F1020" t="inlineStr">
        <is>
          <t>JÖNKÖPINGS LÄN</t>
        </is>
      </c>
      <c r="G1020" t="inlineStr">
        <is>
          <t>VETLANDA</t>
        </is>
      </c>
      <c r="I1020" t="n">
        <v>2.2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7623-2024</t>
        </is>
      </c>
      <c r="B1021" t="inlineStr">
        <is>
          <t>avverkningsanmälan</t>
        </is>
      </c>
      <c r="C1021" t="inlineStr">
        <is>
          <t>Föryngringsavverkning</t>
        </is>
      </c>
      <c r="D1021" s="1" t="n">
        <v>45348</v>
      </c>
      <c r="E1021" s="1" t="n">
        <v>46217</v>
      </c>
      <c r="F1021" t="inlineStr">
        <is>
          <t>JÖNKÖPINGS LÄN</t>
        </is>
      </c>
      <c r="G1021" t="inlineStr">
        <is>
          <t>VETLANDA</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21818-2025</t>
        </is>
      </c>
      <c r="B1022" t="inlineStr">
        <is>
          <t>avverkningsanmälan</t>
        </is>
      </c>
      <c r="C1022" t="inlineStr">
        <is>
          <t>Föryngringsavverkning</t>
        </is>
      </c>
      <c r="D1022" s="1" t="n">
        <v>45783</v>
      </c>
      <c r="E1022" s="1" t="n">
        <v>46217</v>
      </c>
      <c r="F1022" t="inlineStr">
        <is>
          <t>JÖNKÖPINGS LÄN</t>
        </is>
      </c>
      <c r="G1022" t="inlineStr">
        <is>
          <t>VETLANDA</t>
        </is>
      </c>
      <c r="I1022" t="n">
        <v>0.7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21676-2025</t>
        </is>
      </c>
      <c r="B1023" t="inlineStr">
        <is>
          <t>avverkningsanmälan</t>
        </is>
      </c>
      <c r="C1023" t="inlineStr">
        <is>
          <t>Föryngringsavverkning</t>
        </is>
      </c>
      <c r="D1023" s="1" t="n">
        <v>45783</v>
      </c>
      <c r="E1023" s="1" t="n">
        <v>46217</v>
      </c>
      <c r="F1023" t="inlineStr">
        <is>
          <t>JÖNKÖPINGS LÄN</t>
        </is>
      </c>
      <c r="G1023" t="inlineStr">
        <is>
          <t>VETLANDA</t>
        </is>
      </c>
      <c r="I1023" t="n">
        <v>2.4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9874-2025</t>
        </is>
      </c>
      <c r="B1024" t="inlineStr">
        <is>
          <t>avverkningsanmälan</t>
        </is>
      </c>
      <c r="C1024" t="inlineStr">
        <is>
          <t>Föryngringsavverkning</t>
        </is>
      </c>
      <c r="D1024" s="1" t="n">
        <v>45716</v>
      </c>
      <c r="E1024" s="1" t="n">
        <v>46217</v>
      </c>
      <c r="F1024" t="inlineStr">
        <is>
          <t>JÖNKÖPINGS LÄN</t>
        </is>
      </c>
      <c r="G1024" t="inlineStr">
        <is>
          <t>VETLANDA</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24058-2024</t>
        </is>
      </c>
      <c r="B1025" t="inlineStr">
        <is>
          <t>avverkningsanmälan</t>
        </is>
      </c>
      <c r="C1025" t="inlineStr">
        <is>
          <t>Föryngringsavverkning</t>
        </is>
      </c>
      <c r="D1025" s="1" t="n">
        <v>45456</v>
      </c>
      <c r="E1025" s="1" t="n">
        <v>46217</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4644-2022</t>
        </is>
      </c>
      <c r="B1026" t="inlineStr">
        <is>
          <t>avverkningsanmälan</t>
        </is>
      </c>
      <c r="C1026" t="inlineStr">
        <is>
          <t>Föryngringsavverkning</t>
        </is>
      </c>
      <c r="D1026" s="1" t="n">
        <v>44592</v>
      </c>
      <c r="E1026" s="1" t="n">
        <v>46217</v>
      </c>
      <c r="F1026" t="inlineStr">
        <is>
          <t>JÖNKÖPINGS LÄN</t>
        </is>
      </c>
      <c r="G1026" t="inlineStr">
        <is>
          <t>VETLANDA</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20967-2024</t>
        </is>
      </c>
      <c r="B1027" t="inlineStr">
        <is>
          <t>avverkningsanmälan</t>
        </is>
      </c>
      <c r="C1027" t="inlineStr">
        <is>
          <t>Föryngringsavverkning</t>
        </is>
      </c>
      <c r="D1027" s="1" t="n">
        <v>45439</v>
      </c>
      <c r="E1027" s="1" t="n">
        <v>46217</v>
      </c>
      <c r="F1027" t="inlineStr">
        <is>
          <t>JÖNKÖPINGS LÄN</t>
        </is>
      </c>
      <c r="G1027" t="inlineStr">
        <is>
          <t>VETLANDA</t>
        </is>
      </c>
      <c r="I1027" t="n">
        <v>1.6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22422-2025</t>
        </is>
      </c>
      <c r="B1028" t="inlineStr">
        <is>
          <t>avverkningsanmälan</t>
        </is>
      </c>
      <c r="C1028" t="inlineStr">
        <is>
          <t>Föryngringsavverkning</t>
        </is>
      </c>
      <c r="D1028" s="1" t="n">
        <v>45786</v>
      </c>
      <c r="E1028" s="1" t="n">
        <v>46217</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50561-2024</t>
        </is>
      </c>
      <c r="B1029" t="inlineStr">
        <is>
          <t>avverkningsanmälan</t>
        </is>
      </c>
      <c r="C1029" t="inlineStr">
        <is>
          <t>Föryngringsavverkning</t>
        </is>
      </c>
      <c r="D1029" s="1" t="n">
        <v>45601</v>
      </c>
      <c r="E1029" s="1" t="n">
        <v>46217</v>
      </c>
      <c r="F1029" t="inlineStr">
        <is>
          <t>JÖNKÖPINGS LÄN</t>
        </is>
      </c>
      <c r="G1029" t="inlineStr">
        <is>
          <t>VETLANDA</t>
        </is>
      </c>
      <c r="I1029" t="n">
        <v>6.9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23581-2025</t>
        </is>
      </c>
      <c r="B1030" t="inlineStr">
        <is>
          <t>avverkningsanmälan</t>
        </is>
      </c>
      <c r="C1030" t="inlineStr">
        <is>
          <t>Föryngringsavverkning</t>
        </is>
      </c>
      <c r="D1030" s="1" t="n">
        <v>45792</v>
      </c>
      <c r="E1030" s="1" t="n">
        <v>46217</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14923-2025</t>
        </is>
      </c>
      <c r="B1031" t="inlineStr">
        <is>
          <t>avverkningsanmälan</t>
        </is>
      </c>
      <c r="C1031" t="inlineStr">
        <is>
          <t>Föryngringsavverkning</t>
        </is>
      </c>
      <c r="D1031" s="1" t="n">
        <v>45743</v>
      </c>
      <c r="E1031" s="1" t="n">
        <v>46217</v>
      </c>
      <c r="F1031" t="inlineStr">
        <is>
          <t>JÖNKÖPINGS LÄN</t>
        </is>
      </c>
      <c r="G1031" t="inlineStr">
        <is>
          <t>VETLANDA</t>
        </is>
      </c>
      <c r="I1031" t="n">
        <v>0.4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12742-2025</t>
        </is>
      </c>
      <c r="B1032" t="inlineStr">
        <is>
          <t>avverkningsanmälan</t>
        </is>
      </c>
      <c r="C1032" t="inlineStr">
        <is>
          <t>Föryngringsavverkning</t>
        </is>
      </c>
      <c r="D1032" s="1" t="n">
        <v>45733</v>
      </c>
      <c r="E1032" s="1" t="n">
        <v>46217</v>
      </c>
      <c r="F1032" t="inlineStr">
        <is>
          <t>JÖNKÖPINGS LÄN</t>
        </is>
      </c>
      <c r="G1032" t="inlineStr">
        <is>
          <t>VETLANDA</t>
        </is>
      </c>
      <c r="I1032" t="n">
        <v>2.6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12748-2025</t>
        </is>
      </c>
      <c r="B1033" t="inlineStr">
        <is>
          <t>avverkningsanmälan</t>
        </is>
      </c>
      <c r="C1033" t="inlineStr">
        <is>
          <t>Föryngringsavverkning</t>
        </is>
      </c>
      <c r="D1033" s="1" t="n">
        <v>45733</v>
      </c>
      <c r="E1033" s="1" t="n">
        <v>46217</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13789-2025</t>
        </is>
      </c>
      <c r="B1034" t="inlineStr">
        <is>
          <t>avverkningsanmälan</t>
        </is>
      </c>
      <c r="C1034" t="inlineStr">
        <is>
          <t>Föryngringsavverkning</t>
        </is>
      </c>
      <c r="D1034" s="1" t="n">
        <v>45737</v>
      </c>
      <c r="E1034" s="1" t="n">
        <v>46217</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13812-2025</t>
        </is>
      </c>
      <c r="B1035" t="inlineStr">
        <is>
          <t>avverkningsanmälan</t>
        </is>
      </c>
      <c r="C1035" t="inlineStr">
        <is>
          <t>Föryngringsavverkning</t>
        </is>
      </c>
      <c r="D1035" s="1" t="n">
        <v>45737</v>
      </c>
      <c r="E1035" s="1" t="n">
        <v>46217</v>
      </c>
      <c r="F1035" t="inlineStr">
        <is>
          <t>JÖNKÖPINGS LÄN</t>
        </is>
      </c>
      <c r="G1035" t="inlineStr">
        <is>
          <t>VETLANDA</t>
        </is>
      </c>
      <c r="I1035" t="n">
        <v>4.5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14749-2025</t>
        </is>
      </c>
      <c r="B1036" t="inlineStr">
        <is>
          <t>avverkningsanmälan</t>
        </is>
      </c>
      <c r="C1036" t="inlineStr">
        <is>
          <t>Föryngringsavverkning</t>
        </is>
      </c>
      <c r="D1036" s="1" t="n">
        <v>45742</v>
      </c>
      <c r="E1036" s="1" t="n">
        <v>46217</v>
      </c>
      <c r="F1036" t="inlineStr">
        <is>
          <t>JÖNKÖPINGS LÄN</t>
        </is>
      </c>
      <c r="G1036" t="inlineStr">
        <is>
          <t>VETLANDA</t>
        </is>
      </c>
      <c r="I1036" t="n">
        <v>11.8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12049-2025</t>
        </is>
      </c>
      <c r="B1037" t="inlineStr">
        <is>
          <t>avverkningsanmälan</t>
        </is>
      </c>
      <c r="C1037" t="inlineStr">
        <is>
          <t>Föryngringsavverkning</t>
        </is>
      </c>
      <c r="D1037" s="1" t="n">
        <v>45728</v>
      </c>
      <c r="E1037" s="1" t="n">
        <v>46217</v>
      </c>
      <c r="F1037" t="inlineStr">
        <is>
          <t>JÖNKÖPINGS LÄN</t>
        </is>
      </c>
      <c r="G1037" t="inlineStr">
        <is>
          <t>VETLANDA</t>
        </is>
      </c>
      <c r="I1037" t="n">
        <v>4.6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14440-2025</t>
        </is>
      </c>
      <c r="B1038" t="inlineStr">
        <is>
          <t>avverkningsanmälan</t>
        </is>
      </c>
      <c r="C1038" t="inlineStr">
        <is>
          <t>Föryngringsavverkning</t>
        </is>
      </c>
      <c r="D1038" s="1" t="n">
        <v>45741</v>
      </c>
      <c r="E1038" s="1" t="n">
        <v>46217</v>
      </c>
      <c r="F1038" t="inlineStr">
        <is>
          <t>JÖNKÖPINGS LÄN</t>
        </is>
      </c>
      <c r="G1038" t="inlineStr">
        <is>
          <t>VETLANDA</t>
        </is>
      </c>
      <c r="H1038" t="inlineStr">
        <is>
          <t>Sveaskog</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14439-2025</t>
        </is>
      </c>
      <c r="B1039" t="inlineStr">
        <is>
          <t>avverkningsanmälan</t>
        </is>
      </c>
      <c r="C1039" t="inlineStr">
        <is>
          <t>Föryngringsavverkning</t>
        </is>
      </c>
      <c r="D1039" s="1" t="n">
        <v>45741</v>
      </c>
      <c r="E1039" s="1" t="n">
        <v>46217</v>
      </c>
      <c r="F1039" t="inlineStr">
        <is>
          <t>JÖNKÖPINGS LÄN</t>
        </is>
      </c>
      <c r="G1039" t="inlineStr">
        <is>
          <t>VETLANDA</t>
        </is>
      </c>
      <c r="H1039" t="inlineStr">
        <is>
          <t>Sveaskog</t>
        </is>
      </c>
      <c r="I1039" t="n">
        <v>3.5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60395-2023</t>
        </is>
      </c>
      <c r="B1040" t="inlineStr">
        <is>
          <t>avverkningsanmälan</t>
        </is>
      </c>
      <c r="C1040" t="inlineStr">
        <is>
          <t>Avverkning för annat ändamål</t>
        </is>
      </c>
      <c r="D1040" s="1" t="n">
        <v>45259</v>
      </c>
      <c r="E1040" s="1" t="n">
        <v>46217</v>
      </c>
      <c r="F1040" t="inlineStr">
        <is>
          <t>JÖNKÖPINGS LÄN</t>
        </is>
      </c>
      <c r="G1040" t="inlineStr">
        <is>
          <t>VETLANDA</t>
        </is>
      </c>
      <c r="I1040" t="n">
        <v>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52776-2024</t>
        </is>
      </c>
      <c r="B1041" t="inlineStr">
        <is>
          <t>avverkningsanmälan</t>
        </is>
      </c>
      <c r="C1041" t="inlineStr">
        <is>
          <t>Föryngringsavverkning</t>
        </is>
      </c>
      <c r="D1041" s="1" t="n">
        <v>45610</v>
      </c>
      <c r="E1041" s="1" t="n">
        <v>46217</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8220-2025</t>
        </is>
      </c>
      <c r="B1042" t="inlineStr">
        <is>
          <t>avverkningsanmälan</t>
        </is>
      </c>
      <c r="C1042" t="inlineStr">
        <is>
          <t>Föryngringsavverkning</t>
        </is>
      </c>
      <c r="D1042" s="1" t="n">
        <v>45708</v>
      </c>
      <c r="E1042" s="1" t="n">
        <v>46217</v>
      </c>
      <c r="F1042" t="inlineStr">
        <is>
          <t>JÖNKÖPINGS LÄN</t>
        </is>
      </c>
      <c r="G1042" t="inlineStr">
        <is>
          <t>VETLANDA</t>
        </is>
      </c>
      <c r="I1042" t="n">
        <v>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21645-2024</t>
        </is>
      </c>
      <c r="B1043" t="inlineStr">
        <is>
          <t>avverkningsanmälan</t>
        </is>
      </c>
      <c r="C1043" t="inlineStr">
        <is>
          <t>Föryngringsavverkning</t>
        </is>
      </c>
      <c r="D1043" s="1" t="n">
        <v>45442</v>
      </c>
      <c r="E1043" s="1" t="n">
        <v>46217</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14941-2025</t>
        </is>
      </c>
      <c r="B1044" t="inlineStr">
        <is>
          <t>avverkningsanmälan</t>
        </is>
      </c>
      <c r="C1044" t="inlineStr">
        <is>
          <t>Föryngringsavverkning</t>
        </is>
      </c>
      <c r="D1044" s="1" t="n">
        <v>45743</v>
      </c>
      <c r="E1044" s="1" t="n">
        <v>46217</v>
      </c>
      <c r="F1044" t="inlineStr">
        <is>
          <t>JÖNKÖPINGS LÄN</t>
        </is>
      </c>
      <c r="G1044" t="inlineStr">
        <is>
          <t>VETLANDA</t>
        </is>
      </c>
      <c r="I1044" t="n">
        <v>2.8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25580-2025</t>
        </is>
      </c>
      <c r="B1045" t="inlineStr">
        <is>
          <t>avverkningsanmälan</t>
        </is>
      </c>
      <c r="C1045" t="inlineStr">
        <is>
          <t>Föryngringsavverkning</t>
        </is>
      </c>
      <c r="D1045" s="1" t="n">
        <v>45803</v>
      </c>
      <c r="E1045" s="1" t="n">
        <v>46217</v>
      </c>
      <c r="F1045" t="inlineStr">
        <is>
          <t>JÖNKÖPINGS LÄN</t>
        </is>
      </c>
      <c r="G1045" t="inlineStr">
        <is>
          <t>VETLANDA</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54052-2024</t>
        </is>
      </c>
      <c r="B1046" t="inlineStr">
        <is>
          <t>avverkningsanmälan</t>
        </is>
      </c>
      <c r="C1046" t="inlineStr">
        <is>
          <t>Föryngringsavverkning</t>
        </is>
      </c>
      <c r="D1046" s="1" t="n">
        <v>45616</v>
      </c>
      <c r="E1046" s="1" t="n">
        <v>46217</v>
      </c>
      <c r="F1046" t="inlineStr">
        <is>
          <t>JÖNKÖPINGS LÄN</t>
        </is>
      </c>
      <c r="G1046" t="inlineStr">
        <is>
          <t>VETLANDA</t>
        </is>
      </c>
      <c r="I1046" t="n">
        <v>2.6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9484-2024</t>
        </is>
      </c>
      <c r="B1047" t="inlineStr">
        <is>
          <t>avverkningsanmälan</t>
        </is>
      </c>
      <c r="C1047" t="inlineStr">
        <is>
          <t>Föryngringsavverkning</t>
        </is>
      </c>
      <c r="D1047" s="1" t="n">
        <v>45359</v>
      </c>
      <c r="E1047" s="1" t="n">
        <v>46217</v>
      </c>
      <c r="F1047" t="inlineStr">
        <is>
          <t>JÖNKÖPINGS LÄN</t>
        </is>
      </c>
      <c r="G1047" t="inlineStr">
        <is>
          <t>VETLANDA</t>
        </is>
      </c>
      <c r="I1047" t="n">
        <v>2.3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26067-2025</t>
        </is>
      </c>
      <c r="B1048" t="inlineStr">
        <is>
          <t>avverkningsanmälan</t>
        </is>
      </c>
      <c r="C1048" t="inlineStr">
        <is>
          <t>Föryngringsavverkning</t>
        </is>
      </c>
      <c r="D1048" s="1" t="n">
        <v>45805</v>
      </c>
      <c r="E1048" s="1" t="n">
        <v>46217</v>
      </c>
      <c r="F1048" t="inlineStr">
        <is>
          <t>JÖNKÖPINGS LÄN</t>
        </is>
      </c>
      <c r="G1048" t="inlineStr">
        <is>
          <t>VETLANDA</t>
        </is>
      </c>
      <c r="I1048" t="n">
        <v>3.2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31412-2024</t>
        </is>
      </c>
      <c r="B1049" t="inlineStr">
        <is>
          <t>avverkningsanmälan</t>
        </is>
      </c>
      <c r="C1049" t="inlineStr">
        <is>
          <t>Avverkning för att bevara och utveckla /försöksver</t>
        </is>
      </c>
      <c r="D1049" s="1" t="n">
        <v>45505</v>
      </c>
      <c r="E1049" s="1" t="n">
        <v>46217</v>
      </c>
      <c r="F1049" t="inlineStr">
        <is>
          <t>JÖNKÖPINGS LÄN</t>
        </is>
      </c>
      <c r="G1049" t="inlineStr">
        <is>
          <t>VETLANDA</t>
        </is>
      </c>
      <c r="I1049" t="n">
        <v>3.8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20046-2024</t>
        </is>
      </c>
      <c r="B1050" t="inlineStr">
        <is>
          <t>avverkningsanmälan</t>
        </is>
      </c>
      <c r="C1050" t="inlineStr">
        <is>
          <t>Föryngringsavverkning</t>
        </is>
      </c>
      <c r="D1050" s="1" t="n">
        <v>45434</v>
      </c>
      <c r="E1050" s="1" t="n">
        <v>46217</v>
      </c>
      <c r="F1050" t="inlineStr">
        <is>
          <t>JÖNKÖPINGS LÄN</t>
        </is>
      </c>
      <c r="G1050" t="inlineStr">
        <is>
          <t>VETLANDA</t>
        </is>
      </c>
      <c r="I1050" t="n">
        <v>2.3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53786-2024</t>
        </is>
      </c>
      <c r="B1051" t="inlineStr">
        <is>
          <t>avverkningsanmälan</t>
        </is>
      </c>
      <c r="C1051" t="inlineStr">
        <is>
          <t>Avverkning för annat ändamål</t>
        </is>
      </c>
      <c r="D1051" s="1" t="n">
        <v>45615</v>
      </c>
      <c r="E1051" s="1" t="n">
        <v>46217</v>
      </c>
      <c r="F1051" t="inlineStr">
        <is>
          <t>JÖNKÖPINGS LÄN</t>
        </is>
      </c>
      <c r="G1051" t="inlineStr">
        <is>
          <t>VETLANDA</t>
        </is>
      </c>
      <c r="I1051" t="n">
        <v>1.5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27322-2025</t>
        </is>
      </c>
      <c r="B1052" t="inlineStr">
        <is>
          <t>avverkningsanmälan</t>
        </is>
      </c>
      <c r="C1052" t="inlineStr">
        <is>
          <t>Föryngringsavverkning</t>
        </is>
      </c>
      <c r="D1052" s="1" t="n">
        <v>45812</v>
      </c>
      <c r="E1052" s="1" t="n">
        <v>46217</v>
      </c>
      <c r="F1052" t="inlineStr">
        <is>
          <t>JÖNKÖPINGS LÄN</t>
        </is>
      </c>
      <c r="G1052" t="inlineStr">
        <is>
          <t>VETLANDA</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27050-2025</t>
        </is>
      </c>
      <c r="B1053" t="inlineStr">
        <is>
          <t>avverkningsanmälan</t>
        </is>
      </c>
      <c r="C1053" t="inlineStr">
        <is>
          <t>Föryngringsavverkning</t>
        </is>
      </c>
      <c r="D1053" s="1" t="n">
        <v>45811</v>
      </c>
      <c r="E1053" s="1" t="n">
        <v>46217</v>
      </c>
      <c r="F1053" t="inlineStr">
        <is>
          <t>JÖNKÖPINGS LÄN</t>
        </is>
      </c>
      <c r="G1053" t="inlineStr">
        <is>
          <t>VETLANDA</t>
        </is>
      </c>
      <c r="I1053" t="n">
        <v>0.4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27790-2025</t>
        </is>
      </c>
      <c r="B1054" t="inlineStr">
        <is>
          <t>avverkningsanmälan</t>
        </is>
      </c>
      <c r="C1054" t="inlineStr">
        <is>
          <t>Föryngringsavverkning</t>
        </is>
      </c>
      <c r="D1054" s="1" t="n">
        <v>45816</v>
      </c>
      <c r="E1054" s="1" t="n">
        <v>46217</v>
      </c>
      <c r="F1054" t="inlineStr">
        <is>
          <t>JÖNKÖPINGS LÄN</t>
        </is>
      </c>
      <c r="G1054" t="inlineStr">
        <is>
          <t>VETLANDA</t>
        </is>
      </c>
      <c r="I1054" t="n">
        <v>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28634-2025</t>
        </is>
      </c>
      <c r="B1055" t="inlineStr">
        <is>
          <t>avverkningsanmälan</t>
        </is>
      </c>
      <c r="C1055" t="inlineStr">
        <is>
          <t>Föryngringsavverkning</t>
        </is>
      </c>
      <c r="D1055" s="1" t="n">
        <v>45819</v>
      </c>
      <c r="E1055" s="1" t="n">
        <v>46217</v>
      </c>
      <c r="F1055" t="inlineStr">
        <is>
          <t>JÖNKÖPINGS LÄN</t>
        </is>
      </c>
      <c r="G1055" t="inlineStr">
        <is>
          <t>VETLANDA</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28590-2025</t>
        </is>
      </c>
      <c r="B1056" t="inlineStr">
        <is>
          <t>avverkningsanmälan</t>
        </is>
      </c>
      <c r="C1056" t="inlineStr">
        <is>
          <t>Föryngringsavverkning</t>
        </is>
      </c>
      <c r="D1056" s="1" t="n">
        <v>45819</v>
      </c>
      <c r="E1056" s="1" t="n">
        <v>46217</v>
      </c>
      <c r="F1056" t="inlineStr">
        <is>
          <t>JÖNKÖPINGS LÄN</t>
        </is>
      </c>
      <c r="G1056" t="inlineStr">
        <is>
          <t>VETLANDA</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28631-2025</t>
        </is>
      </c>
      <c r="B1057" t="inlineStr">
        <is>
          <t>avverkningsanmälan</t>
        </is>
      </c>
      <c r="C1057" t="inlineStr">
        <is>
          <t>Föryngringsavverkning</t>
        </is>
      </c>
      <c r="D1057" s="1" t="n">
        <v>45819</v>
      </c>
      <c r="E1057" s="1" t="n">
        <v>46217</v>
      </c>
      <c r="F1057" t="inlineStr">
        <is>
          <t>JÖNKÖPINGS LÄN</t>
        </is>
      </c>
      <c r="G1057" t="inlineStr">
        <is>
          <t>VETLANDA</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28534-2025</t>
        </is>
      </c>
      <c r="B1058" t="inlineStr">
        <is>
          <t>avverkningsanmälan</t>
        </is>
      </c>
      <c r="C1058" t="inlineStr">
        <is>
          <t>Föryngringsavverkning</t>
        </is>
      </c>
      <c r="D1058" s="1" t="n">
        <v>45819</v>
      </c>
      <c r="E1058" s="1" t="n">
        <v>46217</v>
      </c>
      <c r="F1058" t="inlineStr">
        <is>
          <t>JÖNKÖPINGS LÄN</t>
        </is>
      </c>
      <c r="G1058" t="inlineStr">
        <is>
          <t>VETLANDA</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31983-2025</t>
        </is>
      </c>
      <c r="B1059" t="inlineStr">
        <is>
          <t>avverkningsanmälan</t>
        </is>
      </c>
      <c r="C1059" t="inlineStr">
        <is>
          <t>Avverkning för att bevara och utveckla /försöksver</t>
        </is>
      </c>
      <c r="D1059" s="1" t="n">
        <v>45835</v>
      </c>
      <c r="E1059" s="1" t="n">
        <v>46217</v>
      </c>
      <c r="F1059" t="inlineStr">
        <is>
          <t>JÖNKÖPINGS LÄN</t>
        </is>
      </c>
      <c r="G1059" t="inlineStr">
        <is>
          <t>VETLANDA</t>
        </is>
      </c>
      <c r="I1059" t="n">
        <v>5.1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13786-2025</t>
        </is>
      </c>
      <c r="B1060" t="inlineStr">
        <is>
          <t>avverkningsanmälan</t>
        </is>
      </c>
      <c r="C1060" t="inlineStr">
        <is>
          <t>Föryngringsavverkning</t>
        </is>
      </c>
      <c r="D1060" s="1" t="n">
        <v>45737</v>
      </c>
      <c r="E1060" s="1" t="n">
        <v>46217</v>
      </c>
      <c r="F1060" t="inlineStr">
        <is>
          <t>JÖNKÖPINGS LÄN</t>
        </is>
      </c>
      <c r="G1060" t="inlineStr">
        <is>
          <t>VETLANDA</t>
        </is>
      </c>
      <c r="I1060" t="n">
        <v>3.1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32422-2025</t>
        </is>
      </c>
      <c r="B1061" t="inlineStr">
        <is>
          <t>avverkningsanmälan</t>
        </is>
      </c>
      <c r="C1061" t="inlineStr">
        <is>
          <t>Föryngringsavverkning</t>
        </is>
      </c>
      <c r="D1061" s="1" t="n">
        <v>45838</v>
      </c>
      <c r="E1061" s="1" t="n">
        <v>46217</v>
      </c>
      <c r="F1061" t="inlineStr">
        <is>
          <t>JÖNKÖPINGS LÄN</t>
        </is>
      </c>
      <c r="G1061" t="inlineStr">
        <is>
          <t>VETLANDA</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33257-2025</t>
        </is>
      </c>
      <c r="B1062" t="inlineStr">
        <is>
          <t>avverkningsanmälan</t>
        </is>
      </c>
      <c r="C1062" t="inlineStr">
        <is>
          <t>Föryngringsavverkning</t>
        </is>
      </c>
      <c r="D1062" s="1" t="n">
        <v>45840</v>
      </c>
      <c r="E1062" s="1" t="n">
        <v>46217</v>
      </c>
      <c r="F1062" t="inlineStr">
        <is>
          <t>JÖNKÖPINGS LÄN</t>
        </is>
      </c>
      <c r="G1062" t="inlineStr">
        <is>
          <t>VETLANDA</t>
        </is>
      </c>
      <c r="I1062" t="n">
        <v>1.7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33268-2025</t>
        </is>
      </c>
      <c r="B1063" t="inlineStr">
        <is>
          <t>avverkningsanmälan</t>
        </is>
      </c>
      <c r="C1063" t="inlineStr">
        <is>
          <t>Föryngringsavverkning</t>
        </is>
      </c>
      <c r="D1063" s="1" t="n">
        <v>45840</v>
      </c>
      <c r="E1063" s="1" t="n">
        <v>46217</v>
      </c>
      <c r="F1063" t="inlineStr">
        <is>
          <t>JÖNKÖPINGS LÄN</t>
        </is>
      </c>
      <c r="G1063" t="inlineStr">
        <is>
          <t>VETLANDA</t>
        </is>
      </c>
      <c r="I1063" t="n">
        <v>1.1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32804-2025</t>
        </is>
      </c>
      <c r="B1064" t="inlineStr">
        <is>
          <t>avverkningsanmälan</t>
        </is>
      </c>
      <c r="C1064" t="inlineStr">
        <is>
          <t>Föryngringsavverkning</t>
        </is>
      </c>
      <c r="D1064" s="1" t="n">
        <v>45839</v>
      </c>
      <c r="E1064" s="1" t="n">
        <v>46217</v>
      </c>
      <c r="F1064" t="inlineStr">
        <is>
          <t>JÖNKÖPINGS LÄN</t>
        </is>
      </c>
      <c r="G1064" t="inlineStr">
        <is>
          <t>VETLANDA</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56407-2024</t>
        </is>
      </c>
      <c r="B1065" t="inlineStr">
        <is>
          <t>avverkningsanmälan</t>
        </is>
      </c>
      <c r="C1065" t="inlineStr">
        <is>
          <t>Föryngringsavverkning</t>
        </is>
      </c>
      <c r="D1065" s="1" t="n">
        <v>45625</v>
      </c>
      <c r="E1065" s="1" t="n">
        <v>46217</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9484-2025</t>
        </is>
      </c>
      <c r="B1066" t="inlineStr">
        <is>
          <t>avverkningsanmälan</t>
        </is>
      </c>
      <c r="C1066" t="inlineStr">
        <is>
          <t>Föryngringsavverkning</t>
        </is>
      </c>
      <c r="D1066" s="1" t="n">
        <v>45715</v>
      </c>
      <c r="E1066" s="1" t="n">
        <v>46217</v>
      </c>
      <c r="F1066" t="inlineStr">
        <is>
          <t>JÖNKÖPINGS LÄN</t>
        </is>
      </c>
      <c r="G1066" t="inlineStr">
        <is>
          <t>VETLANDA</t>
        </is>
      </c>
      <c r="I1066" t="n">
        <v>2.7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15492-2025</t>
        </is>
      </c>
      <c r="B1067" t="inlineStr">
        <is>
          <t>avverkningsanmälan</t>
        </is>
      </c>
      <c r="C1067" t="inlineStr">
        <is>
          <t>Föryngringsavverkning</t>
        </is>
      </c>
      <c r="D1067" s="1" t="n">
        <v>45747</v>
      </c>
      <c r="E1067" s="1" t="n">
        <v>46217</v>
      </c>
      <c r="F1067" t="inlineStr">
        <is>
          <t>JÖNKÖPINGS LÄN</t>
        </is>
      </c>
      <c r="G1067" t="inlineStr">
        <is>
          <t>VETLANDA</t>
        </is>
      </c>
      <c r="I1067" t="n">
        <v>2.3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12100-2025</t>
        </is>
      </c>
      <c r="B1068" t="inlineStr">
        <is>
          <t>avverkningsanmälan</t>
        </is>
      </c>
      <c r="C1068" t="inlineStr">
        <is>
          <t>Föryngringsavverkning</t>
        </is>
      </c>
      <c r="D1068" s="1" t="n">
        <v>45729</v>
      </c>
      <c r="E1068" s="1" t="n">
        <v>46217</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34120-2025</t>
        </is>
      </c>
      <c r="B1069" t="inlineStr">
        <is>
          <t>avverkningsanmälan</t>
        </is>
      </c>
      <c r="C1069" t="inlineStr">
        <is>
          <t>Föryngringsavverkning</t>
        </is>
      </c>
      <c r="D1069" s="1" t="n">
        <v>45845</v>
      </c>
      <c r="E1069" s="1" t="n">
        <v>46217</v>
      </c>
      <c r="F1069" t="inlineStr">
        <is>
          <t>JÖNKÖPINGS LÄN</t>
        </is>
      </c>
      <c r="G1069" t="inlineStr">
        <is>
          <t>VETLANDA</t>
        </is>
      </c>
      <c r="I1069" t="n">
        <v>3.5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9485-2025</t>
        </is>
      </c>
      <c r="B1070" t="inlineStr">
        <is>
          <t>avverkningsanmälan</t>
        </is>
      </c>
      <c r="C1070" t="inlineStr">
        <is>
          <t>Föryngringsavverkning</t>
        </is>
      </c>
      <c r="D1070" s="1" t="n">
        <v>45715</v>
      </c>
      <c r="E1070" s="1" t="n">
        <v>46217</v>
      </c>
      <c r="F1070" t="inlineStr">
        <is>
          <t>JÖNKÖPINGS LÄN</t>
        </is>
      </c>
      <c r="G1070" t="inlineStr">
        <is>
          <t>VETLANDA</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15830-2025</t>
        </is>
      </c>
      <c r="B1071" t="inlineStr">
        <is>
          <t>avverkningsanmälan</t>
        </is>
      </c>
      <c r="C1071" t="inlineStr">
        <is>
          <t>Avverkning för annat ändamål</t>
        </is>
      </c>
      <c r="D1071" s="1" t="n">
        <v>45748</v>
      </c>
      <c r="E1071" s="1" t="n">
        <v>46217</v>
      </c>
      <c r="F1071" t="inlineStr">
        <is>
          <t>JÖNKÖPINGS LÄN</t>
        </is>
      </c>
      <c r="G1071" t="inlineStr">
        <is>
          <t>VETLANDA</t>
        </is>
      </c>
      <c r="I1071" t="n">
        <v>0.9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34571-2025</t>
        </is>
      </c>
      <c r="B1072" t="inlineStr">
        <is>
          <t>avverkningsanmälan</t>
        </is>
      </c>
      <c r="C1072" t="inlineStr">
        <is>
          <t>Föryngringsavverkning</t>
        </is>
      </c>
      <c r="D1072" s="1" t="n">
        <v>45847</v>
      </c>
      <c r="E1072" s="1" t="n">
        <v>46217</v>
      </c>
      <c r="F1072" t="inlineStr">
        <is>
          <t>JÖNKÖPINGS LÄN</t>
        </is>
      </c>
      <c r="G1072" t="inlineStr">
        <is>
          <t>VETLANDA</t>
        </is>
      </c>
      <c r="I1072" t="n">
        <v>0.8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43406-2022</t>
        </is>
      </c>
      <c r="B1073" t="inlineStr">
        <is>
          <t>avverkningsanmälan</t>
        </is>
      </c>
      <c r="C1073" t="inlineStr">
        <is>
          <t>Föryngringsavverkning</t>
        </is>
      </c>
      <c r="D1073" s="1" t="n">
        <v>44834</v>
      </c>
      <c r="E1073" s="1" t="n">
        <v>46217</v>
      </c>
      <c r="F1073" t="inlineStr">
        <is>
          <t>JÖNKÖPINGS LÄN</t>
        </is>
      </c>
      <c r="G1073" t="inlineStr">
        <is>
          <t>VETLANDA</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35114-2025</t>
        </is>
      </c>
      <c r="B1074" t="inlineStr">
        <is>
          <t>avverkningsanmälan</t>
        </is>
      </c>
      <c r="C1074" t="inlineStr">
        <is>
          <t>Föryngringsavverkning</t>
        </is>
      </c>
      <c r="D1074" s="1" t="n">
        <v>45852</v>
      </c>
      <c r="E1074" s="1" t="n">
        <v>46217</v>
      </c>
      <c r="F1074" t="inlineStr">
        <is>
          <t>JÖNKÖPINGS LÄN</t>
        </is>
      </c>
      <c r="G1074" t="inlineStr">
        <is>
          <t>VETLANDA</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18588-2025</t>
        </is>
      </c>
      <c r="B1075" t="inlineStr">
        <is>
          <t>avverkningsanmälan</t>
        </is>
      </c>
      <c r="C1075" t="inlineStr">
        <is>
          <t>Föryngringsavverkning</t>
        </is>
      </c>
      <c r="D1075" s="1" t="n">
        <v>45763</v>
      </c>
      <c r="E1075" s="1" t="n">
        <v>46217</v>
      </c>
      <c r="F1075" t="inlineStr">
        <is>
          <t>JÖNKÖPINGS LÄN</t>
        </is>
      </c>
      <c r="G1075" t="inlineStr">
        <is>
          <t>VETLANDA</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3925-2024</t>
        </is>
      </c>
      <c r="B1076" t="inlineStr">
        <is>
          <t>avverkningsanmälan</t>
        </is>
      </c>
      <c r="C1076" t="inlineStr">
        <is>
          <t>Föryngringsavverkning</t>
        </is>
      </c>
      <c r="D1076" s="1" t="n">
        <v>45322</v>
      </c>
      <c r="E1076" s="1" t="n">
        <v>46217</v>
      </c>
      <c r="F1076" t="inlineStr">
        <is>
          <t>JÖNKÖPINGS LÄN</t>
        </is>
      </c>
      <c r="G1076" t="inlineStr">
        <is>
          <t>VETLANDA</t>
        </is>
      </c>
      <c r="I1076" t="n">
        <v>1.3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13333-2023</t>
        </is>
      </c>
      <c r="B1077" t="inlineStr">
        <is>
          <t>avverkningsanmälan</t>
        </is>
      </c>
      <c r="C1077" t="inlineStr">
        <is>
          <t>Föryngringsavverkning</t>
        </is>
      </c>
      <c r="D1077" s="1" t="n">
        <v>45005</v>
      </c>
      <c r="E1077" s="1" t="n">
        <v>46217</v>
      </c>
      <c r="F1077" t="inlineStr">
        <is>
          <t>JÖNKÖPINGS LÄN</t>
        </is>
      </c>
      <c r="G1077" t="inlineStr">
        <is>
          <t>VETLANDA</t>
        </is>
      </c>
      <c r="I1077" t="n">
        <v>1.6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38998-2023</t>
        </is>
      </c>
      <c r="B1078" t="inlineStr">
        <is>
          <t>avverkningsanmälan</t>
        </is>
      </c>
      <c r="C1078" t="inlineStr">
        <is>
          <t>Föryngringsavverkning</t>
        </is>
      </c>
      <c r="D1078" s="1" t="n">
        <v>45163</v>
      </c>
      <c r="E1078" s="1" t="n">
        <v>46217</v>
      </c>
      <c r="F1078" t="inlineStr">
        <is>
          <t>JÖNKÖPINGS LÄN</t>
        </is>
      </c>
      <c r="G1078" t="inlineStr">
        <is>
          <t>VETLANDA</t>
        </is>
      </c>
      <c r="I1078" t="n">
        <v>1.9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72980-2021</t>
        </is>
      </c>
      <c r="B1079" t="inlineStr">
        <is>
          <t>avverkningsanmälan</t>
        </is>
      </c>
      <c r="C1079" t="inlineStr">
        <is>
          <t>Föryngringsavverkning</t>
        </is>
      </c>
      <c r="D1079" s="1" t="n">
        <v>44549</v>
      </c>
      <c r="E1079" s="1" t="n">
        <v>46217</v>
      </c>
      <c r="F1079" t="inlineStr">
        <is>
          <t>JÖNKÖPINGS LÄN</t>
        </is>
      </c>
      <c r="G1079" t="inlineStr">
        <is>
          <t>VETLANDA</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1950-2025</t>
        </is>
      </c>
      <c r="B1080" t="inlineStr">
        <is>
          <t>avverkningsanmälan</t>
        </is>
      </c>
      <c r="C1080" t="inlineStr">
        <is>
          <t>Föryngringsavverkning</t>
        </is>
      </c>
      <c r="D1080" s="1" t="n">
        <v>45672</v>
      </c>
      <c r="E1080" s="1" t="n">
        <v>46217</v>
      </c>
      <c r="F1080" t="inlineStr">
        <is>
          <t>JÖNKÖPINGS LÄN</t>
        </is>
      </c>
      <c r="G1080" t="inlineStr">
        <is>
          <t>VETLANDA</t>
        </is>
      </c>
      <c r="I1080" t="n">
        <v>2.2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89-2022</t>
        </is>
      </c>
      <c r="B1081" t="inlineStr">
        <is>
          <t>avverkningsanmälan</t>
        </is>
      </c>
      <c r="C1081" t="inlineStr">
        <is>
          <t>Föryngringsavverkning</t>
        </is>
      </c>
      <c r="D1081" s="1" t="n">
        <v>44564</v>
      </c>
      <c r="E1081" s="1" t="n">
        <v>46217</v>
      </c>
      <c r="F1081" t="inlineStr">
        <is>
          <t>JÖNKÖPINGS LÄN</t>
        </is>
      </c>
      <c r="G1081" t="inlineStr">
        <is>
          <t>VETLANDA</t>
        </is>
      </c>
      <c r="I1081" t="n">
        <v>1.4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12744-2025</t>
        </is>
      </c>
      <c r="B1082" t="inlineStr">
        <is>
          <t>avverkningsanmälan</t>
        </is>
      </c>
      <c r="C1082" t="inlineStr">
        <is>
          <t>Föryngringsavverkning</t>
        </is>
      </c>
      <c r="D1082" s="1" t="n">
        <v>45733</v>
      </c>
      <c r="E1082" s="1" t="n">
        <v>46217</v>
      </c>
      <c r="F1082" t="inlineStr">
        <is>
          <t>JÖNKÖPINGS LÄN</t>
        </is>
      </c>
      <c r="G1082" t="inlineStr">
        <is>
          <t>VETLANDA</t>
        </is>
      </c>
      <c r="I1082" t="n">
        <v>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31099-2023</t>
        </is>
      </c>
      <c r="B1083" t="inlineStr">
        <is>
          <t>avverkningsanmälan</t>
        </is>
      </c>
      <c r="C1083" t="inlineStr">
        <is>
          <t>Föryngringsavverkning</t>
        </is>
      </c>
      <c r="D1083" s="1" t="n">
        <v>45113</v>
      </c>
      <c r="E1083" s="1" t="n">
        <v>46217</v>
      </c>
      <c r="F1083" t="inlineStr">
        <is>
          <t>JÖNKÖPINGS LÄN</t>
        </is>
      </c>
      <c r="G1083" t="inlineStr">
        <is>
          <t>VETLANDA</t>
        </is>
      </c>
      <c r="I1083" t="n">
        <v>6.7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36094-2025</t>
        </is>
      </c>
      <c r="B1084" t="inlineStr">
        <is>
          <t>avverkningsanmälan</t>
        </is>
      </c>
      <c r="C1084" t="inlineStr">
        <is>
          <t>Föryngringsavverkning</t>
        </is>
      </c>
      <c r="D1084" s="1" t="n">
        <v>45866</v>
      </c>
      <c r="E1084" s="1" t="n">
        <v>46217</v>
      </c>
      <c r="F1084" t="inlineStr">
        <is>
          <t>JÖNKÖPINGS LÄN</t>
        </is>
      </c>
      <c r="G1084" t="inlineStr">
        <is>
          <t>VETLANDA</t>
        </is>
      </c>
      <c r="I1084" t="n">
        <v>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65154-2023</t>
        </is>
      </c>
      <c r="B1085" t="inlineStr">
        <is>
          <t>avverkningsanmälan</t>
        </is>
      </c>
      <c r="C1085" t="inlineStr">
        <is>
          <t>Föryngringsavverkning</t>
        </is>
      </c>
      <c r="D1085" s="1" t="n">
        <v>45288</v>
      </c>
      <c r="E1085" s="1" t="n">
        <v>46217</v>
      </c>
      <c r="F1085" t="inlineStr">
        <is>
          <t>JÖNKÖPINGS LÄN</t>
        </is>
      </c>
      <c r="G1085" t="inlineStr">
        <is>
          <t>VETLANDA</t>
        </is>
      </c>
      <c r="I1085" t="n">
        <v>5.4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5038-2024</t>
        </is>
      </c>
      <c r="B1086" t="inlineStr">
        <is>
          <t>samrådsanmälan</t>
        </is>
      </c>
      <c r="C1086" t="inlineStr">
        <is>
          <t>Askåterföring</t>
        </is>
      </c>
      <c r="D1086" s="1" t="n">
        <v>45636</v>
      </c>
      <c r="E1086" s="1" t="n">
        <v>46217</v>
      </c>
      <c r="F1086" t="inlineStr">
        <is>
          <t>JÖNKÖPINGS LÄN</t>
        </is>
      </c>
      <c r="G1086" t="inlineStr">
        <is>
          <t>VETLANDA</t>
        </is>
      </c>
      <c r="I1086" t="n">
        <v>47.3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4202-2024</t>
        </is>
      </c>
      <c r="B1087" t="inlineStr">
        <is>
          <t>samrådsanmälan</t>
        </is>
      </c>
      <c r="C1087" t="inlineStr">
        <is>
          <t>Askåterföring</t>
        </is>
      </c>
      <c r="D1087" s="1" t="n">
        <v>45580</v>
      </c>
      <c r="E1087" s="1" t="n">
        <v>46217</v>
      </c>
      <c r="F1087" t="inlineStr">
        <is>
          <t>JÖNKÖPINGS LÄN</t>
        </is>
      </c>
      <c r="G1087" t="inlineStr">
        <is>
          <t>VETLANDA</t>
        </is>
      </c>
      <c r="I1087" t="n">
        <v>39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1994-2024</t>
        </is>
      </c>
      <c r="B1088" t="inlineStr">
        <is>
          <t>samrådsanmälan</t>
        </is>
      </c>
      <c r="C1088" t="inlineStr">
        <is>
          <t>Askåterföring</t>
        </is>
      </c>
      <c r="D1088" s="1" t="n">
        <v>45447</v>
      </c>
      <c r="E1088" s="1" t="n">
        <v>46217</v>
      </c>
      <c r="F1088" t="inlineStr">
        <is>
          <t>JÖNKÖPINGS LÄN</t>
        </is>
      </c>
      <c r="G1088" t="inlineStr">
        <is>
          <t>VETLANDA</t>
        </is>
      </c>
      <c r="I1088" t="n">
        <v>25.3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2934-2023</t>
        </is>
      </c>
      <c r="B1089" t="inlineStr">
        <is>
          <t>samrådsanmälan</t>
        </is>
      </c>
      <c r="C1089" t="inlineStr">
        <is>
          <t>Askåterföring</t>
        </is>
      </c>
      <c r="D1089" s="1" t="n">
        <v>45170</v>
      </c>
      <c r="E1089" s="1" t="n">
        <v>46217</v>
      </c>
      <c r="F1089" t="inlineStr">
        <is>
          <t>JÖNKÖPINGS LÄN</t>
        </is>
      </c>
      <c r="G1089" t="inlineStr">
        <is>
          <t>VETLANDA</t>
        </is>
      </c>
      <c r="I1089" t="n">
        <v>52.8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2326-2023</t>
        </is>
      </c>
      <c r="B1090" t="inlineStr">
        <is>
          <t>samrådsanmälan</t>
        </is>
      </c>
      <c r="C1090" t="inlineStr">
        <is>
          <t>Askåterföring</t>
        </is>
      </c>
      <c r="D1090" s="1" t="n">
        <v>45106</v>
      </c>
      <c r="E1090" s="1" t="n">
        <v>46217</v>
      </c>
      <c r="F1090" t="inlineStr">
        <is>
          <t>JÖNKÖPINGS LÄN</t>
        </is>
      </c>
      <c r="G1090" t="inlineStr">
        <is>
          <t>VETLANDA</t>
        </is>
      </c>
      <c r="I1090" t="n">
        <v>23.4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2341-2024</t>
        </is>
      </c>
      <c r="B1091" t="inlineStr">
        <is>
          <t>samrådsanmälan</t>
        </is>
      </c>
      <c r="C1091" t="inlineStr">
        <is>
          <t>Askåterföring</t>
        </is>
      </c>
      <c r="D1091" s="1" t="n">
        <v>45467</v>
      </c>
      <c r="E1091" s="1" t="n">
        <v>46217</v>
      </c>
      <c r="F1091" t="inlineStr">
        <is>
          <t>JÖNKÖPINGS LÄN</t>
        </is>
      </c>
      <c r="G1091" t="inlineStr">
        <is>
          <t>VETLANDA</t>
        </is>
      </c>
      <c r="I1091" t="n">
        <v>14.7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8974-2021</t>
        </is>
      </c>
      <c r="B1092" t="inlineStr">
        <is>
          <t>samrådsanmälan</t>
        </is>
      </c>
      <c r="C1092" t="inlineStr">
        <is>
          <t>Skogsbilväg</t>
        </is>
      </c>
      <c r="D1092" s="1" t="n">
        <v>44509</v>
      </c>
      <c r="E1092" s="1" t="n">
        <v>46217</v>
      </c>
      <c r="F1092" t="inlineStr">
        <is>
          <t>JÖNKÖPINGS LÄN</t>
        </is>
      </c>
      <c r="G1092" t="inlineStr">
        <is>
          <t>VETLANDA</t>
        </is>
      </c>
      <c r="H1092" t="inlineStr">
        <is>
          <t>Kyrkan</t>
        </is>
      </c>
      <c r="I1092" t="n">
        <v>0.4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21-2025</t>
        </is>
      </c>
      <c r="B1093" t="inlineStr">
        <is>
          <t>samrådsanmälan</t>
        </is>
      </c>
      <c r="C1093" t="inlineStr">
        <is>
          <t>Askåterföring</t>
        </is>
      </c>
      <c r="D1093" s="1" t="n">
        <v>45664</v>
      </c>
      <c r="E1093" s="1" t="n">
        <v>46217</v>
      </c>
      <c r="F1093" t="inlineStr">
        <is>
          <t>JÖNKÖPINGS LÄN</t>
        </is>
      </c>
      <c r="G1093" t="inlineStr">
        <is>
          <t>VETLANDA</t>
        </is>
      </c>
      <c r="I1093" t="n">
        <v>11.6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3516-2023</t>
        </is>
      </c>
      <c r="B1094" t="inlineStr">
        <is>
          <t>samrådsanmälan</t>
        </is>
      </c>
      <c r="C1094" t="inlineStr">
        <is>
          <t>Askåterföring</t>
        </is>
      </c>
      <c r="D1094" s="1" t="n">
        <v>45208</v>
      </c>
      <c r="E1094" s="1" t="n">
        <v>46217</v>
      </c>
      <c r="F1094" t="inlineStr">
        <is>
          <t>JÖNKÖPINGS LÄN</t>
        </is>
      </c>
      <c r="G1094" t="inlineStr">
        <is>
          <t>VETLANDA</t>
        </is>
      </c>
      <c r="I1094" t="n">
        <v>9.9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1321-2024</t>
        </is>
      </c>
      <c r="B1095" t="inlineStr">
        <is>
          <t>samrådsanmälan</t>
        </is>
      </c>
      <c r="C1095" t="inlineStr">
        <is>
          <t>Askåterföring</t>
        </is>
      </c>
      <c r="D1095" s="1" t="n">
        <v>45406</v>
      </c>
      <c r="E1095" s="1" t="n">
        <v>46217</v>
      </c>
      <c r="F1095" t="inlineStr">
        <is>
          <t>JÖNKÖPINGS LÄN</t>
        </is>
      </c>
      <c r="G1095" t="inlineStr">
        <is>
          <t>VETLANDA</t>
        </is>
      </c>
      <c r="I1095" t="n">
        <v>31.7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2863-2024</t>
        </is>
      </c>
      <c r="B1096" t="inlineStr">
        <is>
          <t>samrådsanmälan</t>
        </is>
      </c>
      <c r="C1096" t="inlineStr">
        <is>
          <t>Askåterföring</t>
        </is>
      </c>
      <c r="D1096" s="1" t="n">
        <v>45497</v>
      </c>
      <c r="E1096" s="1" t="n">
        <v>46217</v>
      </c>
      <c r="F1096" t="inlineStr">
        <is>
          <t>JÖNKÖPINGS LÄN</t>
        </is>
      </c>
      <c r="G1096" t="inlineStr">
        <is>
          <t>VETLANDA</t>
        </is>
      </c>
      <c r="I1096" t="n">
        <v>16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2865-2024</t>
        </is>
      </c>
      <c r="B1097" t="inlineStr">
        <is>
          <t>samrådsanmälan</t>
        </is>
      </c>
      <c r="C1097" t="inlineStr">
        <is>
          <t>Askåterföring</t>
        </is>
      </c>
      <c r="D1097" s="1" t="n">
        <v>45497</v>
      </c>
      <c r="E1097" s="1" t="n">
        <v>46217</v>
      </c>
      <c r="F1097" t="inlineStr">
        <is>
          <t>JÖNKÖPINGS LÄN</t>
        </is>
      </c>
      <c r="G1097" t="inlineStr">
        <is>
          <t>VETLANDA</t>
        </is>
      </c>
      <c r="I1097" t="n">
        <v>8.800000000000001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2327-2023</t>
        </is>
      </c>
      <c r="B1098" t="inlineStr">
        <is>
          <t>samrådsanmälan</t>
        </is>
      </c>
      <c r="C1098" t="inlineStr">
        <is>
          <t>Askåterföring</t>
        </is>
      </c>
      <c r="D1098" s="1" t="n">
        <v>45106</v>
      </c>
      <c r="E1098" s="1" t="n">
        <v>46217</v>
      </c>
      <c r="F1098" t="inlineStr">
        <is>
          <t>JÖNKÖPINGS LÄN</t>
        </is>
      </c>
      <c r="G1098" t="inlineStr">
        <is>
          <t>VETLANDA</t>
        </is>
      </c>
      <c r="I1098" t="n">
        <v>78.7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5149-2024</t>
        </is>
      </c>
      <c r="B1099" t="inlineStr">
        <is>
          <t>samrådsanmälan</t>
        </is>
      </c>
      <c r="C1099" t="inlineStr">
        <is>
          <t>Askåterföring</t>
        </is>
      </c>
      <c r="D1099" s="1" t="n">
        <v>45646</v>
      </c>
      <c r="E1099" s="1" t="n">
        <v>46217</v>
      </c>
      <c r="F1099" t="inlineStr">
        <is>
          <t>JÖNKÖPINGS LÄN</t>
        </is>
      </c>
      <c r="G1099" t="inlineStr">
        <is>
          <t>VETLANDA</t>
        </is>
      </c>
      <c r="I1099" t="n">
        <v>4.3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6751-2021</t>
        </is>
      </c>
      <c r="B1100" t="inlineStr">
        <is>
          <t>samrådsanmälan</t>
        </is>
      </c>
      <c r="C1100" t="inlineStr">
        <is>
          <t>Åtgärd i nyckelbiotop</t>
        </is>
      </c>
      <c r="D1100" s="1" t="n">
        <v>44459</v>
      </c>
      <c r="E1100" s="1" t="n">
        <v>46217</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5150-2024</t>
        </is>
      </c>
      <c r="B1101" t="inlineStr">
        <is>
          <t>samrådsanmälan</t>
        </is>
      </c>
      <c r="C1101" t="inlineStr">
        <is>
          <t>Askåterföring</t>
        </is>
      </c>
      <c r="D1101" s="1" t="n">
        <v>45646</v>
      </c>
      <c r="E1101" s="1" t="n">
        <v>46217</v>
      </c>
      <c r="F1101" t="inlineStr">
        <is>
          <t>JÖNKÖPINGS LÄN</t>
        </is>
      </c>
      <c r="G1101" t="inlineStr">
        <is>
          <t>VETLANDA</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4201-2024</t>
        </is>
      </c>
      <c r="B1102" t="inlineStr">
        <is>
          <t>samrådsanmälan</t>
        </is>
      </c>
      <c r="C1102" t="inlineStr">
        <is>
          <t>Annan skogsbruksåtgärd</t>
        </is>
      </c>
      <c r="D1102" s="1" t="n">
        <v>45580</v>
      </c>
      <c r="E1102" s="1" t="n">
        <v>46217</v>
      </c>
      <c r="F1102" t="inlineStr">
        <is>
          <t>JÖNKÖPINGS LÄN</t>
        </is>
      </c>
      <c r="G1102" t="inlineStr">
        <is>
          <t>VETLANDA</t>
        </is>
      </c>
      <c r="I1102" t="n">
        <v>25.8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5145-2024</t>
        </is>
      </c>
      <c r="B1103" t="inlineStr">
        <is>
          <t>samrådsanmälan</t>
        </is>
      </c>
      <c r="C1103" t="inlineStr">
        <is>
          <t>Askåterföring</t>
        </is>
      </c>
      <c r="D1103" s="1" t="n">
        <v>45646</v>
      </c>
      <c r="E1103" s="1" t="n">
        <v>46217</v>
      </c>
      <c r="F1103" t="inlineStr">
        <is>
          <t>JÖNKÖPINGS LÄN</t>
        </is>
      </c>
      <c r="G1103" t="inlineStr">
        <is>
          <t>VETLANDA</t>
        </is>
      </c>
      <c r="I1103" t="n">
        <v>29.6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5146-2024</t>
        </is>
      </c>
      <c r="B1104" t="inlineStr">
        <is>
          <t>samrådsanmälan</t>
        </is>
      </c>
      <c r="C1104" t="inlineStr">
        <is>
          <t>Askåterföring</t>
        </is>
      </c>
      <c r="D1104" s="1" t="n">
        <v>45646</v>
      </c>
      <c r="E1104" s="1" t="n">
        <v>46217</v>
      </c>
      <c r="F1104" t="inlineStr">
        <is>
          <t>JÖNKÖPINGS LÄN</t>
        </is>
      </c>
      <c r="G1104" t="inlineStr">
        <is>
          <t>VETLANDA</t>
        </is>
      </c>
      <c r="I1104" t="n">
        <v>5.8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1359-2024</t>
        </is>
      </c>
      <c r="B1105" t="inlineStr">
        <is>
          <t>samrådsanmälan</t>
        </is>
      </c>
      <c r="C1105" t="inlineStr">
        <is>
          <t>Askåterföring</t>
        </is>
      </c>
      <c r="D1105" s="1" t="n">
        <v>45408</v>
      </c>
      <c r="E1105" s="1" t="n">
        <v>46217</v>
      </c>
      <c r="F1105" t="inlineStr">
        <is>
          <t>JÖNKÖPINGS LÄN</t>
        </is>
      </c>
      <c r="G1105" t="inlineStr">
        <is>
          <t>VETLANDA</t>
        </is>
      </c>
      <c r="I1105" t="n">
        <v>30.2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1423-2024</t>
        </is>
      </c>
      <c r="B1106" t="inlineStr">
        <is>
          <t>samrådsanmälan</t>
        </is>
      </c>
      <c r="C1106" t="inlineStr">
        <is>
          <t>Askåterföring</t>
        </is>
      </c>
      <c r="D1106" s="1" t="n">
        <v>45414</v>
      </c>
      <c r="E1106" s="1" t="n">
        <v>46217</v>
      </c>
      <c r="F1106" t="inlineStr">
        <is>
          <t>JÖNKÖPINGS LÄN</t>
        </is>
      </c>
      <c r="G1106" t="inlineStr">
        <is>
          <t>VETLANDA</t>
        </is>
      </c>
      <c r="I1106" t="n">
        <v>62.9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2943-2023</t>
        </is>
      </c>
      <c r="B1107" t="inlineStr">
        <is>
          <t>samrådsanmälan</t>
        </is>
      </c>
      <c r="C1107" t="inlineStr">
        <is>
          <t>Askåterföring</t>
        </is>
      </c>
      <c r="D1107" s="1" t="n">
        <v>45173</v>
      </c>
      <c r="E1107" s="1" t="n">
        <v>46217</v>
      </c>
      <c r="F1107" t="inlineStr">
        <is>
          <t>JÖNKÖPINGS LÄN</t>
        </is>
      </c>
      <c r="G1107" t="inlineStr">
        <is>
          <t>VETLANDA</t>
        </is>
      </c>
      <c r="I1107" t="n">
        <v>22.8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5148-2024</t>
        </is>
      </c>
      <c r="B1108" t="inlineStr">
        <is>
          <t>samrådsanmälan</t>
        </is>
      </c>
      <c r="C1108" t="inlineStr">
        <is>
          <t>Askåterföring</t>
        </is>
      </c>
      <c r="D1108" s="1" t="n">
        <v>45646</v>
      </c>
      <c r="E1108" s="1" t="n">
        <v>46217</v>
      </c>
      <c r="F1108" t="inlineStr">
        <is>
          <t>JÖNKÖPINGS LÄN</t>
        </is>
      </c>
      <c r="G1108" t="inlineStr">
        <is>
          <t>VETLANDA</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647-2025</t>
        </is>
      </c>
      <c r="B1109" t="inlineStr">
        <is>
          <t>samrådsanmälan</t>
        </is>
      </c>
      <c r="C1109" t="inlineStr">
        <is>
          <t>Askåterföring</t>
        </is>
      </c>
      <c r="D1109" s="1" t="n">
        <v>45715</v>
      </c>
      <c r="E1109" s="1" t="n">
        <v>46217</v>
      </c>
      <c r="F1109" t="inlineStr">
        <is>
          <t>JÖNKÖPINGS LÄN</t>
        </is>
      </c>
      <c r="G1109" t="inlineStr">
        <is>
          <t>VETLANDA</t>
        </is>
      </c>
      <c r="I1109" t="n">
        <v>11.4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696-2025</t>
        </is>
      </c>
      <c r="B1110" t="inlineStr">
        <is>
          <t>samrådsanmälan</t>
        </is>
      </c>
      <c r="C1110" t="inlineStr">
        <is>
          <t>Askåterföring</t>
        </is>
      </c>
      <c r="D1110" s="1" t="n">
        <v>45720</v>
      </c>
      <c r="E1110" s="1" t="n">
        <v>46217</v>
      </c>
      <c r="F1110" t="inlineStr">
        <is>
          <t>JÖNKÖPINGS LÄN</t>
        </is>
      </c>
      <c r="G1110" t="inlineStr">
        <is>
          <t>VETLANDA</t>
        </is>
      </c>
      <c r="I1110" t="n">
        <v>59.5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1651-2025</t>
        </is>
      </c>
      <c r="B1111" t="inlineStr">
        <is>
          <t>samrådsanmälan</t>
        </is>
      </c>
      <c r="C1111" t="inlineStr">
        <is>
          <t>Askåterföring</t>
        </is>
      </c>
      <c r="D1111" s="1" t="n">
        <v>45800</v>
      </c>
      <c r="E1111" s="1" t="n">
        <v>46217</v>
      </c>
      <c r="F1111" t="inlineStr">
        <is>
          <t>JÖNKÖPINGS LÄN</t>
        </is>
      </c>
      <c r="G1111" t="inlineStr">
        <is>
          <t>VETLANDA</t>
        </is>
      </c>
      <c r="H1111" t="inlineStr">
        <is>
          <t>Kyrkan</t>
        </is>
      </c>
      <c r="I1111" t="n">
        <v>11.8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1950-2025</t>
        </is>
      </c>
      <c r="B1112" t="inlineStr">
        <is>
          <t>samrådsanmälan</t>
        </is>
      </c>
      <c r="C1112" t="inlineStr">
        <is>
          <t>Annan skogsbruksåtgärd</t>
        </is>
      </c>
      <c r="D1112" s="1" t="n">
        <v>45831</v>
      </c>
      <c r="E1112" s="1" t="n">
        <v>46217</v>
      </c>
      <c r="F1112" t="inlineStr">
        <is>
          <t>JÖNKÖPINGS LÄN</t>
        </is>
      </c>
      <c r="G1112" t="inlineStr">
        <is>
          <t>VETLANDA</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1451-2025</t>
        </is>
      </c>
      <c r="B1113" t="inlineStr">
        <is>
          <t>samrådsanmälan</t>
        </is>
      </c>
      <c r="C1113" t="inlineStr">
        <is>
          <t>Annan skogsbruksåtgärd</t>
        </is>
      </c>
      <c r="D1113" s="1" t="n">
        <v>45785</v>
      </c>
      <c r="E1113" s="1" t="n">
        <v>46217</v>
      </c>
      <c r="F1113" t="inlineStr">
        <is>
          <t>JÖNKÖPINGS LÄN</t>
        </is>
      </c>
      <c r="G1113" t="inlineStr">
        <is>
          <t>VETLANDA</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459-2026</t>
        </is>
      </c>
      <c r="B1114" t="inlineStr">
        <is>
          <t>samrådsanmälan</t>
        </is>
      </c>
      <c r="C1114" t="inlineStr">
        <is>
          <t>Askåterföring</t>
        </is>
      </c>
      <c r="D1114" s="1" t="n">
        <v>46073</v>
      </c>
      <c r="E1114" s="1" t="n">
        <v>46217</v>
      </c>
      <c r="F1114" t="inlineStr">
        <is>
          <t>JÖNKÖPINGS LÄN</t>
        </is>
      </c>
      <c r="G1114" t="inlineStr">
        <is>
          <t>VETLANDA</t>
        </is>
      </c>
      <c r="I1114" t="n">
        <v>8.6</v>
      </c>
      <c r="J1114" t="n">
        <v>0</v>
      </c>
      <c r="K1114" t="n">
        <v>0</v>
      </c>
      <c r="L1114" t="n">
        <v>0</v>
      </c>
      <c r="M1114" t="n">
        <v>0</v>
      </c>
      <c r="N1114" t="n">
        <v>0</v>
      </c>
      <c r="O1114" t="n">
        <v>0</v>
      </c>
      <c r="P1114" t="n">
        <v>0</v>
      </c>
      <c r="Q1114" t="n">
        <v>0</v>
      </c>
      <c r="R1114" t="n">
        <v>0</v>
      </c>
      <c r="S1114" t="n">
        <v>0</v>
      </c>
      <c r="T1114" t="n">
        <v>0</v>
      </c>
      <c r="U1114" s="2" t="inlineStr"/>
    </row>
    <row r="1115">
      <c r="A1115" t="inlineStr">
        <is>
          <t>S 1508-2026</t>
        </is>
      </c>
      <c r="B1115" t="inlineStr">
        <is>
          <t>samrådsanmälan</t>
        </is>
      </c>
      <c r="C1115" t="inlineStr">
        <is>
          <t>Annan skogsbruksåtgärd</t>
        </is>
      </c>
      <c r="D1115" s="1" t="n">
        <v>46163</v>
      </c>
      <c r="E1115" s="1" t="n">
        <v>46217</v>
      </c>
      <c r="F1115" t="inlineStr">
        <is>
          <t>JÖNKÖPINGS LÄN</t>
        </is>
      </c>
      <c r="G1115" t="inlineStr">
        <is>
          <t>VETLANDA</t>
        </is>
      </c>
      <c r="I1115" t="n">
        <v>0.4</v>
      </c>
      <c r="J1115" t="n">
        <v>0</v>
      </c>
      <c r="K1115" t="n">
        <v>0</v>
      </c>
      <c r="L1115" t="n">
        <v>0</v>
      </c>
      <c r="M1115" t="n">
        <v>0</v>
      </c>
      <c r="N1115" t="n">
        <v>0</v>
      </c>
      <c r="O1115" t="n">
        <v>0</v>
      </c>
      <c r="P1115" t="n">
        <v>0</v>
      </c>
      <c r="Q1115" t="n">
        <v>0</v>
      </c>
      <c r="R1115" t="n">
        <v>0</v>
      </c>
      <c r="S1115" t="n">
        <v>0</v>
      </c>
      <c r="T1115" t="n">
        <v>0</v>
      </c>
      <c r="U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2026-07-14T09:00:41Z</dcterms:created>
  <dcterms:modified xmlns:dcterms="http://purl.org/dc/terms/" xmlns:xsi="http://www.w3.org/2001/XMLSchema-instance" xsi:type="dcterms:W3CDTF">2026-07-14T09:00:42Z</dcterms:modified>
</cp:coreProperties>
</file>