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45698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45698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45698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45698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45698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45698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45698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45698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45698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45698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45698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45698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45698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45698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45698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45698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45698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45698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45698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45698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45698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45698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45698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45698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45698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45698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45698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45698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45698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45698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45698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45698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45698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45698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45698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45698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45698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45698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45698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45698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45698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45698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45698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45698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45698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45698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45698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45698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45698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45698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45698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45698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45698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45698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45698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45698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45698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45698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45698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45698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45698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45698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45698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45698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45698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45698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45698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45698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45698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45698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45698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45698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45698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45698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45698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45698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45698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45698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45698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45698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45698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45698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45698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45698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45698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45698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45698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45698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45698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45698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45698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45698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45698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45698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45698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45698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45698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45698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45698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45698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45698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45698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45698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45698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45698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45698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45698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45698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45698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45698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45698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45698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45698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45698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45698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45698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45698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45698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45698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45698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45698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45698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45698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45698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45698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45698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45698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45698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45698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45698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45698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45698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45698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45698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45698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45698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45698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45698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45698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45698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45698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45698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45698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45698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45698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45698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45698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45698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45698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45698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45698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45698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45698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45698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45698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45698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45698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45698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45698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45698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45698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45698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45698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45698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45698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45698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45698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45698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45698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45698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45698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45698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45698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45698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45698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45698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45698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45698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45698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45698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45698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45698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45698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45698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45698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45698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45698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45698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45698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45698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45698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45698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45698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45698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45698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45698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45698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45698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45698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45698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45698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45698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45698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45698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45698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45698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45698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45698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45698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45698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45698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45698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45698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45698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45698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45698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45698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45698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45698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45698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45698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45698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45698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45698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45698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45698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45698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45698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45698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45698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45698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45698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45698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45698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45698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45698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45698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45698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45698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45698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45698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45698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45698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45698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45698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45698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45698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45698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45698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45698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45698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45698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45698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45698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45698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45698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45698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45698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45698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45698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45698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45698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45698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45698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45698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45698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45698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45698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45698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45698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45698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45698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45698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45698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45698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45698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45698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45698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45698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45698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45698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45698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45698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45698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45698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45698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45698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45698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45698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45698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45698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45698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45698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45698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45698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45698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45698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45698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45698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45698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45698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45698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45698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45698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45698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45698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45698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45698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45698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45698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45698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45698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45698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45698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45698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45698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45698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45698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45698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45698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45698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45698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45698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45698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45698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45698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45698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45698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45698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45698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45698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45698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45698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45698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45698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45698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45698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45698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45698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45698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45698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45698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45698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45698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45698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45698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45698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45698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45698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45698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45698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45698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45698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45698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45698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45698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45698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45698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45698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45698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45698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45698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45698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45698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45698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45698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45698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45698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45698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45698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45698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45698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45698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45698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45698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45698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45698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45698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45698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45698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45698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45698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45698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45698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45698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45698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45698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45698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45698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45698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45698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45698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45698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45698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45698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45698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45698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45698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45698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45698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45698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45698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45698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45698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45698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45698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45698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45698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45698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45698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45698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45698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45698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45698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45698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45698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45698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45698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45698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45698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45698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45698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45698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45698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45698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45698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45698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45698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45698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45698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45698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45698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45698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45698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45698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45698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45698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45698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45698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45698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45698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45698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45698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45698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45698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45698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45698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45698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45698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45698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45698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45698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45698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45698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45698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45698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45698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45698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45698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45698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45698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45698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45698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45698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45698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45698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45698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45698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45698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45698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45698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45698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45698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45698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45698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45698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45698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45698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45698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45698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45698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45698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45698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45698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45698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45698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45698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45698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45698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45698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45698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45698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45698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45698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45698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45698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45698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45698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45698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45698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45698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45698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45698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45698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45698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45698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45698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45698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45698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45698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45698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45698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45698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45698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45698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45698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45698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45698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45698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45698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45698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45698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45698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45698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45698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45698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45698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45698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45698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45698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45698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45698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45698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45698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45698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45698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45698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45698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45698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45698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45698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45698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45698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45698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45698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45698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45698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45698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45698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45698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45698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45698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45698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45698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45698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45698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45698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45698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45698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45698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45698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45698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45698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45698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45698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45698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45698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45698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45698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45698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45698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45698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45698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45698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45698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45698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45698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45698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45698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45698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45698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45698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45698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45698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45698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45698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45698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45698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45698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45698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45698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45698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45698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45698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45698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45698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45698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45698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45698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45698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45698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45698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45698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45698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45698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45698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45698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45698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45698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45698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45698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45698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45698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45698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45698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45698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45698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45698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45698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45698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45698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45698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45698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45698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45698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45698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45698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45698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45698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45698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45698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45698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45698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45698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45698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45698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45698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45698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45698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45698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45698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45698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45698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45698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45698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45698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45698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45698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45698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45698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45698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45698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45698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45698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45698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45698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45698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45698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45698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45698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45698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45698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45698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45698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45698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45698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45698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45698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45698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45698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45698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45698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45698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45698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45698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45698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45698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45698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45698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45698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45698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45698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45698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45698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45698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45698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45698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45698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45698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45698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45698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45698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45698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45698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45698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45698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45698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45698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45698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45698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45698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45698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45698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45698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45698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45698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45698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45698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45698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45698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45698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45698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45698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45698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45698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45698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45698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45698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45698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45698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45698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45698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45698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45698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45698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45698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45698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45698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45698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45698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45698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45698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45698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45698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45698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45698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45698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45698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45698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45698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45698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45698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45698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45698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45698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45698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45698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45698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45698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45698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45698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45698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45698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45698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45698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45698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45698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45698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45698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45698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45698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45698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45698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45698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45698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45698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45698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45698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45698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45698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45698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45698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45698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45698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45698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45698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45698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45698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45698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45698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45698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45698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45698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45698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45698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45698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45698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45698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45698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45698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45698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45698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45698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45698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45698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45698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45698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45698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45698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45698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45698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45698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45698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45698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45698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45698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45698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45698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45698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45698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45698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45698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45698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45698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45698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45698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45698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45698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45698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45698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45698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45698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45698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45698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45698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45698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45698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45698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45698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45698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45698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45698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45698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45698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45698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45698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45698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45698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45698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45698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45698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45698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45698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45698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45698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45698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45698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45698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45698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45698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45698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45698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45698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45698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45698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45698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45698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45698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45698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45698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45698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45698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45698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45698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45698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45698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45698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45698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45698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45698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45698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45698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45698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45698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45698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45698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45698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45698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45698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45698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45698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45698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45698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45698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45698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45698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45698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45698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45698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45698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45698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45698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45698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45698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45698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45698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45698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45698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45698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45698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45698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45698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45698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45698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45698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45698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45698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45698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45698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45698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45698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45698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45698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45698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45698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45698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45698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45698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45698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45698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45698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45698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45698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45698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45698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45698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45698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45698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45698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45698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45698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45698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45698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45698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45698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45698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45698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45698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45698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45698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45698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45698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45698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45698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45698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45698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45698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45698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45698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45698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45698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45698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45698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45698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45698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45698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45698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45698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45698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45698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45698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45698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45698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45698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45698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45698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45698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45698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45698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45698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45698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45698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45698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45698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45698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45698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45698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45698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45698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45698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45698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45698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45698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45698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45698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45698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45698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45698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45698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45698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45698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45698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45698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45698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45698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45698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45698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45698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45698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45698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45698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45698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45698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45698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45698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45698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45698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45698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45698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45698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45698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45698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45698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45698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45698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45698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45698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45698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45698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45698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45698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45698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45698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45698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45698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45698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45698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45698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45698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45698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45698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45698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45698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45698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45698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45698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45698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45698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45698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45698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45698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45698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45698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45698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45698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45698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45698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45698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45698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45698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45698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45698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45698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45698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45698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45698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45698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45698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45698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45698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45698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45698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45698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45698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45698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45698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45698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45698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45698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45698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45698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45698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45698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45698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45698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45698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45698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45698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45698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45698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45698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45698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45698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45698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45698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45698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45698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45698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45698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45698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45698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45698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45698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45698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45698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45698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45698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45698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45698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45698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45698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45698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45698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45698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45698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45698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45698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45698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45698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45698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45698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45698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45698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45698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45698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45698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45698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45698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45698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45698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45698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45698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45698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45698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45698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45698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45698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45698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45698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45698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45698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45698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45698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45698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45698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45698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45698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45698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45698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45698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45698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45698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45698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45698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45698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45698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45698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45698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45698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45698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45698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45698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45698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45698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45698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45698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45698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45698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45698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45698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45698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45698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45698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45698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45698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45698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45698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45698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45698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45698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45698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45698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45698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45698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45698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45698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45698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45698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45698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45698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45698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45698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45698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45698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45698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45698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45698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45698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45698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45698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45698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45698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45698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45698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45698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45698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45698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45698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45698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45698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45698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45698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45698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45698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45698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45698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45698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45698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45698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45698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45698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45698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45698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45698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45698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45698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45698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45698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45698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45698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45698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45698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45698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45698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45698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45698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45698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45698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45698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45698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45698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45698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45698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45698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45698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45698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45698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45698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45698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45698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45698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45698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45698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45698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45698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45698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45698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45698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45698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45698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45698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45698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45698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45698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45698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45698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45698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45698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45698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45698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45698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45698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45698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45698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45698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45698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45698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45698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45698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45698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45698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45698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45698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45698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45698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45698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45698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45698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45698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45698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45698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45698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45698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45698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45698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45698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45698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45698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45698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45698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45698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45698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45698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45698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45698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45698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45698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45698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45698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45698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45698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45698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45698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45698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45698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45698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45698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45698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45698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45698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45698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45698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45698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45698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45698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45698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45698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45698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45698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45698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45698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45698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45698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45698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45698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45698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45698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45698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45698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45698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45698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45698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45698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45698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45698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45698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45698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45698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45698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45698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45698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45698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45698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45698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45698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45698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45698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45698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45698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45698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45698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45698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45698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45698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45698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45698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45698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45698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45698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45698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45698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45698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45698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45698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45698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45698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45698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45698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45698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45698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45698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45698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45698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45698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45698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45698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45698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45698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45698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45698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45698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45698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45698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45698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45698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45698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45698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45698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45698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45698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45698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45698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45698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45698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45698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45698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45698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45698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45698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45698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45698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45698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45698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45698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45698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45698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45698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45698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45698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45698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45698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45698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45698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45698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45698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45698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45698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45698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45698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45698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45698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45698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45698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45698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45698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45698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45698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45698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45698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45698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45698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45698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45698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45698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45698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45698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45698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45698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45698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45698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45698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45698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45698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45698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45698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45698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45698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45698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45698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45698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45698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45698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45698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45698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45698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45698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45698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45698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45698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45698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45698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45698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45698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45698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45698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45698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45698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45698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45698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45698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45698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45698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45698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45698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45698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45698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45698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45698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45698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45698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45698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45698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45698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45698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45698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45698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45698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45698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45698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45698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45698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45698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45698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45698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45698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45698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45698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45698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45698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45698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45698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45698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45698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45698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45698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45698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45698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45698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45698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45698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45698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45698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45698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45698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45698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45698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45698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45698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45698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45698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45698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45698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45698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45698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45698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45698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45698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45698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45698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45698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45698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45698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45698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45698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45698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45698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45698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45698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45698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45698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45698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45698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45698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45698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45698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45698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45698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45698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45698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45698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45698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45698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45698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45698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45698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45698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45698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45698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45698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45698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45698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45698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45698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45698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45698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45698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45698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45698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45698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45698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45698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45698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45698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45698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45698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45698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45698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45698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45698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45698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45698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45698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45698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45698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45698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45698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45698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45698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45698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45698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45698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45698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45698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45698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45698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45698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45698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45698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45698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45698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45698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45698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45698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45698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45698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45698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45698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45698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45698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45698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45698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45698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45698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45698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45698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45698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45698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45698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45698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45698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45698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45698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45698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45698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45698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45698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45698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45698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45698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45698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45698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45698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45698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45698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45698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45698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45698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45698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45698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45698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45698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45698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45698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45698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45698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45698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45698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45698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45698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45698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45698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45698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45698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45698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45698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45698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45698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45698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45698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45698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45698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45698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45698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45698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45698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45698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45698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45698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45698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45698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45698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45698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45698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45698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45698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45698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45698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45698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45698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45698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45698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45698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45698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45698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45698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45698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45698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45698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45698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45698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45698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45698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45698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45698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45698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45698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45698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45698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45698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45698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45698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45698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45698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45698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45698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45698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45698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45698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45698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45698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45698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45698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45698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45698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45698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45698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45698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45698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45698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45698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45698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45698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45698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45698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45698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45698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45698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45698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45698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45698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45698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45698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45698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45698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45698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45698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45698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45698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45698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45698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45698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45698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45698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45698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45698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45698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45698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45698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45698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45698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45698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45698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45698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45698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45698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45698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45698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45698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45698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45698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45698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45698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45698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45698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45698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45698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45698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45698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45698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45698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45698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45698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45698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45698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45698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45698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45698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45698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45698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45698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45698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45698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45698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45698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45698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45698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45698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45698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45698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45698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45698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45698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45698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45698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45698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45698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45698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45698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45698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45698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45698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45698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45698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45698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45698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45698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45698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45698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45698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45698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45698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45698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45698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45698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45698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45698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45698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45698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45698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45698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45698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45698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45698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45698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45698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45698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45698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45698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45698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45698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45698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45698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45698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45698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45698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45698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45698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45698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45698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45698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45698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45698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45698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45698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45698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45698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45698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45698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45698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45698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45698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45698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45698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45698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45698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45698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45698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45698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45698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45698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45698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45698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45698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45698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45698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45698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45698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45698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45698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45698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45698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45698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45698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45698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45698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45698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45698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45698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45698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45698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45698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45698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45698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45698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45698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45698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45698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45698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45698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45698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45698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45698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45698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45698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45698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45698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45698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45698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45698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45698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45698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45698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45698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45698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45698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45698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45698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45698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45698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45698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45698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45698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45698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45698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45698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45698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45698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45698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45698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45698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45698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45698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45698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45698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45698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45698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45698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45698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45698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45698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45698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45698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45698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45698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45698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45698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45698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45698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45698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45698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45698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45698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45698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45698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45698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45698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45698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45698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45698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45698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45698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45698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45698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45698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45698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45698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45698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45698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45698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45698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45698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45698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45698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45698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45698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45698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45698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45698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45698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45698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45698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45698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45698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45698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45698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45698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45698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45698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45698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45698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45698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45698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45698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45698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45698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45698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45698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45698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45698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45698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45698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45698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45698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45698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45698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45698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45698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45698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45698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45698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45698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45698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45698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45698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45698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45698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45698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45698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45698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45698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45698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45698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45698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45698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45698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45698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45698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45698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45698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45698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45698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45698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45698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45698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45698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45698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45698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45698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45698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45698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45698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45698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45698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45698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45698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45698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45698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45698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45698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45698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45698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45698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45698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45698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45698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45698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45698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45698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45698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45698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45698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45698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45698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45698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45698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45698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45698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1953-2025</t>
        </is>
      </c>
      <c r="B2189" s="1" t="n">
        <v>45672</v>
      </c>
      <c r="C2189" s="1" t="n">
        <v>45698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  <c r="U2189">
        <f>HYPERLINK("https://klasma.github.io/Logging_0685/knärot/A 1953-2025 karta knärot.png", "A 1953-2025")</f>
        <v/>
      </c>
      <c r="V2189">
        <f>HYPERLINK("https://klasma.github.io/Logging_0685/klagomål/A 1953-2025 FSC-klagomål.docx", "A 1953-2025")</f>
        <v/>
      </c>
      <c r="W2189">
        <f>HYPERLINK("https://klasma.github.io/Logging_0685/klagomålsmail/A 1953-2025 FSC-klagomål mail.docx", "A 1953-2025")</f>
        <v/>
      </c>
      <c r="X2189">
        <f>HYPERLINK("https://klasma.github.io/Logging_0685/tillsyn/A 1953-2025 tillsynsbegäran.docx", "A 1953-2025")</f>
        <v/>
      </c>
      <c r="Y2189">
        <f>HYPERLINK("https://klasma.github.io/Logging_0685/tillsynsmail/A 1953-2025 tillsynsbegäran mail.docx", "A 1953-2025")</f>
        <v/>
      </c>
    </row>
    <row r="2190" ht="15" customHeight="1">
      <c r="A2190" t="inlineStr">
        <is>
          <t>A 1960-2025</t>
        </is>
      </c>
      <c r="B2190" s="1" t="n">
        <v>45672</v>
      </c>
      <c r="C2190" s="1" t="n">
        <v>45698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1950-2025</t>
        </is>
      </c>
      <c r="B2191" s="1" t="n">
        <v>45672</v>
      </c>
      <c r="C2191" s="1" t="n">
        <v>45698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45698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1947-2025</t>
        </is>
      </c>
      <c r="B2193" s="1" t="n">
        <v>45672</v>
      </c>
      <c r="C2193" s="1" t="n">
        <v>45698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45698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45698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2205-2025</t>
        </is>
      </c>
      <c r="B2196" s="1" t="n">
        <v>45673</v>
      </c>
      <c r="C2196" s="1" t="n">
        <v>45698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45698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2369-2025</t>
        </is>
      </c>
      <c r="B2198" s="1" t="n">
        <v>45673</v>
      </c>
      <c r="C2198" s="1" t="n">
        <v>45698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45698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45698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2459-2025</t>
        </is>
      </c>
      <c r="B2201" s="1" t="n">
        <v>45674</v>
      </c>
      <c r="C2201" s="1" t="n">
        <v>45698</v>
      </c>
      <c r="D2201" t="inlineStr">
        <is>
          <t>JÖNKÖPINGS LÄN</t>
        </is>
      </c>
      <c r="E2201" t="inlineStr">
        <is>
          <t>VETLANDA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2497-2025</t>
        </is>
      </c>
      <c r="B2202" s="1" t="n">
        <v>45674</v>
      </c>
      <c r="C2202" s="1" t="n">
        <v>45698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45698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45698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45698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45698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45698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45698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45698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45698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45698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45698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3683-2025</t>
        </is>
      </c>
      <c r="B2213" s="1" t="n">
        <v>45681</v>
      </c>
      <c r="C2213" s="1" t="n">
        <v>45698</v>
      </c>
      <c r="D2213" t="inlineStr">
        <is>
          <t>JÖNKÖPINGS LÄN</t>
        </is>
      </c>
      <c r="E2213" t="inlineStr">
        <is>
          <t>VETLANDA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3624-2025</t>
        </is>
      </c>
      <c r="B2214" s="1" t="n">
        <v>45681</v>
      </c>
      <c r="C2214" s="1" t="n">
        <v>45698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45698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4066-2025</t>
        </is>
      </c>
      <c r="B2216" s="1" t="n">
        <v>45684</v>
      </c>
      <c r="C2216" s="1" t="n">
        <v>45698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4070-2025</t>
        </is>
      </c>
      <c r="B2217" s="1" t="n">
        <v>45684</v>
      </c>
      <c r="C2217" s="1" t="n">
        <v>45698</v>
      </c>
      <c r="D2217" t="inlineStr">
        <is>
          <t>JÖNKÖPINGS LÄN</t>
        </is>
      </c>
      <c r="E2217" t="inlineStr">
        <is>
          <t>VETLANDA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45698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4068-2025</t>
        </is>
      </c>
      <c r="B2219" s="1" t="n">
        <v>45684</v>
      </c>
      <c r="C2219" s="1" t="n">
        <v>45698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4064-2025</t>
        </is>
      </c>
      <c r="B2220" s="1" t="n">
        <v>45684</v>
      </c>
      <c r="C2220" s="1" t="n">
        <v>45698</v>
      </c>
      <c r="D2220" t="inlineStr">
        <is>
          <t>JÖNKÖPINGS LÄN</t>
        </is>
      </c>
      <c r="E2220" t="inlineStr">
        <is>
          <t>VETLANDA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45698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5136-2025</t>
        </is>
      </c>
      <c r="B2222" s="1" t="n">
        <v>45691</v>
      </c>
      <c r="C2222" s="1" t="n">
        <v>45698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5144-2025</t>
        </is>
      </c>
      <c r="B2223" s="1" t="n">
        <v>45691</v>
      </c>
      <c r="C2223" s="1" t="n">
        <v>45698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5148-2025</t>
        </is>
      </c>
      <c r="B2224" s="1" t="n">
        <v>45691</v>
      </c>
      <c r="C2224" s="1" t="n">
        <v>45698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5194-2025</t>
        </is>
      </c>
      <c r="B2225" s="1" t="n">
        <v>45691</v>
      </c>
      <c r="C2225" s="1" t="n">
        <v>45698</v>
      </c>
      <c r="D2225" t="inlineStr">
        <is>
          <t>JÖNKÖPINGS LÄN</t>
        </is>
      </c>
      <c r="E2225" t="inlineStr">
        <is>
          <t>VETLANDA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5199-2025</t>
        </is>
      </c>
      <c r="B2226" s="1" t="n">
        <v>45691</v>
      </c>
      <c r="C2226" s="1" t="n">
        <v>45698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5041-2025</t>
        </is>
      </c>
      <c r="B2227" s="1" t="n">
        <v>45691</v>
      </c>
      <c r="C2227" s="1" t="n">
        <v>45698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5163-2025</t>
        </is>
      </c>
      <c r="B2228" s="1" t="n">
        <v>45691</v>
      </c>
      <c r="C2228" s="1" t="n">
        <v>45698</v>
      </c>
      <c r="D2228" t="inlineStr">
        <is>
          <t>JÖNKÖPINGS LÄN</t>
        </is>
      </c>
      <c r="E2228" t="inlineStr">
        <is>
          <t>VETLANDA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5150-2025</t>
        </is>
      </c>
      <c r="B2229" s="1" t="n">
        <v>45691</v>
      </c>
      <c r="C2229" s="1" t="n">
        <v>45698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45698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5379-2025</t>
        </is>
      </c>
      <c r="B2231" s="1" t="n">
        <v>45692</v>
      </c>
      <c r="C2231" s="1" t="n">
        <v>45698</v>
      </c>
      <c r="D2231" t="inlineStr">
        <is>
          <t>JÖNKÖPINGS LÄN</t>
        </is>
      </c>
      <c r="E2231" t="inlineStr">
        <is>
          <t>VETLANDA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5396-2025</t>
        </is>
      </c>
      <c r="B2232" s="1" t="n">
        <v>45692</v>
      </c>
      <c r="C2232" s="1" t="n">
        <v>45698</v>
      </c>
      <c r="D2232" t="inlineStr">
        <is>
          <t>JÖNKÖPINGS LÄN</t>
        </is>
      </c>
      <c r="E2232" t="inlineStr">
        <is>
          <t>VETLANDA</t>
        </is>
      </c>
      <c r="G2232" t="n">
        <v>6.5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45698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45698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5492-2025</t>
        </is>
      </c>
      <c r="B2235" s="1" t="n">
        <v>45693</v>
      </c>
      <c r="C2235" s="1" t="n">
        <v>45698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2025-02-10T16:55:59Z</dcterms:created>
  <dcterms:modified xmlns:dcterms="http://purl.org/dc/terms/" xmlns:xsi="http://www.w3.org/2001/XMLSchema-instance" xsi:type="dcterms:W3CDTF">2025-02-10T16:56:01Z</dcterms:modified>
</cp:coreProperties>
</file>