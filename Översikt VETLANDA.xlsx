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45696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45696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45696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45696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45696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45696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45696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45696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45696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45696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45696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45696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45696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45696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45696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45696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45696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45696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45696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45696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45696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45696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45696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45696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45696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45696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45696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45696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45696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45696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45696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45696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45696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45696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45696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45696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45696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45696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45696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45696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45696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45696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45696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45696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45696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45696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45696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45696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45696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45696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45696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45696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45696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45696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45696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45696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45696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45696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45696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45696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45696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45696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45696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45696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45696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45696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45696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45696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45696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45696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45696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45696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45696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45696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45696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45696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45696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45696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45696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45696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45696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45696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45696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45696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45696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45696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45696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45696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45696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45696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45696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45696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45696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45696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45696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45696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45696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45696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45696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45696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45696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45696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45696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45696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45696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45696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45696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45696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45696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45696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45696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45696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45696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45696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45696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45696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45696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45696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45696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45696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45696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45696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45696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45696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45696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45696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45696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45696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45696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45696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45696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45696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45696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45696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45696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45696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45696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45696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45696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45696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45696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45696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45696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45696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45696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45696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45696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45696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45696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45696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45696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45696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45696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45696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45696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45696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45696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45696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45696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45696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45696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45696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45696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45696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45696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45696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45696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45696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45696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45696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45696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45696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45696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45696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45696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45696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45696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45696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45696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45696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45696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45696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45696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45696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45696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45696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45696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45696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45696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45696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45696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45696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45696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45696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45696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45696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45696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45696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45696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45696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45696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45696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45696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45696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45696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45696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45696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45696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45696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45696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45696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45696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45696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45696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45696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45696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45696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45696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45696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45696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45696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45696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45696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45696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45696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45696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45696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45696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45696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45696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45696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45696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45696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45696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45696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45696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45696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45696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45696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45696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45696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45696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45696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45696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45696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45696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45696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45696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45696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45696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45696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45696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45696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45696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45696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45696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45696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45696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45696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45696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45696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45696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45696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45696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45696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45696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45696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45696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45696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45696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45696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45696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45696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45696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45696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45696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45696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45696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45696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45696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45696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45696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45696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45696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45696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45696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45696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45696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45696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45696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45696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45696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45696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45696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45696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45696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45696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45696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45696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45696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45696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45696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45696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45696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45696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45696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45696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45696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45696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45696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45696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45696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45696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45696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45696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45696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45696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45696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45696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45696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45696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45696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45696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45696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45696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45696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45696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45696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45696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45696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45696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45696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45696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45696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45696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45696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45696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45696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45696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45696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45696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45696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45696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45696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45696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45696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45696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45696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45696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45696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45696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45696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45696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45696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45696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45696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45696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45696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45696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45696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45696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45696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45696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45696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45696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45696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45696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45696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45696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45696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45696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45696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45696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45696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45696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45696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45696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45696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45696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45696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45696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45696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45696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45696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45696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45696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45696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45696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45696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45696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45696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45696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45696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45696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45696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45696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45696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45696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45696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45696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45696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45696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45696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45696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45696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45696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45696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45696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45696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45696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45696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45696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45696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45696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45696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45696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45696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45696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45696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45696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45696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45696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45696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45696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45696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45696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45696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45696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45696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45696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45696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45696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45696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45696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45696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45696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45696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45696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45696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45696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45696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45696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45696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45696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45696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45696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45696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45696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45696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45696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45696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45696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45696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45696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45696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45696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45696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45696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45696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45696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45696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45696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45696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45696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45696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45696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45696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45696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45696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45696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45696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45696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45696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45696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45696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45696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45696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45696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45696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45696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45696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45696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45696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45696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45696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45696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45696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45696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45696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45696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45696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45696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45696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45696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45696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45696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45696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45696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45696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45696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45696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45696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45696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45696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45696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45696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45696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45696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45696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45696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45696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45696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45696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45696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45696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45696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45696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45696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45696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45696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45696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45696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45696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45696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45696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45696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45696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45696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45696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45696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45696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45696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45696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45696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45696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45696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45696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45696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45696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45696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45696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45696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45696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45696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45696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45696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45696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45696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45696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45696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45696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45696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45696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45696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45696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45696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45696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45696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45696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45696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45696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45696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45696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45696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45696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45696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45696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45696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45696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45696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45696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45696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45696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45696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45696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45696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45696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45696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45696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45696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45696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45696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45696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45696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45696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45696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45696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45696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45696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45696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45696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45696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45696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45696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45696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45696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45696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45696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45696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45696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45696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45696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45696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45696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45696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45696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45696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45696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45696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45696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45696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45696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45696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45696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45696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45696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45696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45696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45696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45696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45696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45696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45696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45696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45696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45696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45696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45696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45696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45696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45696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45696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45696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45696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45696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45696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45696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45696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45696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45696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45696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45696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45696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45696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45696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45696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45696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45696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45696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45696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45696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45696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45696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45696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45696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45696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45696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45696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45696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45696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45696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45696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45696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45696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45696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45696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45696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45696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45696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45696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45696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45696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45696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45696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45696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45696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45696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45696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45696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45696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45696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45696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45696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45696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45696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45696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45696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45696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45696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45696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45696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45696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45696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45696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45696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45696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45696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45696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45696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45696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45696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45696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45696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45696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45696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45696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45696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45696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45696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45696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45696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45696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45696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45696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45696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45696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45696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45696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45696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45696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45696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45696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45696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45696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45696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45696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45696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45696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45696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45696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45696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45696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45696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45696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45696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45696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45696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45696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45696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45696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45696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45696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45696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45696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45696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45696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45696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45696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45696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45696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45696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45696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45696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45696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45696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45696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45696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45696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45696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45696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45696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45696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45696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45696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45696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45696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45696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45696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45696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45696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45696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45696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45696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45696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45696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45696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45696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45696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45696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45696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45696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45696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45696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45696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45696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45696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45696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45696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45696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45696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45696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45696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45696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45696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45696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45696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45696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45696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45696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45696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45696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45696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45696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45696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45696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45696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45696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45696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45696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45696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45696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45696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45696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45696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45696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45696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45696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45696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45696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45696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45696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45696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45696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45696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45696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45696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45696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45696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45696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45696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45696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45696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45696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45696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45696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45696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45696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45696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45696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45696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45696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45696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45696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45696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45696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45696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45696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45696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45696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45696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45696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45696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45696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45696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45696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45696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45696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45696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45696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45696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45696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45696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45696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45696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45696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45696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45696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45696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45696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45696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45696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45696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45696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45696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45696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45696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45696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45696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45696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45696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45696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45696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45696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45696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45696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45696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45696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45696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45696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45696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45696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45696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45696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45696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45696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45696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45696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45696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45696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45696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45696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45696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45696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45696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45696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45696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45696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45696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45696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45696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45696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45696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45696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45696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45696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45696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45696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45696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45696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45696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45696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45696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45696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45696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45696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45696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45696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45696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45696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45696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45696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45696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45696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45696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45696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45696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45696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45696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45696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45696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45696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45696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45696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45696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45696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45696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45696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45696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45696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45696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45696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45696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45696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45696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45696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45696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45696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45696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45696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45696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45696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45696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45696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45696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45696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45696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45696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45696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45696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45696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45696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45696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45696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45696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45696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45696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45696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45696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45696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45696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45696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45696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45696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45696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45696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45696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45696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45696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45696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45696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45696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45696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45696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45696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45696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45696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45696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45696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45696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45696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45696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45696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45696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45696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45696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45696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45696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45696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45696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45696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45696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45696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45696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45696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45696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45696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45696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45696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45696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45696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45696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45696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45696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45696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45696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45696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45696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45696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45696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45696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45696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45696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45696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45696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45696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45696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45696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45696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45696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45696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45696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45696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45696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45696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45696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45696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45696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45696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45696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45696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45696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45696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45696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45696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45696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45696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45696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45696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45696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45696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45696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45696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45696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45696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45696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45696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45696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45696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45696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45696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45696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45696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45696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45696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45696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45696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45696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45696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45696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45696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45696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45696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45696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45696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45696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45696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45696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45696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45696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45696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45696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45696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45696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45696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45696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45696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45696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45696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45696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45696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45696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45696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45696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45696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45696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45696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45696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45696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45696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45696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45696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45696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45696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45696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45696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45696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45696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45696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45696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45696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45696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45696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45696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45696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45696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45696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45696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45696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45696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45696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45696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45696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45696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45696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45696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45696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45696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45696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45696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45696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45696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45696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45696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45696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45696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45696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45696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45696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45696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45696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45696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45696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45696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45696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45696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45696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45696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45696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45696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45696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45696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45696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45696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45696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45696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45696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45696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45696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45696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45696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45696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45696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45696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45696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45696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45696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45696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45696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45696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45696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45696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45696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45696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45696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45696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45696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45696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45696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45696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45696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45696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45696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45696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45696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45696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45696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45696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45696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45696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45696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45696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45696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45696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45696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45696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45696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45696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45696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45696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45696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45696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45696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45696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45696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45696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45696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45696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45696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45696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45696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45696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45696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45696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45696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45696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45696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45696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45696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45696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45696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45696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45696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45696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45696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45696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45696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45696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45696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45696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45696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45696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45696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45696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45696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45696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45696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45696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45696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45696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45696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45696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45696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45696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45696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45696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45696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45696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45696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45696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45696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45696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45696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45696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45696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45696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45696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45696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45696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45696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45696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45696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45696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45696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45696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45696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45696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45696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45696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45696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45696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45696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45696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45696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45696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45696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45696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45696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45696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45696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45696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45696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45696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45696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45696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45696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45696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45696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45696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45696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45696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45696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45696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45696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45696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45696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45696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45696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45696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45696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45696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45696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45696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45696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45696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45696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45696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45696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45696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45696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45696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45696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45696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45696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45696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45696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45696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45696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45696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45696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45696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45696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45696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45696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45696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45696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45696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45696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45696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45696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45696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45696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45696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45696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45696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45696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45696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45696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45696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45696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45696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45696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45696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45696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45696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45696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45696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45696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45696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45696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45696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45696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45696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45696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45696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45696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45696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45696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45696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45696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45696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45696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45696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45696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45696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45696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45696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45696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45696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45696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45696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45696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45696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45696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45696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45696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45696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45696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45696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45696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45696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45696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45696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45696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45696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45696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45696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45696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45696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45696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45696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45696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45696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45696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45696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45696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45696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45696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45696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45696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45696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45696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45696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45696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45696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45696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45696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45696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45696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45696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45696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45696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45696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45696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45696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45696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45696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45696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45696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45696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45696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45696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45696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45696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45696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45696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45696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45696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45696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45696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45696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45696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45696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45696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45696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45696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45696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45696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45696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45696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45696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45696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45696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45696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45696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45696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45696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45696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45696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45696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45696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45696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45696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45696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45696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45696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45696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45696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45696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45696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45696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45696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45696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45696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45696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45696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45696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45696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45696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45696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45696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45696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45696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45696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45696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45696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45696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45696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45696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45696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45696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45696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45696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45696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45696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45696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45696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45696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45696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45696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45696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45696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45696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45696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45696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45696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45696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45696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45696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45696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45696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45696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45696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45696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45696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45696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45696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45696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45696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45696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45696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45696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45696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45696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45696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45696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45696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45696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45696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45696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45696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45696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45696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45696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45696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45696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45696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45696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45696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45696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45696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45696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45696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45696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45696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45696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45696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45696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45696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45696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45696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45696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45696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45696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45696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45696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45696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45696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45696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45696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45696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45696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45696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45696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45696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45696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45696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45696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45696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45696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45696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45696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45696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45696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45696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45696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45696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45696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45696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45696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45696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45696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45696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45696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45696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45696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45696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45696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45696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45696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45696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45696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45696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45696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45696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45696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45696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45696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45696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45696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45696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45696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45696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45696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45696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45696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45696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45696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45696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45696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45696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45696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45696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45696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45696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45696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45696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45696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45696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45696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45696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45696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45696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45696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45696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45696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45696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45696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45696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45696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45696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45696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45696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45696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45696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45696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45696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45696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45696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45696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45696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45696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45696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45696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45696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45696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45696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45696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45696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45696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45696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45696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45696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45696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45696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45696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45696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45696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45696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45696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45696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45696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45696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45696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45696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45696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45696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45696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45696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45696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45696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45696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45696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45696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45696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45696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45696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45696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45696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45696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45696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45696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45696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45696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45696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45696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45696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45696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45696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45696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45696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45696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45696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45696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45696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45696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45696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45696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45696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45696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45696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45696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45696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45696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45696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45696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45696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45696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45696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45696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45696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45696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45696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45696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45696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45696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45696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45696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45696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45696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45696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45696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45696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45696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45696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45696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45696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45696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45696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45696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45696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45696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45696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45696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45696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45696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45696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45696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45696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45696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45696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45696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45696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45696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45696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45696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45696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45696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45696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45696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45696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45696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45696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45696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45696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45696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45696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45696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45696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45696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45696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45696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45696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45696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45696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45696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45696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45696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45696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45696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45696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45696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45696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45696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45696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45696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45696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45696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45696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45696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45696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45696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45696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45696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45696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45696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45696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45696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45696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45696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45696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45696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45696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45696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45696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45696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45696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45696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45696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45696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45696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45696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45696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45696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45696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45696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45696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45696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45696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45696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45696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45696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45696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45696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45696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45696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45696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45696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45696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45696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45696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45696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45696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45696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45696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45696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45696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45696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45696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45696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45696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45696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45696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45696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45696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45696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45696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45696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45696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45696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45696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45696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45696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45696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45696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45696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45696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45696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45696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45696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45696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45696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45696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45696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45696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45696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45696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45696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45696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45696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45696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45696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45696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45696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45696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45696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45696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45696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45696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45696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45696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45696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45696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45696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45696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45696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45696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45696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45696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45696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45696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45696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45696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45696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45696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45696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45696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45696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45696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45696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45696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45696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45696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45696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45696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45696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45696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45696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45696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45696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45696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45696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45696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45696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45696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45696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45696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45696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45696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45696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45696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45696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45696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45696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45696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45696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45696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45696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45696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45696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45696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45696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45696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45696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45696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45696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45696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45696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45696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45696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45696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45696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45696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45696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45696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45696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45696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45696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45696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45696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45696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45696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45696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45696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45696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45696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45696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45696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45696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45696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45696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45696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45696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45696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45696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45696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45696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45696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45696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45696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45696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45696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45696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45696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45696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45696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45696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45696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45696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45696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45696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45696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45696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45696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45696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45696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45696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45696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45696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45696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45696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45696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45696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45696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45696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45696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45696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45696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45696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45696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45696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45696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45696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45696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45696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45696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45696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45696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45696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45696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45696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45696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45696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45696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45696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45696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45696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45696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45696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45696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45696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45696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45696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45696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45696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45696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45696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45696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45696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45696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45696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45696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45696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45696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45696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45696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45696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45696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45696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45696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45696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45696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45696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45696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45696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45696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45696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45696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45696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45696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45696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45696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45696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45696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45696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45696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45696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45696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45696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45696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45696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45696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45696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45696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45696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45696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45696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45696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45696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45696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45696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45696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45696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45696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45696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45696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45696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45696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45696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1840-2025</t>
        </is>
      </c>
      <c r="B2185" s="1" t="n">
        <v>45671</v>
      </c>
      <c r="C2185" s="1" t="n">
        <v>45696</v>
      </c>
      <c r="D2185" t="inlineStr">
        <is>
          <t>JÖNKÖPINGS LÄN</t>
        </is>
      </c>
      <c r="E2185" t="inlineStr">
        <is>
          <t>VETLANDA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45696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45696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45696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45696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1958-2025</t>
        </is>
      </c>
      <c r="B2190" s="1" t="n">
        <v>45672</v>
      </c>
      <c r="C2190" s="1" t="n">
        <v>45696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1953-2025</t>
        </is>
      </c>
      <c r="B2191" s="1" t="n">
        <v>45672</v>
      </c>
      <c r="C2191" s="1" t="n">
        <v>45696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  <c r="U2191">
        <f>HYPERLINK("https://klasma.github.io/Logging_0685/knärot/A 1953-2025 karta knärot.png", "A 1953-2025")</f>
        <v/>
      </c>
      <c r="V2191">
        <f>HYPERLINK("https://klasma.github.io/Logging_0685/klagomål/A 1953-2025 FSC-klagomål.docx", "A 1953-2025")</f>
        <v/>
      </c>
      <c r="W2191">
        <f>HYPERLINK("https://klasma.github.io/Logging_0685/klagomålsmail/A 1953-2025 FSC-klagomål mail.docx", "A 1953-2025")</f>
        <v/>
      </c>
      <c r="X2191">
        <f>HYPERLINK("https://klasma.github.io/Logging_0685/tillsyn/A 1953-2025 tillsynsbegäran.docx", "A 1953-2025")</f>
        <v/>
      </c>
      <c r="Y2191">
        <f>HYPERLINK("https://klasma.github.io/Logging_0685/tillsynsmail/A 1953-2025 tillsynsbegäran mail.docx", "A 1953-2025")</f>
        <v/>
      </c>
    </row>
    <row r="2192" ht="15" customHeight="1">
      <c r="A2192" t="inlineStr">
        <is>
          <t>A 1960-2025</t>
        </is>
      </c>
      <c r="B2192" s="1" t="n">
        <v>45672</v>
      </c>
      <c r="C2192" s="1" t="n">
        <v>45696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1947-2025</t>
        </is>
      </c>
      <c r="B2193" s="1" t="n">
        <v>45672</v>
      </c>
      <c r="C2193" s="1" t="n">
        <v>45696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45696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45696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2205-2025</t>
        </is>
      </c>
      <c r="B2196" s="1" t="n">
        <v>45673</v>
      </c>
      <c r="C2196" s="1" t="n">
        <v>45696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2370-2025</t>
        </is>
      </c>
      <c r="B2197" s="1" t="n">
        <v>45673</v>
      </c>
      <c r="C2197" s="1" t="n">
        <v>45696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2369-2025</t>
        </is>
      </c>
      <c r="B2198" s="1" t="n">
        <v>45673</v>
      </c>
      <c r="C2198" s="1" t="n">
        <v>45696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45696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45696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2459-2025</t>
        </is>
      </c>
      <c r="B2201" s="1" t="n">
        <v>45674</v>
      </c>
      <c r="C2201" s="1" t="n">
        <v>45696</v>
      </c>
      <c r="D2201" t="inlineStr">
        <is>
          <t>JÖNKÖPINGS LÄN</t>
        </is>
      </c>
      <c r="E2201" t="inlineStr">
        <is>
          <t>VETLANDA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2465-2025</t>
        </is>
      </c>
      <c r="B2202" s="1" t="n">
        <v>45674</v>
      </c>
      <c r="C2202" s="1" t="n">
        <v>45696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2496-2025</t>
        </is>
      </c>
      <c r="B2203" s="1" t="n">
        <v>45674</v>
      </c>
      <c r="C2203" s="1" t="n">
        <v>45696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45696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45696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45696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45696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45696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45696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45696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45696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45696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3624-2025</t>
        </is>
      </c>
      <c r="B2213" s="1" t="n">
        <v>45681</v>
      </c>
      <c r="C2213" s="1" t="n">
        <v>45696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45696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45696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4066-2025</t>
        </is>
      </c>
      <c r="B2216" s="1" t="n">
        <v>45684</v>
      </c>
      <c r="C2216" s="1" t="n">
        <v>45696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4070-2025</t>
        </is>
      </c>
      <c r="B2217" s="1" t="n">
        <v>45684</v>
      </c>
      <c r="C2217" s="1" t="n">
        <v>45696</v>
      </c>
      <c r="D2217" t="inlineStr">
        <is>
          <t>JÖNKÖPINGS LÄN</t>
        </is>
      </c>
      <c r="E2217" t="inlineStr">
        <is>
          <t>VETLANDA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4068-2025</t>
        </is>
      </c>
      <c r="B2218" s="1" t="n">
        <v>45684</v>
      </c>
      <c r="C2218" s="1" t="n">
        <v>45696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45696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4061-2025</t>
        </is>
      </c>
      <c r="B2220" s="1" t="n">
        <v>45684</v>
      </c>
      <c r="C2220" s="1" t="n">
        <v>45696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45696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45696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45696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45696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5199-2025</t>
        </is>
      </c>
      <c r="B2225" s="1" t="n">
        <v>45691</v>
      </c>
      <c r="C2225" s="1" t="n">
        <v>45696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45696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45696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45696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45696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5379-2025</t>
        </is>
      </c>
      <c r="B2230" s="1" t="n">
        <v>45692</v>
      </c>
      <c r="C2230" s="1" t="n">
        <v>45696</v>
      </c>
      <c r="D2230" t="inlineStr">
        <is>
          <t>JÖNKÖPINGS LÄN</t>
        </is>
      </c>
      <c r="E2230" t="inlineStr">
        <is>
          <t>VETLANDA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5396-2025</t>
        </is>
      </c>
      <c r="B2231" s="1" t="n">
        <v>45692</v>
      </c>
      <c r="C2231" s="1" t="n">
        <v>45696</v>
      </c>
      <c r="D2231" t="inlineStr">
        <is>
          <t>JÖNKÖPINGS LÄN</t>
        </is>
      </c>
      <c r="E2231" t="inlineStr">
        <is>
          <t>VETLANDA</t>
        </is>
      </c>
      <c r="G2231" t="n">
        <v>6.5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45696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45696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45696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5492-2025</t>
        </is>
      </c>
      <c r="B2235" s="1" t="n">
        <v>45693</v>
      </c>
      <c r="C2235" s="1" t="n">
        <v>45696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2025-02-08T16:58:45Z</dcterms:created>
  <dcterms:modified xmlns:dcterms="http://purl.org/dc/terms/" xmlns:xsi="http://www.w3.org/2001/XMLSchema-instance" xsi:type="dcterms:W3CDTF">2025-02-08T16:58:47Z</dcterms:modified>
</cp:coreProperties>
</file>