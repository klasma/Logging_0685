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45723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45723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45723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45723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45723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45723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45723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45723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45723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45723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45723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45723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45723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45723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45723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45723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45723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45723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45723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45723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45723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45723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45723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45723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45723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45723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45723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45723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45723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45723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45723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45723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45723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45723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45723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45723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45723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45723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45723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45723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45723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45723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45723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45723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45723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45723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45723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45723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45723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45723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45723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45723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45723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45723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45723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45723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45723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45723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45723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45723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45723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45723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45723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45723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45723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45723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45723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45723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45723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45723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45723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45723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45723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45723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45723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45723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45723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45723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45723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45723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45723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45723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45723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45723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45723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45723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45723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45723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45723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45723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45723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10694-2025</t>
        </is>
      </c>
      <c r="B134" s="1" t="n">
        <v>45722</v>
      </c>
      <c r="C134" s="1" t="n">
        <v>45723</v>
      </c>
      <c r="D134" t="inlineStr">
        <is>
          <t>JÖNKÖPINGS LÄN</t>
        </is>
      </c>
      <c r="E134" t="inlineStr">
        <is>
          <t>VETLANDA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HYPERLINK("https://klasma.github.io/Logging_0685/artfynd/A 10694-2025 artfynd.xlsx", "A 10694-2025")</f>
        <v/>
      </c>
      <c r="T134">
        <f>HYPERLINK("https://klasma.github.io/Logging_0685/kartor/A 10694-2025 karta.png", "A 10694-2025")</f>
        <v/>
      </c>
      <c r="V134">
        <f>HYPERLINK("https://klasma.github.io/Logging_0685/klagomål/A 10694-2025 FSC-klagomål.docx", "A 10694-2025")</f>
        <v/>
      </c>
      <c r="W134">
        <f>HYPERLINK("https://klasma.github.io/Logging_0685/klagomålsmail/A 10694-2025 FSC-klagomål mail.docx", "A 10694-2025")</f>
        <v/>
      </c>
      <c r="X134">
        <f>HYPERLINK("https://klasma.github.io/Logging_0685/tillsyn/A 10694-2025 tillsynsbegäran.docx", "A 10694-2025")</f>
        <v/>
      </c>
      <c r="Y134">
        <f>HYPERLINK("https://klasma.github.io/Logging_0685/tillsynsmail/A 10694-2025 tillsynsbegäran mail.docx", "A 10694-2025")</f>
        <v/>
      </c>
    </row>
    <row r="135" ht="15" customHeight="1">
      <c r="A135" t="inlineStr">
        <is>
          <t>A 10720-2025</t>
        </is>
      </c>
      <c r="B135" s="1" t="n">
        <v>45722</v>
      </c>
      <c r="C135" s="1" t="n">
        <v>45723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Vätteros</t>
        </is>
      </c>
      <c r="S135">
        <f>HYPERLINK("https://klasma.github.io/Logging_0685/artfynd/A 10720-2025 artfynd.xlsx", "A 10720-2025")</f>
        <v/>
      </c>
      <c r="T135">
        <f>HYPERLINK("https://klasma.github.io/Logging_0685/kartor/A 10720-2025 karta.png", "A 10720-2025")</f>
        <v/>
      </c>
      <c r="V135">
        <f>HYPERLINK("https://klasma.github.io/Logging_0685/klagomål/A 10720-2025 FSC-klagomål.docx", "A 10720-2025")</f>
        <v/>
      </c>
      <c r="W135">
        <f>HYPERLINK("https://klasma.github.io/Logging_0685/klagomålsmail/A 10720-2025 FSC-klagomål mail.docx", "A 10720-2025")</f>
        <v/>
      </c>
      <c r="X135">
        <f>HYPERLINK("https://klasma.github.io/Logging_0685/tillsyn/A 10720-2025 tillsynsbegäran.docx", "A 10720-2025")</f>
        <v/>
      </c>
      <c r="Y135">
        <f>HYPERLINK("https://klasma.github.io/Logging_0685/tillsynsmail/A 10720-2025 tillsynsbegäran mail.docx", "A 10720-2025")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45723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45723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45723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45723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45723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45723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45723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45723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45723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45723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45723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45723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45723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45723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45723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45723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45723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45723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45723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45723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45723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45723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45723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45723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45723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45723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45723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45723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45723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45723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45723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45723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45723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45723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45723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45723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45723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45723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45723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45723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45723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45723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45723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45723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45723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45723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45723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45723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45723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45723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45723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45723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45723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45723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45723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45723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45723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45723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45723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45723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45723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45723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45723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45723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45723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45723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45723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45723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45723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45723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45723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45723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45723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45723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45723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45723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45723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45723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45723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45723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45723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45723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45723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45723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45723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45723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45723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45723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45723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45723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45723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45723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45723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45723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45723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45723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45723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45723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45723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45723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45723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45723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45723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45723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45723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45723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45723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45723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45723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45723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45723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45723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45723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45723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45723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45723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45723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45723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45723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45723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45723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45723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45723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45723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45723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45723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45723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45723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45723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45723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45723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45723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45723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45723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45723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45723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45723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45723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45723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45723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45723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45723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45723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45723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45723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45723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45723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45723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45723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45723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45723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45723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45723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45723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45723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45723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45723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45723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45723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45723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45723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45723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45723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45723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45723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45723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45723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45723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45723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45723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45723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45723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45723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45723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45723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45723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45723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45723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45723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45723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45723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45723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45723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45723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45723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45723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45723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45723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45723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45723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45723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45723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45723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45723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45723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45723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45723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45723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45723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45723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45723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45723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45723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45723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45723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45723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45723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45723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45723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45723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45723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45723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45723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45723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45723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45723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45723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45723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45723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45723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45723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45723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45723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45723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45723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45723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45723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45723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45723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45723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45723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45723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45723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45723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45723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45723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45723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45723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45723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45723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45723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45723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45723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45723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45723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45723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45723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45723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45723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45723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45723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45723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45723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45723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45723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45723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45723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45723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45723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45723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45723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45723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45723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45723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45723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45723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45723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45723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45723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45723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45723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45723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45723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45723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45723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45723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45723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45723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45723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45723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45723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45723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45723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45723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45723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45723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45723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45723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45723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45723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45723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45723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45723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45723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45723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45723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45723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45723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45723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45723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45723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45723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45723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45723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45723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45723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45723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45723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45723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45723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45723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45723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45723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45723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45723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45723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45723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45723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45723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45723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45723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45723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45723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45723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45723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45723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45723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45723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45723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45723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45723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45723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45723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45723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45723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45723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45723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45723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45723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45723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45723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45723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45723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45723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45723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45723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45723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45723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45723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45723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45723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45723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45723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45723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45723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45723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45723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45723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45723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45723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45723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45723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45723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45723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45723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45723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45723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45723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45723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45723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45723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45723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45723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45723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45723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45723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45723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45723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45723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45723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45723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45723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45723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45723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45723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45723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45723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45723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45723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45723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45723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45723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45723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45723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45723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45723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45723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45723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45723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45723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45723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45723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45723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45723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45723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45723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45723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45723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45723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45723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45723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45723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45723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45723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45723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45723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45723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45723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45723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45723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45723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45723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45723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45723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45723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45723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45723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45723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45723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45723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45723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45723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45723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45723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45723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45723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45723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45723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45723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45723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45723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45723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45723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45723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45723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45723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45723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45723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45723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45723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45723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45723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45723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45723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45723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45723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45723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45723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45723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45723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45723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45723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45723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45723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45723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45723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45723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45723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45723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45723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45723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45723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45723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45723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45723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45723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45723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45723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45723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45723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45723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45723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45723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45723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45723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45723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45723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45723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45723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45723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45723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45723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45723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45723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45723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45723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45723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45723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45723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45723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45723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45723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45723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45723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45723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45723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45723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45723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45723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45723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45723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45723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45723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45723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45723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45723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45723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45723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45723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45723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45723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45723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45723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45723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45723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45723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45723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45723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45723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45723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45723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45723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45723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45723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45723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45723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45723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45723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45723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45723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45723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45723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45723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45723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45723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45723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45723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45723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45723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45723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45723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45723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45723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45723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45723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45723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45723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45723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45723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45723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45723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45723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45723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45723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45723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45723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45723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45723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45723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45723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45723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45723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45723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45723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45723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45723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45723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45723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45723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45723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45723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45723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45723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45723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45723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45723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45723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45723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45723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45723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45723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45723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45723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45723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45723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45723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45723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45723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45723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45723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45723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45723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45723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45723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45723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45723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45723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45723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45723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45723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45723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45723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45723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45723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45723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45723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45723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45723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45723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45723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45723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45723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45723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45723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45723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45723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45723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45723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45723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45723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45723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45723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45723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45723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45723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45723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45723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45723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45723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45723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45723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45723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45723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45723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45723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45723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45723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45723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45723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45723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45723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45723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45723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45723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45723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45723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45723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45723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45723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45723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45723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45723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45723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45723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45723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45723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45723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45723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45723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45723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45723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45723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45723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45723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45723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45723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45723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45723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45723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45723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45723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45723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45723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45723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45723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45723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45723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45723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45723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45723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45723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45723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45723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45723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45723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45723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45723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45723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45723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45723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45723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45723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45723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45723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45723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45723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45723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45723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45723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45723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45723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45723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45723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45723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45723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45723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45723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45723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45723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45723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45723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45723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45723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45723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45723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45723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45723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45723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45723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45723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45723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45723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45723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45723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45723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45723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45723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45723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45723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45723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45723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45723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45723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45723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45723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45723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45723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45723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45723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45723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45723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45723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45723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45723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45723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45723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45723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45723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45723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45723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45723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45723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45723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45723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45723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45723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45723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45723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45723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45723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45723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45723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45723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45723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45723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45723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45723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45723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45723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45723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45723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45723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45723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45723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45723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45723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45723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45723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45723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45723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45723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45723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45723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45723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45723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45723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45723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45723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45723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45723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45723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45723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45723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45723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45723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45723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45723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45723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45723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45723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45723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45723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45723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45723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45723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45723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45723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45723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45723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45723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45723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45723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45723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45723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45723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45723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45723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45723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45723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45723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45723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45723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45723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45723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45723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45723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45723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45723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45723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45723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45723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45723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45723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45723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45723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45723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45723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45723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45723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45723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45723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45723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45723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45723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45723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45723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45723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45723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45723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45723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45723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45723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45723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45723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45723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45723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45723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45723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45723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45723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45723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45723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45723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45723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45723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45723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45723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45723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45723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45723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45723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45723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45723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45723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45723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45723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45723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45723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45723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45723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45723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45723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45723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45723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45723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45723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45723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45723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45723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45723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45723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45723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45723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45723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45723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45723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45723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45723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45723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45723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45723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45723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45723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45723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45723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45723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45723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45723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45723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45723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45723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45723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45723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45723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45723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45723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45723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45723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45723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45723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45723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45723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45723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45723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45723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45723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45723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45723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45723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45723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45723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45723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45723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45723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45723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45723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45723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45723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45723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45723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45723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45723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45723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45723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45723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45723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45723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45723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45723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45723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45723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45723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45723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45723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45723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45723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45723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45723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45723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45723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45723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45723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45723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45723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45723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45723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45723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45723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45723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45723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45723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45723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45723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45723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45723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45723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45723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45723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45723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45723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45723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45723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45723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45723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45723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45723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45723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45723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45723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45723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45723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45723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45723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45723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45723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45723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45723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45723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45723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45723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45723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45723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45723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45723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45723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45723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45723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45723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45723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45723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45723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45723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45723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45723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45723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45723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45723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45723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45723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45723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45723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45723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45723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45723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45723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45723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45723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45723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45723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45723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45723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45723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45723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45723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45723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45723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45723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45723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45723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45723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45723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45723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45723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45723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45723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45723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45723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45723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45723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45723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45723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45723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45723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45723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45723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45723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45723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45723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45723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45723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45723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45723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45723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45723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45723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45723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45723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45723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45723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45723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45723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45723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45723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45723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45723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45723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45723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45723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45723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45723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45723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45723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45723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45723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45723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45723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45723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45723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45723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45723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45723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45723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45723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45723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45723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45723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45723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45723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45723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45723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45723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45723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45723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45723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45723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45723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45723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45723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45723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45723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45723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45723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45723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45723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45723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45723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45723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45723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45723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45723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45723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45723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45723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45723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45723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45723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45723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45723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45723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45723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45723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45723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45723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45723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45723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45723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45723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45723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45723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45723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45723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45723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45723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45723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45723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45723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45723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45723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45723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45723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45723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45723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45723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45723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45723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45723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45723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45723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45723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45723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45723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45723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45723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45723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45723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45723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45723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45723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45723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45723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45723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45723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45723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45723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45723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45723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45723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45723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45723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45723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45723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45723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45723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45723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45723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45723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45723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45723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45723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45723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45723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45723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45723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45723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45723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45723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45723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45723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45723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45723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45723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45723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45723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45723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45723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45723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45723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45723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45723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45723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45723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45723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45723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45723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45723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45723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45723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45723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45723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45723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45723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45723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45723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45723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45723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45723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45723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45723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45723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45723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45723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45723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45723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45723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45723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45723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45723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45723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45723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45723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45723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45723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45723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45723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45723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45723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45723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45723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45723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45723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45723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45723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45723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45723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45723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45723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45723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45723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45723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45723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45723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45723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45723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45723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45723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45723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45723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45723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45723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45723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45723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45723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45723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45723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45723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45723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45723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45723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45723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45723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45723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45723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45723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45723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45723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45723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45723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45723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45723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45723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45723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45723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45723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45723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45723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45723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45723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45723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45723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45723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45723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45723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45723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45723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45723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45723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45723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45723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45723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45723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45723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45723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45723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45723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45723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45723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45723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45723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45723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45723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45723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45723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45723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45723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45723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45723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45723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45723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45723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45723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45723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45723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45723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45723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45723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45723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45723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45723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45723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45723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45723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45723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45723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45723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45723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45723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45723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45723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45723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45723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45723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45723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45723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45723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45723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45723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45723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45723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45723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45723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45723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45723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45723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45723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45723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45723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45723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45723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45723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45723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45723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45723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45723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45723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45723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45723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45723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45723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45723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45723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45723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45723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45723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45723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45723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45723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45723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45723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45723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45723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45723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45723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45723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45723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45723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45723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45723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45723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45723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45723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45723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45723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45723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45723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45723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45723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45723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45723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45723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45723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45723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45723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45723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45723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45723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45723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45723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45723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45723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45723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45723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45723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45723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45723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45723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45723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45723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45723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45723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45723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45723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45723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45723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45723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45723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45723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45723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45723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45723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45723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45723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45723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45723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45723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45723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45723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45723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45723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45723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45723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45723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45723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45723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45723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45723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45723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45723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45723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45723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45723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45723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45723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45723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45723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45723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45723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45723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45723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45723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45723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45723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45723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45723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45723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45723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45723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45723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45723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45723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45723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45723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45723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45723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45723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45723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45723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45723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45723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45723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45723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45723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45723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45723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45723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45723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45723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45723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45723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45723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45723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45723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45723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45723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45723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45723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45723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45723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45723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45723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45723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45723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45723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45723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45723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45723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45723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45723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45723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45723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45723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45723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45723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45723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45723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45723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45723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45723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45723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45723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45723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45723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45723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45723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45723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45723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45723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45723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45723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45723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45723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45723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45723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45723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45723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45723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45723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45723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45723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45723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45723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45723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45723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45723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45723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45723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45723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45723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45723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45723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45723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45723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45723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45723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45723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45723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45723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45723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45723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45723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45723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45723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45723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45723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45723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45723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45723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45723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45723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45723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45723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45723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45723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45723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45723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45723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45723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45723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45723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45723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45723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45723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45723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45723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45723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45723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45723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45723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45723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45723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45723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45723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45723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45723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45723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45723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45723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45723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45723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45723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45723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45723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45723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45723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45723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45723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45723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45723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45723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45723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45723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45723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45723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45723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45723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45723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45723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45723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45723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45723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45723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45723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45723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45723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45723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45723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45723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45723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45723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45723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45723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45723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45723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45723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45723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45723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45723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45723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45723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45723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45723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45723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45723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45723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45723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45723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45723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45723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45723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45723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45723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45723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45723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45723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45723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45723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45723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45723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45723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45723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45723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45723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45723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45723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45723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45723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45723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45723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45723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45723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45723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45723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45723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45723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45723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45723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45723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45723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45723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45723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45723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45723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45723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45723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45723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45723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45723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45723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45723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45723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45723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45723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45723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45723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45723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45723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45723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45723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45723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45723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45723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45723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45723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45723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45723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45723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45723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45723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45723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45723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45723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45723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45723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45723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45723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45723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45723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45723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45723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45723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45723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45723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45723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45723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45723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45723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45723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45723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45723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45723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45723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45723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45723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45723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45723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45723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45723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45723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45723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45723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45723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45723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45723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45723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45723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45723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45723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45723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45723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45723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45723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45723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45723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45723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45723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45723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45723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45723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45723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45723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45723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45723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45723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45723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45723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45723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45723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45723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45723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45723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45723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45723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45723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45723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45723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45723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45723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45723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45723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45723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45723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45723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45723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45723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45723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45723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45723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45723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45723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45723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45723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45723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45723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45723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45723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45723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45723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45723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45723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45723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45723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45723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45723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45723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45723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45723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45723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45723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45723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45723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45723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45723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45723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45723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45723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45723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45723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45723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45723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45723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45723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45723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45723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45723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45723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45723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45723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45723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45723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45723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45723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45723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45723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45723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45723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45723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45723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45723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45723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45723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45723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45723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45723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45723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45723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45723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45723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45723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45723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45723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45723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45723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45723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45723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45723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45723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45723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45723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45723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45723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45723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45723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45723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45723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45723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45723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45723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45723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45723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45723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45723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45723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45723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45723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45723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45723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45723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45723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45723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45723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45723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45723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45723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45723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45723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45723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45723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45723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45723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45723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45723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45723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45723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45723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45723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45723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45723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45723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45723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45723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45723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45723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45723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45723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45723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45723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45723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45723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45723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45723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45723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45723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45723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45723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45723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45723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45723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45723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45723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45723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45723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45723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45723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45723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45723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45723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45723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45723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45723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45723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45723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45723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45723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45723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45723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45723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45723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45723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45723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45723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45723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45723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45723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45723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45723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45723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45723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45723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45723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45723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45723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45723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45723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45723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45723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45723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45723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45723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45723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45723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45723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45723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45723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45723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45723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45723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45723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45723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45723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45723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45723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45723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45723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45723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45723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45723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45723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45723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45723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45723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45723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45723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45723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45723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45723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45723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45723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45723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45723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45723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45723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45723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45723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45723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45723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45723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45723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45723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45723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45723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45723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45723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45723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45723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45723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45723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45723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45723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45723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45723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45723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45723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45723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45723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45723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45723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45723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45723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45723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45723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45723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45723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45723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45723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45723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45723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45723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45723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45723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45723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45723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45723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45723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45723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45723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45723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45723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45723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45723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45723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45723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45723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45723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45723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45723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45723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45723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45723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45723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45723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45723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45723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45723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45723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45723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45723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45723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45723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45723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45723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45723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45723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45723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45723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45723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45723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45723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45723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45723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45723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45723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45723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45723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45723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45723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45723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45723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45723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45723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45723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45723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45723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45723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45723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45723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45723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45723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45723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45723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45723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6584-2025</t>
        </is>
      </c>
      <c r="B2245" s="1" t="n">
        <v>45700</v>
      </c>
      <c r="C2245" s="1" t="n">
        <v>45723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45723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6864-2025</t>
        </is>
      </c>
      <c r="B2247" s="1" t="n">
        <v>45701</v>
      </c>
      <c r="C2247" s="1" t="n">
        <v>45723</v>
      </c>
      <c r="D2247" t="inlineStr">
        <is>
          <t>JÖNKÖPINGS LÄN</t>
        </is>
      </c>
      <c r="E2247" t="inlineStr">
        <is>
          <t>VETLANDA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6868-2025</t>
        </is>
      </c>
      <c r="B2248" s="1" t="n">
        <v>45701</v>
      </c>
      <c r="C2248" s="1" t="n">
        <v>45723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45723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45723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7044-2025</t>
        </is>
      </c>
      <c r="B2251" s="1" t="n">
        <v>45701</v>
      </c>
      <c r="C2251" s="1" t="n">
        <v>45723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7034-2025</t>
        </is>
      </c>
      <c r="B2252" s="1" t="n">
        <v>45701</v>
      </c>
      <c r="C2252" s="1" t="n">
        <v>45723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45723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45723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45723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45723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45723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7554-2025</t>
        </is>
      </c>
      <c r="B2258" s="1" t="n">
        <v>45705</v>
      </c>
      <c r="C2258" s="1" t="n">
        <v>45723</v>
      </c>
      <c r="D2258" t="inlineStr">
        <is>
          <t>JÖNKÖPINGS LÄN</t>
        </is>
      </c>
      <c r="E2258" t="inlineStr">
        <is>
          <t>VETLANDA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45723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45723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45723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45723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45723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9122-2025</t>
        </is>
      </c>
      <c r="B2264" s="1" t="n">
        <v>45713</v>
      </c>
      <c r="C2264" s="1" t="n">
        <v>45723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45723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45723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45723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9877-2025</t>
        </is>
      </c>
      <c r="B2268" s="1" t="n">
        <v>45716</v>
      </c>
      <c r="C2268" s="1" t="n">
        <v>45723</v>
      </c>
      <c r="D2268" t="inlineStr">
        <is>
          <t>JÖNKÖPINGS LÄN</t>
        </is>
      </c>
      <c r="E2268" t="inlineStr">
        <is>
          <t>VETLANDA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45723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45723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45723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45723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10311-2025</t>
        </is>
      </c>
      <c r="B2273" s="1" t="n">
        <v>45720</v>
      </c>
      <c r="C2273" s="1" t="n">
        <v>45723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10305-2025</t>
        </is>
      </c>
      <c r="B2274" s="1" t="n">
        <v>45720</v>
      </c>
      <c r="C2274" s="1" t="n">
        <v>45723</v>
      </c>
      <c r="D2274" t="inlineStr">
        <is>
          <t>JÖNKÖPINGS LÄN</t>
        </is>
      </c>
      <c r="E2274" t="inlineStr">
        <is>
          <t>VETLANDA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10313-2025</t>
        </is>
      </c>
      <c r="B2275" s="1" t="n">
        <v>45720</v>
      </c>
      <c r="C2275" s="1" t="n">
        <v>45723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10286-2025</t>
        </is>
      </c>
      <c r="B2276" s="1" t="n">
        <v>45720</v>
      </c>
      <c r="C2276" s="1" t="n">
        <v>45723</v>
      </c>
      <c r="D2276" t="inlineStr">
        <is>
          <t>JÖNKÖPINGS LÄN</t>
        </is>
      </c>
      <c r="E2276" t="inlineStr">
        <is>
          <t>VETLANDA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45723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10366-2025</t>
        </is>
      </c>
      <c r="B2278" s="1" t="n">
        <v>45720</v>
      </c>
      <c r="C2278" s="1" t="n">
        <v>45723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10372-2025</t>
        </is>
      </c>
      <c r="B2279" s="1" t="n">
        <v>45720</v>
      </c>
      <c r="C2279" s="1" t="n">
        <v>45723</v>
      </c>
      <c r="D2279" t="inlineStr">
        <is>
          <t>JÖNKÖPINGS LÄN</t>
        </is>
      </c>
      <c r="E2279" t="inlineStr">
        <is>
          <t>VETLANDA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45723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45723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10696-2025</t>
        </is>
      </c>
      <c r="B2282" s="1" t="n">
        <v>45722</v>
      </c>
      <c r="C2282" s="1" t="n">
        <v>45723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>
      <c r="A2283" t="inlineStr">
        <is>
          <t>A 10732-2025</t>
        </is>
      </c>
      <c r="B2283" s="1" t="n">
        <v>45722</v>
      </c>
      <c r="C2283" s="1" t="n">
        <v>45723</v>
      </c>
      <c r="D2283" t="inlineStr">
        <is>
          <t>JÖNKÖPINGS LÄN</t>
        </is>
      </c>
      <c r="E2283" t="inlineStr">
        <is>
          <t>VETLANDA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2025-03-07T16:44:34Z</dcterms:created>
  <dcterms:modified xmlns:dcterms="http://purl.org/dc/terms/" xmlns:xsi="http://www.w3.org/2001/XMLSchema-instance" xsi:type="dcterms:W3CDTF">2025-03-07T16:44:36Z</dcterms:modified>
</cp:coreProperties>
</file>