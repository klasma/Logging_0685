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45737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45737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45737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45737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45737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45737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45737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45737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45737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45737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45737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45737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45737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45737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45737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45737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45737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45737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45737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45737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45737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45737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45737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45737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45737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45737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45737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45737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45737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45737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45737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45737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45737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45737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45737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45737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45737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45737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45737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45737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45737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45737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45737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45737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45737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45737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45737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45737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45737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45737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45737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45737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45737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45737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45737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45737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45737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45737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45737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45737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45737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45737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45737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45737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45737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45737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45737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45737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45737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45737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45737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45737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45737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45737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45737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45737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45737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45737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45737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45737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45737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45737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45737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45737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45737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45737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45737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45737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45737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45737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45737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45737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45737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45737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45737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45737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45737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45737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45737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45737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45737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45737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45737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45737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45737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45737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45737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45737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45737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45737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45737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45737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45737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45737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45737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45737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45737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45737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45737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45737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45737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45737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45737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45737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45737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45737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45737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45737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45737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45737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45737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45737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45737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45737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45737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45737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45737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45737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45737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45737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45737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45737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45737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45737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45737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45737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45737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45737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45737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45737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45737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45737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45737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45737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45737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45737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45737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45737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45737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45737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45737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45737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45737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45737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45737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45737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45737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45737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45737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45737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45737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45737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45737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45737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45737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45737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45737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45737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45737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45737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45737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45737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45737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45737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45737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45737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45737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45737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45737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45737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45737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45737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45737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45737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45737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45737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45737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45737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45737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45737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45737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45737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45737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45737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45737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45737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45737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45737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45737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45737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45737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45737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45737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45737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45737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45737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45737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45737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45737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45737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45737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45737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45737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45737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45737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45737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45737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45737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45737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45737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45737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45737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45737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45737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45737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45737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45737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45737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45737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45737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45737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45737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45737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45737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45737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45737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45737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45737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45737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45737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45737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45737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45737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45737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45737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45737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45737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45737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45737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45737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45737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45737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45737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45737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45737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45737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45737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45737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45737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45737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45737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45737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45737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45737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45737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45737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45737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45737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45737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45737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45737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45737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45737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45737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45737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45737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45737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45737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45737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45737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45737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45737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45737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45737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45737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45737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45737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45737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45737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45737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45737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45737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45737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45737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45737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45737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45737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45737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45737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45737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45737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45737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45737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45737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45737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45737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45737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45737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45737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45737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45737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45737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45737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45737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45737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45737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45737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45737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45737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45737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45737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45737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45737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45737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45737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45737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45737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45737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45737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45737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45737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45737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45737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45737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45737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45737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45737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45737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45737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45737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45737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45737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45737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45737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45737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45737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45737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45737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45737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45737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45737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45737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45737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45737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45737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45737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45737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45737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45737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45737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45737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45737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45737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45737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45737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45737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45737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45737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45737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45737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45737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45737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45737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45737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45737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45737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45737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45737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45737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45737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45737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45737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45737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45737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45737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45737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45737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45737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45737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45737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45737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45737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45737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45737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45737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45737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45737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45737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45737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45737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45737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45737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45737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45737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45737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45737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45737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45737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45737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45737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45737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45737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45737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45737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45737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45737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45737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45737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45737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45737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45737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45737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45737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45737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45737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45737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45737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45737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45737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45737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45737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45737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45737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45737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45737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45737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45737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45737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45737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45737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45737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45737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45737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45737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45737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45737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45737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45737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45737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45737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45737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45737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45737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45737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45737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45737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45737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45737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45737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45737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45737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45737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45737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45737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45737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45737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45737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45737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45737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45737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45737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45737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45737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45737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45737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45737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45737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45737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45737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45737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45737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45737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45737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45737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45737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45737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45737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45737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45737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45737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45737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45737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45737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45737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45737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45737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45737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45737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45737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45737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45737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45737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45737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45737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45737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45737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45737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45737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45737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45737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45737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45737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45737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45737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45737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45737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45737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45737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45737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45737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45737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45737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45737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45737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45737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45737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45737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45737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45737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45737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45737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45737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45737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45737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45737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45737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45737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45737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45737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45737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45737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45737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45737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45737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45737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45737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45737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45737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45737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45737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45737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45737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45737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45737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45737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45737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45737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45737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45737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45737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45737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45737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45737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45737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45737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45737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45737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45737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45737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45737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45737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45737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45737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45737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45737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45737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45737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45737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45737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45737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45737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45737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45737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45737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45737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45737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45737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45737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45737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45737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45737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45737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45737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45737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45737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45737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45737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45737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45737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45737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45737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45737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45737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45737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45737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45737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45737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45737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45737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45737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45737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45737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45737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45737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45737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45737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45737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45737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45737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45737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45737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45737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45737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45737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45737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45737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45737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45737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45737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45737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45737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45737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45737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45737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45737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45737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45737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45737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45737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45737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45737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45737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45737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45737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45737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45737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45737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45737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45737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45737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45737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45737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45737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45737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45737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45737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45737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45737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45737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45737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45737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45737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45737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45737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45737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45737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45737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45737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45737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45737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45737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45737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45737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45737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45737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45737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45737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45737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45737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45737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45737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45737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45737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45737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45737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45737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45737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45737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45737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45737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45737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45737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45737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45737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45737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45737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45737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45737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45737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45737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45737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45737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45737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45737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45737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45737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45737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45737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45737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45737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45737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45737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45737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45737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45737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45737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45737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45737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45737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45737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45737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45737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45737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45737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45737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45737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45737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45737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45737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45737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45737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45737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45737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45737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45737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45737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45737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45737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45737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45737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45737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45737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45737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45737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45737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45737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45737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45737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45737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45737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45737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45737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45737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45737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45737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45737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45737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45737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45737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45737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45737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45737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45737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45737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45737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45737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45737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45737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45737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45737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45737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45737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45737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45737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45737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45737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45737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45737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45737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45737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45737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45737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45737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45737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45737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45737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45737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45737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45737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45737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45737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45737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45737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45737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45737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45737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45737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45737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45737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45737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45737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45737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45737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45737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45737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45737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45737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45737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45737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45737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45737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45737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45737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45737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45737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45737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45737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45737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45737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45737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45737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45737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45737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45737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45737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45737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45737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45737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45737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45737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45737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45737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45737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45737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45737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45737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45737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45737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45737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45737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45737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45737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45737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45737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45737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45737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45737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45737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45737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45737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45737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45737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45737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45737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45737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45737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45737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45737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45737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45737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45737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45737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45737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45737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45737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45737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45737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45737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45737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45737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45737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45737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45737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45737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45737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45737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45737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45737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45737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45737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45737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45737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45737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45737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45737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45737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45737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45737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45737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45737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45737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45737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45737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45737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45737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45737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45737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45737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45737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45737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45737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45737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45737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45737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45737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45737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45737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45737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45737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45737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45737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45737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45737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45737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45737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45737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45737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45737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45737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45737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45737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45737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45737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45737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45737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45737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45737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45737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45737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45737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45737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45737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45737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45737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45737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45737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45737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45737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45737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45737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45737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45737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45737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45737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45737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45737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45737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45737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45737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45737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45737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45737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45737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45737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45737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45737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45737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45737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45737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45737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45737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45737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45737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45737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45737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45737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45737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45737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45737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45737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45737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45737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45737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45737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45737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45737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45737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45737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45737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45737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45737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45737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45737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45737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45737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45737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45737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45737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45737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45737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45737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45737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45737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45737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45737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45737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45737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45737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45737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45737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45737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45737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45737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45737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45737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45737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45737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45737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45737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45737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45737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45737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45737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45737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45737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45737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45737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45737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45737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45737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45737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45737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45737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45737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45737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45737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45737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45737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45737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45737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45737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45737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45737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45737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45737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45737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45737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45737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45737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45737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45737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45737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45737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45737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45737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45737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45737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45737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45737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45737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45737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45737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45737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45737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45737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45737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45737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45737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45737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45737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45737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45737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45737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45737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45737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45737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45737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45737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45737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45737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45737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45737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45737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45737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45737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45737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45737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45737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45737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45737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45737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45737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45737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45737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45737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45737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45737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45737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45737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45737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45737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45737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45737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45737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45737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45737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45737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45737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45737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45737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45737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45737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45737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45737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45737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45737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45737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45737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45737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45737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45737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45737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45737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45737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45737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45737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45737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45737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45737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45737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45737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45737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45737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45737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45737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45737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45737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45737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45737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45737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45737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45737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45737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45737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45737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45737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45737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45737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45737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45737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45737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45737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45737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45737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45737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45737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45737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45737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45737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45737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45737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45737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45737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45737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45737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45737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45737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45737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45737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45737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45737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45737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45737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45737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45737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45737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45737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45737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45737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45737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45737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45737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45737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45737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45737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45737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45737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45737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45737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45737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45737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45737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45737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45737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45737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45737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45737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45737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45737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45737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45737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45737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45737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45737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45737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45737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45737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45737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45737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45737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45737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45737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45737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45737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45737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45737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45737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45737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45737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45737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45737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45737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45737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45737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45737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45737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45737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45737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45737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45737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45737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45737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45737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45737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45737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45737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45737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45737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45737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45737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45737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45737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45737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45737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45737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45737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45737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45737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45737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45737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45737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45737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45737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45737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45737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45737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45737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45737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45737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45737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45737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45737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45737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45737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45737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45737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45737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45737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45737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45737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45737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45737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45737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45737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45737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45737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45737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45737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45737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45737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45737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45737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45737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45737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45737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45737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45737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45737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45737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45737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45737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45737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45737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45737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45737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45737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45737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45737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45737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45737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45737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45737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45737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45737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45737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45737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45737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45737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45737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45737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45737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45737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45737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45737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45737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45737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45737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45737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45737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45737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45737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45737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45737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45737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45737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45737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45737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45737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45737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45737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45737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45737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45737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45737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45737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45737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45737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45737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45737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45737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45737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45737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45737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45737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45737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45737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45737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45737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45737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45737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45737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45737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45737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45737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45737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45737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45737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45737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45737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45737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45737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45737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45737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45737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45737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45737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45737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45737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45737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45737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45737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45737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45737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45737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45737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45737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45737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45737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45737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45737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45737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45737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45737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45737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45737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45737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45737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45737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45737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45737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45737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45737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45737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45737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45737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45737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45737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45737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45737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45737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45737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45737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45737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45737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45737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45737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45737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45737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45737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45737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45737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45737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45737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45737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45737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45737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45737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45737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45737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45737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45737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45737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45737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45737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45737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45737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45737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45737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45737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45737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45737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45737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45737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45737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45737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45737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45737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45737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45737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45737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45737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45737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45737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45737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45737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45737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45737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45737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45737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45737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45737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45737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45737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45737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45737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45737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45737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45737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45737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45737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45737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45737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45737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45737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45737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45737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45737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45737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45737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45737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45737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45737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45737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45737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45737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45737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45737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45737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45737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45737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45737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45737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45737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45737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45737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45737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45737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45737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45737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45737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45737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45737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45737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45737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45737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45737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45737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45737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45737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45737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45737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45737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45737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45737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45737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45737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45737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45737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45737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45737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45737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45737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45737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45737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45737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45737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45737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45737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45737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45737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45737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45737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45737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45737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45737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45737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45737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45737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45737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45737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45737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45737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45737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45737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45737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45737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45737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45737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45737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45737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45737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45737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45737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45737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45737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45737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45737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45737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45737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45737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45737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45737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45737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45737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45737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45737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45737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45737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45737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45737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45737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45737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45737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45737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45737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45737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45737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45737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45737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45737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45737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45737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45737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45737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45737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45737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45737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45737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45737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45737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45737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45737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45737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45737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45737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45737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45737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45737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45737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45737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45737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45737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45737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45737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45737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45737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45737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45737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45737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45737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45737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45737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45737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45737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45737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45737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45737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45737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45737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45737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45737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45737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45737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45737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45737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45737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45737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45737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45737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45737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45737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45737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45737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45737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45737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45737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45737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45737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45737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45737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45737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45737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45737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45737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45737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45737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45737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45737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45737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45737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45737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45737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45737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45737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45737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45737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45737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45737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45737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45737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45737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45737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45737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45737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45737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45737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45737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45737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45737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45737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45737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45737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45737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45737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45737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45737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45737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45737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45737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45737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45737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45737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45737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45737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45737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45737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45737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45737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45737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45737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45737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45737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45737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45737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45737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45737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45737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45737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45737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45737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45737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45737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45737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45737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45737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45737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45737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45737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45737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45737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45737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45737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45737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45737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45737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45737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45737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45737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45737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45737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45737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45737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45737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45737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45737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45737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45737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45737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45737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45737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45737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45737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45737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45737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45737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45737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45737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45737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45737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45737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45737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45737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45737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45737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45737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45737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45737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45737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45737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45737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45737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45737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45737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45737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45737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45737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45737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45737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45737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45737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45737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45737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45737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45737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45737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45737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45737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45737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45737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45737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45737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45737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45737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45737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45737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45737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45737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45737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45737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45737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45737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45737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45737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45737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45737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45737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45737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45737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45737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45737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45737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45737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45737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45737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45737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45737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45737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45737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45737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45737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45737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45737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45737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45737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45737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45737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45737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45737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45737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45737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45737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45737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45737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45737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45737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45737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45737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45737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45737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45737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45737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45737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45737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45737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45737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45737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45737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45737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45737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45737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45737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45737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45737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45737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45737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45737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45737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45737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45737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45737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45737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45737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45737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45737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45737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45737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45737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45737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45737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45737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45737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45737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45737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45737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45737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45737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45737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45737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45737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45737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45737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45737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45737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45737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45737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45737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45737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45737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45737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45737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45737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45737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45737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45737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45737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45737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45737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45737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45737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45737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45737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45737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45737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45737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45737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45737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45737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45737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45737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45737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45737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45737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45737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45737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45737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45737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45737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45737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45737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45737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45737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45737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45737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45737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45737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45737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45737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45737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45737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45737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45737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45737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45737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45737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45737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45737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45737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45737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45737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45737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45737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45737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45737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45737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45737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45737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45737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45737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45737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45737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45737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45737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45737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45737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45737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45737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45737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45737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45737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45737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45737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45737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45737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45737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45737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45737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45737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45737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45737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45737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45737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45737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45737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45737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45737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45737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45737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45737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45737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45737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45737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45737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45737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45737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45737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45737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45737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45737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45737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45737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45737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45737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45737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45737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45737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45737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45737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45737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45737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45737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45737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45737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45737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45737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45737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45737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45737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45737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45737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45737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45737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45737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45737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45737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45737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45737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45737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45737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45737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45737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45737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45737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45737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45737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45737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45737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45737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45737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45737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45737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45737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45737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45737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45737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45737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45737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45737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45737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45737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45737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45737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45737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45737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45737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45737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45737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45737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45737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45737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45737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45737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45737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45737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45737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45737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45737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45737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45737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45737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45737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45737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45737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45737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45737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45737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45737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45737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45737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45737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45737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45737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45737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45737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45737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45737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45737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45737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45737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45737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45737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45737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45737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45737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45737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45737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45737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45737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45737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45737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45737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45737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45737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45737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45737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45737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45737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45737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45737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45737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45737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45737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45737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45737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45737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45737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45737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45737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45737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45737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45737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45737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45737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45737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45737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45737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45737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45737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45737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45737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45737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45737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45737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45737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45737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45737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45737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45737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45737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45737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45737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45737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45737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45737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45737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45737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45737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45737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45737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45737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45737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45737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45737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45737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45737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45737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45737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45737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45737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45737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45737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45737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45737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45737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45737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45737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45737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45737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45737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45737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45737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45737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45737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45737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45737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45737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45737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45737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45737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45737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45737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45737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45737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45737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45737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45737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45737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45737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45737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45737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45737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45737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45737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45737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45737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45737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45737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45737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45737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45737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45737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45737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45737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45737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45737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45737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45737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45737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45737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45737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45737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45737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45737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45737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45737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45737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45737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45737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45737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45737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45737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45737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45737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45737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45737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45737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45737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45737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45737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45737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45737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45737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45737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45737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45737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45737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45737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45737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45737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45737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45737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45737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45737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45737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45737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45737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45737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45737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45737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45737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45737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45737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45737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45737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45737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45737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45737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45737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45737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45737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45737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45737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45737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45737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45737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45737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45737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45737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45737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45737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45737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45737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45737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45737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45737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45737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8145-2025</t>
        </is>
      </c>
      <c r="B2262" s="1" t="n">
        <v>45708</v>
      </c>
      <c r="C2262" s="1" t="n">
        <v>45737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45737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45737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45737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45737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45737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45737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45737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45737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45737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45737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45737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45737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45737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10294-2025</t>
        </is>
      </c>
      <c r="B2276" s="1" t="n">
        <v>45720</v>
      </c>
      <c r="C2276" s="1" t="n">
        <v>45737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10372-2025</t>
        </is>
      </c>
      <c r="B2277" s="1" t="n">
        <v>45720</v>
      </c>
      <c r="C2277" s="1" t="n">
        <v>45737</v>
      </c>
      <c r="D2277" t="inlineStr">
        <is>
          <t>JÖNKÖPINGS LÄN</t>
        </is>
      </c>
      <c r="E2277" t="inlineStr">
        <is>
          <t>VETLANDA</t>
        </is>
      </c>
      <c r="G2277" t="n">
        <v>12.2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10366-2025</t>
        </is>
      </c>
      <c r="B2278" s="1" t="n">
        <v>45720</v>
      </c>
      <c r="C2278" s="1" t="n">
        <v>45737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10286-2025</t>
        </is>
      </c>
      <c r="B2279" s="1" t="n">
        <v>45720</v>
      </c>
      <c r="C2279" s="1" t="n">
        <v>45737</v>
      </c>
      <c r="D2279" t="inlineStr">
        <is>
          <t>JÖNKÖPINGS LÄN</t>
        </is>
      </c>
      <c r="E2279" t="inlineStr">
        <is>
          <t>VETLANDA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45737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45737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45737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45737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45737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45737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45737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45737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45737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12100-2025</t>
        </is>
      </c>
      <c r="B2289" s="1" t="n">
        <v>45729</v>
      </c>
      <c r="C2289" s="1" t="n">
        <v>45737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12122-2025</t>
        </is>
      </c>
      <c r="B2290" s="1" t="n">
        <v>45729</v>
      </c>
      <c r="C2290" s="1" t="n">
        <v>45737</v>
      </c>
      <c r="D2290" t="inlineStr">
        <is>
          <t>JÖNKÖPINGS LÄN</t>
        </is>
      </c>
      <c r="E2290" t="inlineStr">
        <is>
          <t>VETLANDA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45737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12748-2025</t>
        </is>
      </c>
      <c r="B2292" s="1" t="n">
        <v>45733</v>
      </c>
      <c r="C2292" s="1" t="n">
        <v>45737</v>
      </c>
      <c r="D2292" t="inlineStr">
        <is>
          <t>JÖNKÖPINGS LÄN</t>
        </is>
      </c>
      <c r="E2292" t="inlineStr">
        <is>
          <t>VETLANDA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12744-2025</t>
        </is>
      </c>
      <c r="B2293" s="1" t="n">
        <v>45733</v>
      </c>
      <c r="C2293" s="1" t="n">
        <v>45737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45737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12751-2025</t>
        </is>
      </c>
      <c r="B2295" s="1" t="n">
        <v>45733</v>
      </c>
      <c r="C2295" s="1" t="n">
        <v>45737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12910-2025</t>
        </is>
      </c>
      <c r="B2296" s="1" t="n">
        <v>45733</v>
      </c>
      <c r="C2296" s="1" t="n">
        <v>45737</v>
      </c>
      <c r="D2296" t="inlineStr">
        <is>
          <t>JÖNKÖPINGS LÄN</t>
        </is>
      </c>
      <c r="E2296" t="inlineStr">
        <is>
          <t>VETLANDA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12742-2025</t>
        </is>
      </c>
      <c r="B2297" s="1" t="n">
        <v>45733</v>
      </c>
      <c r="C2297" s="1" t="n">
        <v>45737</v>
      </c>
      <c r="D2297" t="inlineStr">
        <is>
          <t>JÖNKÖPINGS LÄN</t>
        </is>
      </c>
      <c r="E2297" t="inlineStr">
        <is>
          <t>VETLANDA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12729-2025</t>
        </is>
      </c>
      <c r="B2298" s="1" t="n">
        <v>45733</v>
      </c>
      <c r="C2298" s="1" t="n">
        <v>45737</v>
      </c>
      <c r="D2298" t="inlineStr">
        <is>
          <t>JÖNKÖPINGS LÄN</t>
        </is>
      </c>
      <c r="E2298" t="inlineStr">
        <is>
          <t>VETLANDA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45737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45737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45737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45737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HYPERLINK("https://klasma.github.io/Logging_0685/knärot/A 13587-2025 karta knärot.png", "A 13587-2025")</f>
        <v/>
      </c>
      <c r="V2302">
        <f>HYPERLINK("https://klasma.github.io/Logging_0685/klagomål/A 13587-2025 FSC-klagomål.docx", "A 13587-2025")</f>
        <v/>
      </c>
      <c r="W2302">
        <f>HYPERLINK("https://klasma.github.io/Logging_0685/klagomålsmail/A 13587-2025 FSC-klagomål mail.docx", "A 13587-2025")</f>
        <v/>
      </c>
      <c r="X2302">
        <f>HYPERLINK("https://klasma.github.io/Logging_0685/tillsyn/A 13587-2025 tillsynsbegäran.docx", "A 13587-2025")</f>
        <v/>
      </c>
      <c r="Y2302">
        <f>HYPERLINK("https://klasma.github.io/Logging_0685/tillsynsmail/A 13587-2025 tillsynsbegäran mail.docx", "A 13587-2025")</f>
        <v/>
      </c>
    </row>
    <row r="2303">
      <c r="A2303" t="inlineStr">
        <is>
          <t>A 13593-2025</t>
        </is>
      </c>
      <c r="B2303" s="1" t="n">
        <v>45736</v>
      </c>
      <c r="C2303" s="1" t="n">
        <v>45737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2025-03-21T17:17:21Z</dcterms:created>
  <dcterms:modified xmlns:dcterms="http://purl.org/dc/terms/" xmlns:xsi="http://www.w3.org/2001/XMLSchema-instance" xsi:type="dcterms:W3CDTF">2025-03-21T17:17:23Z</dcterms:modified>
</cp:coreProperties>
</file>