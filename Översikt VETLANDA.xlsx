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45875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45875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45875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45875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HYPERLINK("https://klasma.github.io/Logging_060685/artfynd/A 10372-2025 artfynd.xlsx", "A 10372-2025")</f>
        <v/>
      </c>
      <c r="T5">
        <f>HYPERLINK("https://klasma.github.io/Logging_060685/kartor/A 10372-2025 karta.png", "A 10372-2025")</f>
        <v/>
      </c>
      <c r="U5">
        <f>HYPERLINK("https://klasma.github.io/Logging_060685/knärot/A 10372-2025 karta knärot.png", "A 10372-2025")</f>
        <v/>
      </c>
      <c r="V5">
        <f>HYPERLINK("https://klasma.github.io/Logging_060685/klagomål/A 10372-2025 FSC-klagomål.docx", "A 10372-2025")</f>
        <v/>
      </c>
      <c r="W5">
        <f>HYPERLINK("https://klasma.github.io/Logging_060685/klagomålsmail/A 10372-2025 FSC-klagomål mail.docx", "A 10372-2025")</f>
        <v/>
      </c>
      <c r="X5">
        <f>HYPERLINK("https://klasma.github.io/Logging_060685/tillsyn/A 10372-2025 tillsynsbegäran.docx", "A 10372-2025")</f>
        <v/>
      </c>
      <c r="Y5">
        <f>HYPERLINK("https://klasma.github.io/Logging_060685/tillsynsmail/A 10372-2025 tillsynsbegäran mail.docx", "A 10372-2025")</f>
        <v/>
      </c>
    </row>
    <row r="6" ht="15" customHeight="1">
      <c r="A6" t="inlineStr">
        <is>
          <t>A 27321-2025</t>
        </is>
      </c>
      <c r="B6" s="1" t="n">
        <v>45812</v>
      </c>
      <c r="C6" s="1" t="n">
        <v>45875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2</v>
      </c>
      <c r="I6" t="n">
        <v>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10</v>
      </c>
      <c r="R6" s="2" t="inlineStr">
        <is>
          <t>Blomkålssvamp
Fällmossa
Grov fjädermossa
Guldlockmossa
Platt fjädermossa
Svart trolldruva
Svavelriska
Tibast
Blåsippa
Revlummer</t>
        </is>
      </c>
      <c r="S6">
        <f>HYPERLINK("https://klasma.github.io/Logging_060685/artfynd/A 27321-2025 artfynd.xlsx", "A 27321-2025")</f>
        <v/>
      </c>
      <c r="T6">
        <f>HYPERLINK("https://klasma.github.io/Logging_060685/kartor/A 27321-2025 karta.png", "A 27321-2025")</f>
        <v/>
      </c>
      <c r="V6">
        <f>HYPERLINK("https://klasma.github.io/Logging_060685/klagomål/A 27321-2025 FSC-klagomål.docx", "A 27321-2025")</f>
        <v/>
      </c>
      <c r="W6">
        <f>HYPERLINK("https://klasma.github.io/Logging_060685/klagomålsmail/A 27321-2025 FSC-klagomål mail.docx", "A 27321-2025")</f>
        <v/>
      </c>
      <c r="X6">
        <f>HYPERLINK("https://klasma.github.io/Logging_060685/tillsyn/A 27321-2025 tillsynsbegäran.docx", "A 27321-2025")</f>
        <v/>
      </c>
      <c r="Y6">
        <f>HYPERLINK("https://klasma.github.io/Logging_060685/tillsynsmail/A 27321-2025 tillsynsbegäran mail.docx", "A 27321-2025")</f>
        <v/>
      </c>
    </row>
    <row r="7" ht="15" customHeight="1">
      <c r="A7" t="inlineStr">
        <is>
          <t>A 21563-2019</t>
        </is>
      </c>
      <c r="B7" s="1" t="n">
        <v>43580</v>
      </c>
      <c r="C7" s="1" t="n">
        <v>45875</v>
      </c>
      <c r="D7" t="inlineStr">
        <is>
          <t>JÖNKÖPINGS LÄN</t>
        </is>
      </c>
      <c r="E7" t="inlineStr">
        <is>
          <t>VETLANDA</t>
        </is>
      </c>
      <c r="G7" t="n">
        <v>1.9</v>
      </c>
      <c r="H7" t="n">
        <v>2</v>
      </c>
      <c r="I7" t="n">
        <v>7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Granriska
Kryddspindling
Småvaxing
Sotriska
Thomsons trägnagare
Tibast
Vågbandad barkbock
Blåsippa</t>
        </is>
      </c>
      <c r="S7">
        <f>HYPERLINK("https://klasma.github.io/Logging_0685/artfynd/A 21563-2019 artfynd.xlsx", "A 21563-2019")</f>
        <v/>
      </c>
      <c r="T7">
        <f>HYPERLINK("https://klasma.github.io/Logging_0685/kartor/A 21563-2019 karta.png", "A 21563-2019")</f>
        <v/>
      </c>
      <c r="U7">
        <f>HYPERLINK("https://klasma.github.io/Logging_0685/knärot/A 21563-2019 karta knärot.png", "A 21563-2019")</f>
        <v/>
      </c>
      <c r="V7">
        <f>HYPERLINK("https://klasma.github.io/Logging_0685/klagomål/A 21563-2019 FSC-klagomål.docx", "A 21563-2019")</f>
        <v/>
      </c>
      <c r="W7">
        <f>HYPERLINK("https://klasma.github.io/Logging_0685/klagomålsmail/A 21563-2019 FSC-klagomål mail.docx", "A 21563-2019")</f>
        <v/>
      </c>
      <c r="X7">
        <f>HYPERLINK("https://klasma.github.io/Logging_0685/tillsyn/A 21563-2019 tillsynsbegäran.docx", "A 21563-2019")</f>
        <v/>
      </c>
      <c r="Y7">
        <f>HYPERLINK("https://klasma.github.io/Logging_0685/tillsynsmail/A 21563-2019 tillsynsbegäran mail.docx", "A 21563-2019")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45875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45875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45875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45875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45875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45875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45875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45875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45875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45875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45875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45875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45875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45875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45875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45875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45875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45875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45875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45875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45875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45875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45875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45875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45875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45875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45875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45875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45875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45875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45875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45875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45875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45875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45875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45875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45875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45875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45875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45875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45875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45875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45875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45875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45875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45875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45875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45875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45875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45875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45875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45875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45875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45875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45875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45875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45875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45875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45875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45875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5041-2025</t>
        </is>
      </c>
      <c r="B68" s="1" t="n">
        <v>45691</v>
      </c>
      <c r="C68" s="1" t="n">
        <v>45875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HYPERLINK("https://klasma.github.io/Logging_0685/artfynd/A 5041-2025 artfynd.xlsx", "A 5041-2025")</f>
        <v/>
      </c>
      <c r="T68">
        <f>HYPERLINK("https://klasma.github.io/Logging_0685/kartor/A 5041-2025 karta.png", "A 5041-2025")</f>
        <v/>
      </c>
      <c r="U68">
        <f>HYPERLINK("https://klasma.github.io/Logging_0685/knärot/A 5041-2025 karta knärot.png", "A 5041-2025")</f>
        <v/>
      </c>
      <c r="V68">
        <f>HYPERLINK("https://klasma.github.io/Logging_0685/klagomål/A 5041-2025 FSC-klagomål.docx", "A 5041-2025")</f>
        <v/>
      </c>
      <c r="W68">
        <f>HYPERLINK("https://klasma.github.io/Logging_0685/klagomålsmail/A 5041-2025 FSC-klagomål mail.docx", "A 5041-2025")</f>
        <v/>
      </c>
      <c r="X68">
        <f>HYPERLINK("https://klasma.github.io/Logging_0685/tillsyn/A 5041-2025 tillsynsbegäran.docx", "A 5041-2025")</f>
        <v/>
      </c>
      <c r="Y68">
        <f>HYPERLINK("https://klasma.github.io/Logging_0685/tillsynsmail/A 5041-2025 tillsynsbegäran mail.docx", "A 5041-2025")</f>
        <v/>
      </c>
    </row>
    <row r="69" ht="15" customHeight="1">
      <c r="A69" t="inlineStr">
        <is>
          <t>A 8838-2025</t>
        </is>
      </c>
      <c r="B69" s="1" t="n">
        <v>45713</v>
      </c>
      <c r="C69" s="1" t="n">
        <v>45875</v>
      </c>
      <c r="D69" t="inlineStr">
        <is>
          <t>JÖNKÖPINGS LÄN</t>
        </is>
      </c>
      <c r="E69" t="inlineStr">
        <is>
          <t>VETLANDA</t>
        </is>
      </c>
      <c r="G69" t="n">
        <v>1.8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Brunlångöra
Nordfladdermus</t>
        </is>
      </c>
      <c r="S69">
        <f>HYPERLINK("https://klasma.github.io/Logging_0685/artfynd/A 8838-2025 artfynd.xlsx", "A 8838-2025")</f>
        <v/>
      </c>
      <c r="T69">
        <f>HYPERLINK("https://klasma.github.io/Logging_0685/kartor/A 8838-2025 karta.png", "A 8838-2025")</f>
        <v/>
      </c>
      <c r="V69">
        <f>HYPERLINK("https://klasma.github.io/Logging_0685/klagomål/A 8838-2025 FSC-klagomål.docx", "A 8838-2025")</f>
        <v/>
      </c>
      <c r="W69">
        <f>HYPERLINK("https://klasma.github.io/Logging_0685/klagomålsmail/A 8838-2025 FSC-klagomål mail.docx", "A 8838-2025")</f>
        <v/>
      </c>
      <c r="X69">
        <f>HYPERLINK("https://klasma.github.io/Logging_0685/tillsyn/A 8838-2025 tillsynsbegäran.docx", "A 8838-2025")</f>
        <v/>
      </c>
      <c r="Y69">
        <f>HYPERLINK("https://klasma.github.io/Logging_0685/tillsynsmail/A 8838-2025 tillsynsbegäran mail.docx", "A 8838-2025")</f>
        <v/>
      </c>
    </row>
    <row r="70" ht="15" customHeight="1">
      <c r="A70" t="inlineStr">
        <is>
          <t>A 18510-2025</t>
        </is>
      </c>
      <c r="B70" s="1" t="n">
        <v>45763</v>
      </c>
      <c r="C70" s="1" t="n">
        <v>45875</v>
      </c>
      <c r="D70" t="inlineStr">
        <is>
          <t>JÖNKÖPINGS LÄN</t>
        </is>
      </c>
      <c r="E70" t="inlineStr">
        <is>
          <t>VETLANDA</t>
        </is>
      </c>
      <c r="G70" t="n">
        <v>0.7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Växeltandsfibbla
Spretfibbla</t>
        </is>
      </c>
      <c r="S70">
        <f>HYPERLINK("https://klasma.github.io/Logging_060685/artfynd/A 18510-2025 artfynd.xlsx", "A 18510-2025")</f>
        <v/>
      </c>
      <c r="T70">
        <f>HYPERLINK("https://klasma.github.io/Logging_060685/kartor/A 18510-2025 karta.png", "A 18510-2025")</f>
        <v/>
      </c>
      <c r="V70">
        <f>HYPERLINK("https://klasma.github.io/Logging_060685/klagomål/A 18510-2025 FSC-klagomål.docx", "A 18510-2025")</f>
        <v/>
      </c>
      <c r="W70">
        <f>HYPERLINK("https://klasma.github.io/Logging_060685/klagomålsmail/A 18510-2025 FSC-klagomål mail.docx", "A 18510-2025")</f>
        <v/>
      </c>
      <c r="X70">
        <f>HYPERLINK("https://klasma.github.io/Logging_060685/tillsyn/A 18510-2025 tillsynsbegäran.docx", "A 18510-2025")</f>
        <v/>
      </c>
      <c r="Y70">
        <f>HYPERLINK("https://klasma.github.io/Logging_060685/tillsynsmail/A 18510-2025 tillsynsbegäran mail.docx", "A 18510-2025")</f>
        <v/>
      </c>
    </row>
    <row r="71" ht="15" customHeight="1">
      <c r="A71" t="inlineStr">
        <is>
          <t>A 28535-2025</t>
        </is>
      </c>
      <c r="B71" s="1" t="n">
        <v>45819</v>
      </c>
      <c r="C71" s="1" t="n">
        <v>45875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Loppstarr
Blåsippa</t>
        </is>
      </c>
      <c r="S71">
        <f>HYPERLINK("https://klasma.github.io/Logging_060685/artfynd/A 28535-2025 artfynd.xlsx", "A 28535-2025")</f>
        <v/>
      </c>
      <c r="T71">
        <f>HYPERLINK("https://klasma.github.io/Logging_060685/kartor/A 28535-2025 karta.png", "A 28535-2025")</f>
        <v/>
      </c>
      <c r="V71">
        <f>HYPERLINK("https://klasma.github.io/Logging_060685/klagomål/A 28535-2025 FSC-klagomål.docx", "A 28535-2025")</f>
        <v/>
      </c>
      <c r="W71">
        <f>HYPERLINK("https://klasma.github.io/Logging_060685/klagomålsmail/A 28535-2025 FSC-klagomål mail.docx", "A 28535-2025")</f>
        <v/>
      </c>
      <c r="X71">
        <f>HYPERLINK("https://klasma.github.io/Logging_060685/tillsyn/A 28535-2025 tillsynsbegäran.docx", "A 28535-2025")</f>
        <v/>
      </c>
      <c r="Y71">
        <f>HYPERLINK("https://klasma.github.io/Logging_060685/tillsynsmail/A 28535-2025 tillsynsbegäran mail.docx", "A 28535-2025")</f>
        <v/>
      </c>
    </row>
    <row r="72" ht="15" customHeight="1">
      <c r="A72" t="inlineStr">
        <is>
          <t>A 33068-2025</t>
        </is>
      </c>
      <c r="B72" s="1" t="n">
        <v>45840</v>
      </c>
      <c r="C72" s="1" t="n">
        <v>45875</v>
      </c>
      <c r="D72" t="inlineStr">
        <is>
          <t>JÖNKÖPINGS LÄN</t>
        </is>
      </c>
      <c r="E72" t="inlineStr">
        <is>
          <t>VETLANDA</t>
        </is>
      </c>
      <c r="G72" t="n">
        <v>2.1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Klofibbla</t>
        </is>
      </c>
      <c r="S72">
        <f>HYPERLINK("https://klasma.github.io/Logging_060685/artfynd/A 33068-2025 artfynd.xlsx", "A 33068-2025")</f>
        <v/>
      </c>
      <c r="T72">
        <f>HYPERLINK("https://klasma.github.io/Logging_060685/kartor/A 33068-2025 karta.png", "A 33068-2025")</f>
        <v/>
      </c>
      <c r="V72">
        <f>HYPERLINK("https://klasma.github.io/Logging_060685/klagomål/A 33068-2025 FSC-klagomål.docx", "A 33068-2025")</f>
        <v/>
      </c>
      <c r="W72">
        <f>HYPERLINK("https://klasma.github.io/Logging_060685/klagomålsmail/A 33068-2025 FSC-klagomål mail.docx", "A 33068-2025")</f>
        <v/>
      </c>
      <c r="X72">
        <f>HYPERLINK("https://klasma.github.io/Logging_060685/tillsyn/A 33068-2025 tillsynsbegäran.docx", "A 33068-2025")</f>
        <v/>
      </c>
      <c r="Y72">
        <f>HYPERLINK("https://klasma.github.io/Logging_060685/tillsynsmail/A 33068-2025 tillsynsbegäran mail.docx", "A 33068-2025")</f>
        <v/>
      </c>
    </row>
    <row r="73" ht="15" customHeight="1">
      <c r="A73" t="inlineStr">
        <is>
          <t>A 20306-2019</t>
        </is>
      </c>
      <c r="B73" s="1" t="n">
        <v>43571</v>
      </c>
      <c r="C73" s="1" t="n">
        <v>45875</v>
      </c>
      <c r="D73" t="inlineStr">
        <is>
          <t>JÖNKÖPINGS LÄN</t>
        </is>
      </c>
      <c r="E73" t="inlineStr">
        <is>
          <t>VETLANDA</t>
        </is>
      </c>
      <c r="G73" t="n">
        <v>8.800000000000001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HYPERLINK("https://klasma.github.io/Logging_0685/artfynd/A 20306-2019 artfynd.xlsx", "A 20306-2019")</f>
        <v/>
      </c>
      <c r="T73">
        <f>HYPERLINK("https://klasma.github.io/Logging_0685/kartor/A 20306-2019 karta.png", "A 20306-2019")</f>
        <v/>
      </c>
      <c r="V73">
        <f>HYPERLINK("https://klasma.github.io/Logging_0685/klagomål/A 20306-2019 FSC-klagomål.docx", "A 20306-2019")</f>
        <v/>
      </c>
      <c r="W73">
        <f>HYPERLINK("https://klasma.github.io/Logging_0685/klagomålsmail/A 20306-2019 FSC-klagomål mail.docx", "A 20306-2019")</f>
        <v/>
      </c>
      <c r="X73">
        <f>HYPERLINK("https://klasma.github.io/Logging_0685/tillsyn/A 20306-2019 tillsynsbegäran.docx", "A 20306-2019")</f>
        <v/>
      </c>
      <c r="Y73">
        <f>HYPERLINK("https://klasma.github.io/Logging_0685/tillsynsmail/A 20306-2019 tillsynsbegäran mail.docx", "A 20306-2019")</f>
        <v/>
      </c>
    </row>
    <row r="74" ht="15" customHeight="1">
      <c r="A74" t="inlineStr">
        <is>
          <t>A 20308-2019</t>
        </is>
      </c>
      <c r="B74" s="1" t="n">
        <v>43571</v>
      </c>
      <c r="C74" s="1" t="n">
        <v>45875</v>
      </c>
      <c r="D74" t="inlineStr">
        <is>
          <t>JÖNKÖPINGS LÄN</t>
        </is>
      </c>
      <c r="E74" t="inlineStr">
        <is>
          <t>VETLANDA</t>
        </is>
      </c>
      <c r="G74" t="n">
        <v>7.1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20308-2019 artfynd.xlsx", "A 20308-2019")</f>
        <v/>
      </c>
      <c r="T74">
        <f>HYPERLINK("https://klasma.github.io/Logging_0685/kartor/A 20308-2019 karta.png", "A 20308-2019")</f>
        <v/>
      </c>
      <c r="U74">
        <f>HYPERLINK("https://klasma.github.io/Logging_0685/knärot/A 20308-2019 karta knärot.png", "A 20308-2019")</f>
        <v/>
      </c>
      <c r="V74">
        <f>HYPERLINK("https://klasma.github.io/Logging_0685/klagomål/A 20308-2019 FSC-klagomål.docx", "A 20308-2019")</f>
        <v/>
      </c>
      <c r="W74">
        <f>HYPERLINK("https://klasma.github.io/Logging_0685/klagomålsmail/A 20308-2019 FSC-klagomål mail.docx", "A 20308-2019")</f>
        <v/>
      </c>
      <c r="X74">
        <f>HYPERLINK("https://klasma.github.io/Logging_0685/tillsyn/A 20308-2019 tillsynsbegäran.docx", "A 20308-2019")</f>
        <v/>
      </c>
      <c r="Y74">
        <f>HYPERLINK("https://klasma.github.io/Logging_0685/tillsynsmail/A 20308-2019 tillsynsbegäran mail.docx", "A 20308-2019")</f>
        <v/>
      </c>
    </row>
    <row r="75" ht="15" customHeight="1">
      <c r="A75" t="inlineStr">
        <is>
          <t>A 23988-2019</t>
        </is>
      </c>
      <c r="B75" s="1" t="n">
        <v>43595</v>
      </c>
      <c r="C75" s="1" t="n">
        <v>45875</v>
      </c>
      <c r="D75" t="inlineStr">
        <is>
          <t>JÖNKÖPINGS LÄN</t>
        </is>
      </c>
      <c r="E75" t="inlineStr">
        <is>
          <t>VETLANDA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HYPERLINK("https://klasma.github.io/Logging_0685/artfynd/A 23988-2019 artfynd.xlsx", "A 23988-2019")</f>
        <v/>
      </c>
      <c r="T75">
        <f>HYPERLINK("https://klasma.github.io/Logging_0685/kartor/A 23988-2019 karta.png", "A 23988-2019")</f>
        <v/>
      </c>
      <c r="V75">
        <f>HYPERLINK("https://klasma.github.io/Logging_0685/klagomål/A 23988-2019 FSC-klagomål.docx", "A 23988-2019")</f>
        <v/>
      </c>
      <c r="W75">
        <f>HYPERLINK("https://klasma.github.io/Logging_0685/klagomålsmail/A 23988-2019 FSC-klagomål mail.docx", "A 23988-2019")</f>
        <v/>
      </c>
      <c r="X75">
        <f>HYPERLINK("https://klasma.github.io/Logging_0685/tillsyn/A 23988-2019 tillsynsbegäran.docx", "A 23988-2019")</f>
        <v/>
      </c>
      <c r="Y75">
        <f>HYPERLINK("https://klasma.github.io/Logging_0685/tillsynsmail/A 23988-2019 tillsynsbegäran mail.docx", "A 23988-2019")</f>
        <v/>
      </c>
    </row>
    <row r="76" ht="15" customHeight="1">
      <c r="A76" t="inlineStr">
        <is>
          <t>A 25880-2019</t>
        </is>
      </c>
      <c r="B76" s="1" t="n">
        <v>43605</v>
      </c>
      <c r="C76" s="1" t="n">
        <v>45875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25880-2019 artfynd.xlsx", "A 25880-2019")</f>
        <v/>
      </c>
      <c r="T76">
        <f>HYPERLINK("https://klasma.github.io/Logging_0685/kartor/A 25880-2019 karta.png", "A 25880-2019")</f>
        <v/>
      </c>
      <c r="U76">
        <f>HYPERLINK("https://klasma.github.io/Logging_0685/knärot/A 25880-2019 karta knärot.png", "A 25880-2019")</f>
        <v/>
      </c>
      <c r="V76">
        <f>HYPERLINK("https://klasma.github.io/Logging_0685/klagomål/A 25880-2019 FSC-klagomål.docx", "A 25880-2019")</f>
        <v/>
      </c>
      <c r="W76">
        <f>HYPERLINK("https://klasma.github.io/Logging_0685/klagomålsmail/A 25880-2019 FSC-klagomål mail.docx", "A 25880-2019")</f>
        <v/>
      </c>
      <c r="X76">
        <f>HYPERLINK("https://klasma.github.io/Logging_0685/tillsyn/A 25880-2019 tillsynsbegäran.docx", "A 25880-2019")</f>
        <v/>
      </c>
      <c r="Y76">
        <f>HYPERLINK("https://klasma.github.io/Logging_0685/tillsynsmail/A 25880-2019 tillsynsbegäran mail.docx", "A 25880-2019")</f>
        <v/>
      </c>
    </row>
    <row r="77" ht="15" customHeight="1">
      <c r="A77" t="inlineStr">
        <is>
          <t>A 30971-2019</t>
        </is>
      </c>
      <c r="B77" s="1" t="n">
        <v>43639</v>
      </c>
      <c r="C77" s="1" t="n">
        <v>45875</v>
      </c>
      <c r="D77" t="inlineStr">
        <is>
          <t>JÖNKÖPINGS LÄN</t>
        </is>
      </c>
      <c r="E77" t="inlineStr">
        <is>
          <t>VETLANDA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HYPERLINK("https://klasma.github.io/Logging_0685/artfynd/A 30971-2019 artfynd.xlsx", "A 30971-2019")</f>
        <v/>
      </c>
      <c r="T77">
        <f>HYPERLINK("https://klasma.github.io/Logging_0685/kartor/A 30971-2019 karta.png", "A 30971-2019")</f>
        <v/>
      </c>
      <c r="V77">
        <f>HYPERLINK("https://klasma.github.io/Logging_0685/klagomål/A 30971-2019 FSC-klagomål.docx", "A 30971-2019")</f>
        <v/>
      </c>
      <c r="W77">
        <f>HYPERLINK("https://klasma.github.io/Logging_0685/klagomålsmail/A 30971-2019 FSC-klagomål mail.docx", "A 30971-2019")</f>
        <v/>
      </c>
      <c r="X77">
        <f>HYPERLINK("https://klasma.github.io/Logging_0685/tillsyn/A 30971-2019 tillsynsbegäran.docx", "A 30971-2019")</f>
        <v/>
      </c>
      <c r="Y77">
        <f>HYPERLINK("https://klasma.github.io/Logging_0685/tillsynsmail/A 30971-2019 tillsynsbegäran mail.docx", "A 30971-2019")</f>
        <v/>
      </c>
    </row>
    <row r="78" ht="15" customHeight="1">
      <c r="A78" t="inlineStr">
        <is>
          <t>A 45093-2019</t>
        </is>
      </c>
      <c r="B78" s="1" t="n">
        <v>43713</v>
      </c>
      <c r="C78" s="1" t="n">
        <v>45875</v>
      </c>
      <c r="D78" t="inlineStr">
        <is>
          <t>JÖNKÖPINGS LÄN</t>
        </is>
      </c>
      <c r="E78" t="inlineStr">
        <is>
          <t>VETLANDA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HYPERLINK("https://klasma.github.io/Logging_0685/artfynd/A 45093-2019 artfynd.xlsx", "A 45093-2019")</f>
        <v/>
      </c>
      <c r="T78">
        <f>HYPERLINK("https://klasma.github.io/Logging_0685/kartor/A 45093-2019 karta.png", "A 45093-2019")</f>
        <v/>
      </c>
      <c r="V78">
        <f>HYPERLINK("https://klasma.github.io/Logging_0685/klagomål/A 45093-2019 FSC-klagomål.docx", "A 45093-2019")</f>
        <v/>
      </c>
      <c r="W78">
        <f>HYPERLINK("https://klasma.github.io/Logging_0685/klagomålsmail/A 45093-2019 FSC-klagomål mail.docx", "A 45093-2019")</f>
        <v/>
      </c>
      <c r="X78">
        <f>HYPERLINK("https://klasma.github.io/Logging_0685/tillsyn/A 45093-2019 tillsynsbegäran.docx", "A 45093-2019")</f>
        <v/>
      </c>
      <c r="Y78">
        <f>HYPERLINK("https://klasma.github.io/Logging_0685/tillsynsmail/A 45093-2019 tillsynsbegäran mail.docx", "A 45093-2019")</f>
        <v/>
      </c>
    </row>
    <row r="79" ht="15" customHeight="1">
      <c r="A79" t="inlineStr">
        <is>
          <t>A 46208-2019</t>
        </is>
      </c>
      <c r="B79" s="1" t="n">
        <v>43718</v>
      </c>
      <c r="C79" s="1" t="n">
        <v>45875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HYPERLINK("https://klasma.github.io/Logging_0685/artfynd/A 46208-2019 artfynd.xlsx", "A 46208-2019")</f>
        <v/>
      </c>
      <c r="T79">
        <f>HYPERLINK("https://klasma.github.io/Logging_0685/kartor/A 46208-2019 karta.png", "A 46208-2019")</f>
        <v/>
      </c>
      <c r="V79">
        <f>HYPERLINK("https://klasma.github.io/Logging_0685/klagomål/A 46208-2019 FSC-klagomål.docx", "A 46208-2019")</f>
        <v/>
      </c>
      <c r="W79">
        <f>HYPERLINK("https://klasma.github.io/Logging_0685/klagomålsmail/A 46208-2019 FSC-klagomål mail.docx", "A 46208-2019")</f>
        <v/>
      </c>
      <c r="X79">
        <f>HYPERLINK("https://klasma.github.io/Logging_0685/tillsyn/A 46208-2019 tillsynsbegäran.docx", "A 46208-2019")</f>
        <v/>
      </c>
      <c r="Y79">
        <f>HYPERLINK("https://klasma.github.io/Logging_0685/tillsynsmail/A 46208-2019 tillsynsbegäran mail.docx", "A 46208-2019")</f>
        <v/>
      </c>
    </row>
    <row r="80" ht="15" customHeight="1">
      <c r="A80" t="inlineStr">
        <is>
          <t>A 53433-2019</t>
        </is>
      </c>
      <c r="B80" s="1" t="n">
        <v>43748</v>
      </c>
      <c r="C80" s="1" t="n">
        <v>45875</v>
      </c>
      <c r="D80" t="inlineStr">
        <is>
          <t>JÖNKÖPINGS LÄN</t>
        </is>
      </c>
      <c r="E80" t="inlineStr">
        <is>
          <t>VETLANDA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HYPERLINK("https://klasma.github.io/Logging_0685/artfynd/A 53433-2019 artfynd.xlsx", "A 53433-2019")</f>
        <v/>
      </c>
      <c r="T80">
        <f>HYPERLINK("https://klasma.github.io/Logging_0685/kartor/A 53433-2019 karta.png", "A 53433-2019")</f>
        <v/>
      </c>
      <c r="V80">
        <f>HYPERLINK("https://klasma.github.io/Logging_0685/klagomål/A 53433-2019 FSC-klagomål.docx", "A 53433-2019")</f>
        <v/>
      </c>
      <c r="W80">
        <f>HYPERLINK("https://klasma.github.io/Logging_0685/klagomålsmail/A 53433-2019 FSC-klagomål mail.docx", "A 53433-2019")</f>
        <v/>
      </c>
      <c r="X80">
        <f>HYPERLINK("https://klasma.github.io/Logging_0685/tillsyn/A 53433-2019 tillsynsbegäran.docx", "A 53433-2019")</f>
        <v/>
      </c>
      <c r="Y80">
        <f>HYPERLINK("https://klasma.github.io/Logging_0685/tillsynsmail/A 53433-2019 tillsynsbegäran mail.docx", "A 53433-2019")</f>
        <v/>
      </c>
    </row>
    <row r="81" ht="15" customHeight="1">
      <c r="A81" t="inlineStr">
        <is>
          <t>A 67950-2019</t>
        </is>
      </c>
      <c r="B81" s="1" t="n">
        <v>43811</v>
      </c>
      <c r="C81" s="1" t="n">
        <v>45875</v>
      </c>
      <c r="D81" t="inlineStr">
        <is>
          <t>JÖNKÖPINGS LÄN</t>
        </is>
      </c>
      <c r="E81" t="inlineStr">
        <is>
          <t>VETLANDA</t>
        </is>
      </c>
      <c r="G81" t="n">
        <v>10.9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67950-2019 artfynd.xlsx", "A 67950-2019")</f>
        <v/>
      </c>
      <c r="T81">
        <f>HYPERLINK("https://klasma.github.io/Logging_0685/kartor/A 67950-2019 karta.png", "A 67950-2019")</f>
        <v/>
      </c>
      <c r="U81">
        <f>HYPERLINK("https://klasma.github.io/Logging_0685/knärot/A 67950-2019 karta knärot.png", "A 67950-2019")</f>
        <v/>
      </c>
      <c r="V81">
        <f>HYPERLINK("https://klasma.github.io/Logging_0685/klagomål/A 67950-2019 FSC-klagomål.docx", "A 67950-2019")</f>
        <v/>
      </c>
      <c r="W81">
        <f>HYPERLINK("https://klasma.github.io/Logging_0685/klagomålsmail/A 67950-2019 FSC-klagomål mail.docx", "A 67950-2019")</f>
        <v/>
      </c>
      <c r="X81">
        <f>HYPERLINK("https://klasma.github.io/Logging_0685/tillsyn/A 67950-2019 tillsynsbegäran.docx", "A 67950-2019")</f>
        <v/>
      </c>
      <c r="Y81">
        <f>HYPERLINK("https://klasma.github.io/Logging_0685/tillsynsmail/A 67950-2019 tillsynsbegäran mail.docx", "A 67950-2019")</f>
        <v/>
      </c>
    </row>
    <row r="82" ht="15" customHeight="1">
      <c r="A82" t="inlineStr">
        <is>
          <t>A 18710-2020</t>
        </is>
      </c>
      <c r="B82" s="1" t="n">
        <v>43930</v>
      </c>
      <c r="C82" s="1" t="n">
        <v>45875</v>
      </c>
      <c r="D82" t="inlineStr">
        <is>
          <t>JÖNKÖPINGS LÄN</t>
        </is>
      </c>
      <c r="E82" t="inlineStr">
        <is>
          <t>VETLANDA</t>
        </is>
      </c>
      <c r="G82" t="n">
        <v>3.4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18710-2020 artfynd.xlsx", "A 18710-2020")</f>
        <v/>
      </c>
      <c r="T82">
        <f>HYPERLINK("https://klasma.github.io/Logging_0685/kartor/A 18710-2020 karta.png", "A 18710-2020")</f>
        <v/>
      </c>
      <c r="U82">
        <f>HYPERLINK("https://klasma.github.io/Logging_0685/knärot/A 18710-2020 karta knärot.png", "A 18710-2020")</f>
        <v/>
      </c>
      <c r="V82">
        <f>HYPERLINK("https://klasma.github.io/Logging_0685/klagomål/A 18710-2020 FSC-klagomål.docx", "A 18710-2020")</f>
        <v/>
      </c>
      <c r="W82">
        <f>HYPERLINK("https://klasma.github.io/Logging_0685/klagomålsmail/A 18710-2020 FSC-klagomål mail.docx", "A 18710-2020")</f>
        <v/>
      </c>
      <c r="X82">
        <f>HYPERLINK("https://klasma.github.io/Logging_0685/tillsyn/A 18710-2020 tillsynsbegäran.docx", "A 18710-2020")</f>
        <v/>
      </c>
      <c r="Y82">
        <f>HYPERLINK("https://klasma.github.io/Logging_0685/tillsynsmail/A 18710-2020 tillsynsbegäran mail.docx", "A 18710-2020")</f>
        <v/>
      </c>
    </row>
    <row r="83" ht="15" customHeight="1">
      <c r="A83" t="inlineStr">
        <is>
          <t>A 32870-2020</t>
        </is>
      </c>
      <c r="B83" s="1" t="n">
        <v>44018</v>
      </c>
      <c r="C83" s="1" t="n">
        <v>45875</v>
      </c>
      <c r="D83" t="inlineStr">
        <is>
          <t>JÖNKÖPINGS LÄN</t>
        </is>
      </c>
      <c r="E83" t="inlineStr">
        <is>
          <t>VETLANDA</t>
        </is>
      </c>
      <c r="F83" t="inlineStr">
        <is>
          <t>Kyrkan</t>
        </is>
      </c>
      <c r="G83" t="n">
        <v>2.5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HYPERLINK("https://klasma.github.io/Logging_0685/artfynd/A 32870-2020 artfynd.xlsx", "A 32870-2020")</f>
        <v/>
      </c>
      <c r="T83">
        <f>HYPERLINK("https://klasma.github.io/Logging_0685/kartor/A 32870-2020 karta.png", "A 32870-2020")</f>
        <v/>
      </c>
      <c r="U83">
        <f>HYPERLINK("https://klasma.github.io/Logging_0685/knärot/A 32870-2020 karta knärot.png", "A 32870-2020")</f>
        <v/>
      </c>
      <c r="V83">
        <f>HYPERLINK("https://klasma.github.io/Logging_0685/klagomål/A 32870-2020 FSC-klagomål.docx", "A 32870-2020")</f>
        <v/>
      </c>
      <c r="W83">
        <f>HYPERLINK("https://klasma.github.io/Logging_0685/klagomålsmail/A 32870-2020 FSC-klagomål mail.docx", "A 32870-2020")</f>
        <v/>
      </c>
      <c r="X83">
        <f>HYPERLINK("https://klasma.github.io/Logging_0685/tillsyn/A 32870-2020 tillsynsbegäran.docx", "A 32870-2020")</f>
        <v/>
      </c>
      <c r="Y83">
        <f>HYPERLINK("https://klasma.github.io/Logging_0685/tillsynsmail/A 32870-2020 tillsynsbegäran mail.docx", "A 32870-2020")</f>
        <v/>
      </c>
    </row>
    <row r="84" ht="15" customHeight="1">
      <c r="A84" t="inlineStr">
        <is>
          <t>A 36801-2020</t>
        </is>
      </c>
      <c r="B84" s="1" t="n">
        <v>44053</v>
      </c>
      <c r="C84" s="1" t="n">
        <v>45875</v>
      </c>
      <c r="D84" t="inlineStr">
        <is>
          <t>JÖNKÖPINGS LÄN</t>
        </is>
      </c>
      <c r="E84" t="inlineStr">
        <is>
          <t>VETLANDA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HYPERLINK("https://klasma.github.io/Logging_0685/artfynd/A 36801-2020 artfynd.xlsx", "A 36801-2020")</f>
        <v/>
      </c>
      <c r="T84">
        <f>HYPERLINK("https://klasma.github.io/Logging_0685/kartor/A 36801-2020 karta.png", "A 36801-2020")</f>
        <v/>
      </c>
      <c r="V84">
        <f>HYPERLINK("https://klasma.github.io/Logging_0685/klagomål/A 36801-2020 FSC-klagomål.docx", "A 36801-2020")</f>
        <v/>
      </c>
      <c r="W84">
        <f>HYPERLINK("https://klasma.github.io/Logging_0685/klagomålsmail/A 36801-2020 FSC-klagomål mail.docx", "A 36801-2020")</f>
        <v/>
      </c>
      <c r="X84">
        <f>HYPERLINK("https://klasma.github.io/Logging_0685/tillsyn/A 36801-2020 tillsynsbegäran.docx", "A 36801-2020")</f>
        <v/>
      </c>
      <c r="Y84">
        <f>HYPERLINK("https://klasma.github.io/Logging_0685/tillsynsmail/A 36801-2020 tillsynsbegäran mail.docx", "A 36801-2020")</f>
        <v/>
      </c>
    </row>
    <row r="85" ht="15" customHeight="1">
      <c r="A85" t="inlineStr">
        <is>
          <t>A 39588-2020</t>
        </is>
      </c>
      <c r="B85" s="1" t="n">
        <v>44064</v>
      </c>
      <c r="C85" s="1" t="n">
        <v>45875</v>
      </c>
      <c r="D85" t="inlineStr">
        <is>
          <t>JÖNKÖPINGS LÄN</t>
        </is>
      </c>
      <c r="E85" t="inlineStr">
        <is>
          <t>VETLANDA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39588-2020 artfynd.xlsx", "A 39588-2020")</f>
        <v/>
      </c>
      <c r="T85">
        <f>HYPERLINK("https://klasma.github.io/Logging_0685/kartor/A 39588-2020 karta.png", "A 39588-2020")</f>
        <v/>
      </c>
      <c r="V85">
        <f>HYPERLINK("https://klasma.github.io/Logging_0685/klagomål/A 39588-2020 FSC-klagomål.docx", "A 39588-2020")</f>
        <v/>
      </c>
      <c r="W85">
        <f>HYPERLINK("https://klasma.github.io/Logging_0685/klagomålsmail/A 39588-2020 FSC-klagomål mail.docx", "A 39588-2020")</f>
        <v/>
      </c>
      <c r="X85">
        <f>HYPERLINK("https://klasma.github.io/Logging_0685/tillsyn/A 39588-2020 tillsynsbegäran.docx", "A 39588-2020")</f>
        <v/>
      </c>
      <c r="Y85">
        <f>HYPERLINK("https://klasma.github.io/Logging_0685/tillsynsmail/A 39588-2020 tillsynsbegäran mail.docx", "A 39588-2020")</f>
        <v/>
      </c>
    </row>
    <row r="86" ht="15" customHeight="1">
      <c r="A86" t="inlineStr">
        <is>
          <t>A 69070-2020</t>
        </is>
      </c>
      <c r="B86" s="1" t="n">
        <v>44187</v>
      </c>
      <c r="C86" s="1" t="n">
        <v>45875</v>
      </c>
      <c r="D86" t="inlineStr">
        <is>
          <t>JÖNKÖPINGS LÄN</t>
        </is>
      </c>
      <c r="E86" t="inlineStr">
        <is>
          <t>VETLANDA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Gropticka</t>
        </is>
      </c>
      <c r="S86">
        <f>HYPERLINK("https://klasma.github.io/Logging_0685/artfynd/A 69070-2020 artfynd.xlsx", "A 69070-2020")</f>
        <v/>
      </c>
      <c r="T86">
        <f>HYPERLINK("https://klasma.github.io/Logging_0685/kartor/A 69070-2020 karta.png", "A 69070-2020")</f>
        <v/>
      </c>
      <c r="V86">
        <f>HYPERLINK("https://klasma.github.io/Logging_0685/klagomål/A 69070-2020 FSC-klagomål.docx", "A 69070-2020")</f>
        <v/>
      </c>
      <c r="W86">
        <f>HYPERLINK("https://klasma.github.io/Logging_0685/klagomålsmail/A 69070-2020 FSC-klagomål mail.docx", "A 69070-2020")</f>
        <v/>
      </c>
      <c r="X86">
        <f>HYPERLINK("https://klasma.github.io/Logging_0685/tillsyn/A 69070-2020 tillsynsbegäran.docx", "A 69070-2020")</f>
        <v/>
      </c>
      <c r="Y86">
        <f>HYPERLINK("https://klasma.github.io/Logging_0685/tillsynsmail/A 69070-2020 tillsynsbegäran mail.docx", "A 69070-2020")</f>
        <v/>
      </c>
    </row>
    <row r="87" ht="15" customHeight="1">
      <c r="A87" t="inlineStr">
        <is>
          <t>A 5211-2021</t>
        </is>
      </c>
      <c r="B87" s="1" t="n">
        <v>44229</v>
      </c>
      <c r="C87" s="1" t="n">
        <v>45875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HYPERLINK("https://klasma.github.io/Logging_0685/artfynd/A 5211-2021 artfynd.xlsx", "A 5211-2021")</f>
        <v/>
      </c>
      <c r="T87">
        <f>HYPERLINK("https://klasma.github.io/Logging_0685/kartor/A 5211-2021 karta.png", "A 5211-2021")</f>
        <v/>
      </c>
      <c r="V87">
        <f>HYPERLINK("https://klasma.github.io/Logging_0685/klagomål/A 5211-2021 FSC-klagomål.docx", "A 5211-2021")</f>
        <v/>
      </c>
      <c r="W87">
        <f>HYPERLINK("https://klasma.github.io/Logging_0685/klagomålsmail/A 5211-2021 FSC-klagomål mail.docx", "A 5211-2021")</f>
        <v/>
      </c>
      <c r="X87">
        <f>HYPERLINK("https://klasma.github.io/Logging_0685/tillsyn/A 5211-2021 tillsynsbegäran.docx", "A 5211-2021")</f>
        <v/>
      </c>
      <c r="Y87">
        <f>HYPERLINK("https://klasma.github.io/Logging_0685/tillsynsmail/A 5211-2021 tillsynsbegäran mail.docx", "A 5211-2021")</f>
        <v/>
      </c>
    </row>
    <row r="88" ht="15" customHeight="1">
      <c r="A88" t="inlineStr">
        <is>
          <t>A 14385-2021</t>
        </is>
      </c>
      <c r="B88" s="1" t="n">
        <v>44279</v>
      </c>
      <c r="C88" s="1" t="n">
        <v>45875</v>
      </c>
      <c r="D88" t="inlineStr">
        <is>
          <t>JÖNKÖPINGS LÄN</t>
        </is>
      </c>
      <c r="E88" t="inlineStr">
        <is>
          <t>VETLANDA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HYPERLINK("https://klasma.github.io/Logging_0685/artfynd/A 14385-2021 artfynd.xlsx", "A 14385-2021")</f>
        <v/>
      </c>
      <c r="T88">
        <f>HYPERLINK("https://klasma.github.io/Logging_0685/kartor/A 14385-2021 karta.png", "A 14385-2021")</f>
        <v/>
      </c>
      <c r="V88">
        <f>HYPERLINK("https://klasma.github.io/Logging_0685/klagomål/A 14385-2021 FSC-klagomål.docx", "A 14385-2021")</f>
        <v/>
      </c>
      <c r="W88">
        <f>HYPERLINK("https://klasma.github.io/Logging_0685/klagomålsmail/A 14385-2021 FSC-klagomål mail.docx", "A 14385-2021")</f>
        <v/>
      </c>
      <c r="X88">
        <f>HYPERLINK("https://klasma.github.io/Logging_0685/tillsyn/A 14385-2021 tillsynsbegäran.docx", "A 14385-2021")</f>
        <v/>
      </c>
      <c r="Y88">
        <f>HYPERLINK("https://klasma.github.io/Logging_0685/tillsynsmail/A 14385-2021 tillsynsbegäran mail.docx", "A 14385-2021")</f>
        <v/>
      </c>
    </row>
    <row r="89" ht="15" customHeight="1">
      <c r="A89" t="inlineStr">
        <is>
          <t>A 18270-2021</t>
        </is>
      </c>
      <c r="B89" s="1" t="n">
        <v>44305</v>
      </c>
      <c r="C89" s="1" t="n">
        <v>45875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HYPERLINK("https://klasma.github.io/Logging_0685/artfynd/A 18270-2021 artfynd.xlsx", "A 18270-2021")</f>
        <v/>
      </c>
      <c r="T89">
        <f>HYPERLINK("https://klasma.github.io/Logging_0685/kartor/A 18270-2021 karta.png", "A 18270-2021")</f>
        <v/>
      </c>
      <c r="V89">
        <f>HYPERLINK("https://klasma.github.io/Logging_0685/klagomål/A 18270-2021 FSC-klagomål.docx", "A 18270-2021")</f>
        <v/>
      </c>
      <c r="W89">
        <f>HYPERLINK("https://klasma.github.io/Logging_0685/klagomålsmail/A 18270-2021 FSC-klagomål mail.docx", "A 18270-2021")</f>
        <v/>
      </c>
      <c r="X89">
        <f>HYPERLINK("https://klasma.github.io/Logging_0685/tillsyn/A 18270-2021 tillsynsbegäran.docx", "A 18270-2021")</f>
        <v/>
      </c>
      <c r="Y89">
        <f>HYPERLINK("https://klasma.github.io/Logging_0685/tillsynsmail/A 18270-2021 tillsynsbegäran mail.docx", "A 18270-2021")</f>
        <v/>
      </c>
    </row>
    <row r="90" ht="15" customHeight="1">
      <c r="A90" t="inlineStr">
        <is>
          <t>A 44177-2021</t>
        </is>
      </c>
      <c r="B90" s="1" t="n">
        <v>44434</v>
      </c>
      <c r="C90" s="1" t="n">
        <v>45875</v>
      </c>
      <c r="D90" t="inlineStr">
        <is>
          <t>JÖNKÖPINGS LÄN</t>
        </is>
      </c>
      <c r="E90" t="inlineStr">
        <is>
          <t>VETLANDA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HYPERLINK("https://klasma.github.io/Logging_0685/artfynd/A 44177-2021 artfynd.xlsx", "A 44177-2021")</f>
        <v/>
      </c>
      <c r="T90">
        <f>HYPERLINK("https://klasma.github.io/Logging_0685/kartor/A 44177-2021 karta.png", "A 44177-2021")</f>
        <v/>
      </c>
      <c r="V90">
        <f>HYPERLINK("https://klasma.github.io/Logging_0685/klagomål/A 44177-2021 FSC-klagomål.docx", "A 44177-2021")</f>
        <v/>
      </c>
      <c r="W90">
        <f>HYPERLINK("https://klasma.github.io/Logging_0685/klagomålsmail/A 44177-2021 FSC-klagomål mail.docx", "A 44177-2021")</f>
        <v/>
      </c>
      <c r="X90">
        <f>HYPERLINK("https://klasma.github.io/Logging_0685/tillsyn/A 44177-2021 tillsynsbegäran.docx", "A 44177-2021")</f>
        <v/>
      </c>
      <c r="Y90">
        <f>HYPERLINK("https://klasma.github.io/Logging_0685/tillsynsmail/A 44177-2021 tillsynsbegäran mail.docx", "A 44177-2021")</f>
        <v/>
      </c>
    </row>
    <row r="91" ht="15" customHeight="1">
      <c r="A91" t="inlineStr">
        <is>
          <t>A 46862-2021</t>
        </is>
      </c>
      <c r="B91" s="1" t="n">
        <v>44446</v>
      </c>
      <c r="C91" s="1" t="n">
        <v>45875</v>
      </c>
      <c r="D91" t="inlineStr">
        <is>
          <t>JÖNKÖPINGS LÄN</t>
        </is>
      </c>
      <c r="E91" t="inlineStr">
        <is>
          <t>VETLANDA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HYPERLINK("https://klasma.github.io/Logging_0685/artfynd/A 46862-2021 artfynd.xlsx", "A 46862-2021")</f>
        <v/>
      </c>
      <c r="T91">
        <f>HYPERLINK("https://klasma.github.io/Logging_0685/kartor/A 46862-2021 karta.png", "A 46862-2021")</f>
        <v/>
      </c>
      <c r="V91">
        <f>HYPERLINK("https://klasma.github.io/Logging_0685/klagomål/A 46862-2021 FSC-klagomål.docx", "A 46862-2021")</f>
        <v/>
      </c>
      <c r="W91">
        <f>HYPERLINK("https://klasma.github.io/Logging_0685/klagomålsmail/A 46862-2021 FSC-klagomål mail.docx", "A 46862-2021")</f>
        <v/>
      </c>
      <c r="X91">
        <f>HYPERLINK("https://klasma.github.io/Logging_0685/tillsyn/A 46862-2021 tillsynsbegäran.docx", "A 46862-2021")</f>
        <v/>
      </c>
      <c r="Y91">
        <f>HYPERLINK("https://klasma.github.io/Logging_0685/tillsynsmail/A 46862-2021 tillsynsbegäran mail.docx", "A 46862-2021")</f>
        <v/>
      </c>
    </row>
    <row r="92" ht="15" customHeight="1">
      <c r="A92" t="inlineStr">
        <is>
          <t>A 49388-2021</t>
        </is>
      </c>
      <c r="B92" s="1" t="n">
        <v>44454</v>
      </c>
      <c r="C92" s="1" t="n">
        <v>45875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49388-2021 artfynd.xlsx", "A 49388-2021")</f>
        <v/>
      </c>
      <c r="T92">
        <f>HYPERLINK("https://klasma.github.io/Logging_0685/kartor/A 49388-2021 karta.png", "A 49388-2021")</f>
        <v/>
      </c>
      <c r="V92">
        <f>HYPERLINK("https://klasma.github.io/Logging_0685/klagomål/A 49388-2021 FSC-klagomål.docx", "A 49388-2021")</f>
        <v/>
      </c>
      <c r="W92">
        <f>HYPERLINK("https://klasma.github.io/Logging_0685/klagomålsmail/A 49388-2021 FSC-klagomål mail.docx", "A 49388-2021")</f>
        <v/>
      </c>
      <c r="X92">
        <f>HYPERLINK("https://klasma.github.io/Logging_0685/tillsyn/A 49388-2021 tillsynsbegäran.docx", "A 49388-2021")</f>
        <v/>
      </c>
      <c r="Y92">
        <f>HYPERLINK("https://klasma.github.io/Logging_0685/tillsynsmail/A 49388-2021 tillsynsbegäran mail.docx", "A 49388-2021")</f>
        <v/>
      </c>
    </row>
    <row r="93" ht="15" customHeight="1">
      <c r="A93" t="inlineStr">
        <is>
          <t>A 51852-2021</t>
        </is>
      </c>
      <c r="B93" s="1" t="n">
        <v>44462</v>
      </c>
      <c r="C93" s="1" t="n">
        <v>45875</v>
      </c>
      <c r="D93" t="inlineStr">
        <is>
          <t>JÖNKÖPINGS LÄN</t>
        </is>
      </c>
      <c r="E93" t="inlineStr">
        <is>
          <t>VETLANDA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51852-2021 artfynd.xlsx", "A 51852-2021")</f>
        <v/>
      </c>
      <c r="T93">
        <f>HYPERLINK("https://klasma.github.io/Logging_0685/kartor/A 51852-2021 karta.png", "A 51852-2021")</f>
        <v/>
      </c>
      <c r="V93">
        <f>HYPERLINK("https://klasma.github.io/Logging_0685/klagomål/A 51852-2021 FSC-klagomål.docx", "A 51852-2021")</f>
        <v/>
      </c>
      <c r="W93">
        <f>HYPERLINK("https://klasma.github.io/Logging_0685/klagomålsmail/A 51852-2021 FSC-klagomål mail.docx", "A 51852-2021")</f>
        <v/>
      </c>
      <c r="X93">
        <f>HYPERLINK("https://klasma.github.io/Logging_0685/tillsyn/A 51852-2021 tillsynsbegäran.docx", "A 51852-2021")</f>
        <v/>
      </c>
      <c r="Y93">
        <f>HYPERLINK("https://klasma.github.io/Logging_0685/tillsynsmail/A 51852-2021 tillsynsbegäran mail.docx", "A 51852-2021")</f>
        <v/>
      </c>
    </row>
    <row r="94" ht="15" customHeight="1">
      <c r="A94" t="inlineStr">
        <is>
          <t>A 64995-2021</t>
        </is>
      </c>
      <c r="B94" s="1" t="n">
        <v>44514</v>
      </c>
      <c r="C94" s="1" t="n">
        <v>45875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64995-2021 artfynd.xlsx", "A 64995-2021")</f>
        <v/>
      </c>
      <c r="T94">
        <f>HYPERLINK("https://klasma.github.io/Logging_0685/kartor/A 64995-2021 karta.png", "A 64995-2021")</f>
        <v/>
      </c>
      <c r="V94">
        <f>HYPERLINK("https://klasma.github.io/Logging_0685/klagomål/A 64995-2021 FSC-klagomål.docx", "A 64995-2021")</f>
        <v/>
      </c>
      <c r="W94">
        <f>HYPERLINK("https://klasma.github.io/Logging_0685/klagomålsmail/A 64995-2021 FSC-klagomål mail.docx", "A 64995-2021")</f>
        <v/>
      </c>
      <c r="X94">
        <f>HYPERLINK("https://klasma.github.io/Logging_0685/tillsyn/A 64995-2021 tillsynsbegäran.docx", "A 64995-2021")</f>
        <v/>
      </c>
      <c r="Y94">
        <f>HYPERLINK("https://klasma.github.io/Logging_0685/tillsynsmail/A 64995-2021 tillsynsbegäran mail.docx", "A 64995-2021")</f>
        <v/>
      </c>
    </row>
    <row r="95" ht="15" customHeight="1">
      <c r="A95" t="inlineStr">
        <is>
          <t>A 5498-2022</t>
        </is>
      </c>
      <c r="B95" s="1" t="n">
        <v>44595</v>
      </c>
      <c r="C95" s="1" t="n">
        <v>45875</v>
      </c>
      <c r="D95" t="inlineStr">
        <is>
          <t>JÖNKÖPINGS LÄN</t>
        </is>
      </c>
      <c r="E95" t="inlineStr">
        <is>
          <t>VETLANDA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HYPERLINK("https://klasma.github.io/Logging_0685/artfynd/A 5498-2022 artfynd.xlsx", "A 5498-2022")</f>
        <v/>
      </c>
      <c r="T95">
        <f>HYPERLINK("https://klasma.github.io/Logging_0685/kartor/A 5498-2022 karta.png", "A 5498-2022")</f>
        <v/>
      </c>
      <c r="V95">
        <f>HYPERLINK("https://klasma.github.io/Logging_0685/klagomål/A 5498-2022 FSC-klagomål.docx", "A 5498-2022")</f>
        <v/>
      </c>
      <c r="W95">
        <f>HYPERLINK("https://klasma.github.io/Logging_0685/klagomålsmail/A 5498-2022 FSC-klagomål mail.docx", "A 5498-2022")</f>
        <v/>
      </c>
      <c r="X95">
        <f>HYPERLINK("https://klasma.github.io/Logging_0685/tillsyn/A 5498-2022 tillsynsbegäran.docx", "A 5498-2022")</f>
        <v/>
      </c>
      <c r="Y95">
        <f>HYPERLINK("https://klasma.github.io/Logging_0685/tillsynsmail/A 5498-2022 tillsynsbegäran mail.docx", "A 5498-2022")</f>
        <v/>
      </c>
    </row>
    <row r="96" ht="15" customHeight="1">
      <c r="A96" t="inlineStr">
        <is>
          <t>A 26920-2022</t>
        </is>
      </c>
      <c r="B96" s="1" t="n">
        <v>44740</v>
      </c>
      <c r="C96" s="1" t="n">
        <v>45875</v>
      </c>
      <c r="D96" t="inlineStr">
        <is>
          <t>JÖNKÖPINGS LÄN</t>
        </is>
      </c>
      <c r="E96" t="inlineStr">
        <is>
          <t>VETLANDA</t>
        </is>
      </c>
      <c r="F96" t="inlineStr">
        <is>
          <t>Kyrkan</t>
        </is>
      </c>
      <c r="G96" t="n">
        <v>9.1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Adam och eva</t>
        </is>
      </c>
      <c r="S96">
        <f>HYPERLINK("https://klasma.github.io/Logging_0685/artfynd/A 26920-2022 artfynd.xlsx", "A 26920-2022")</f>
        <v/>
      </c>
      <c r="T96">
        <f>HYPERLINK("https://klasma.github.io/Logging_0685/kartor/A 26920-2022 karta.png", "A 26920-2022")</f>
        <v/>
      </c>
      <c r="V96">
        <f>HYPERLINK("https://klasma.github.io/Logging_0685/klagomål/A 26920-2022 FSC-klagomål.docx", "A 26920-2022")</f>
        <v/>
      </c>
      <c r="W96">
        <f>HYPERLINK("https://klasma.github.io/Logging_0685/klagomålsmail/A 26920-2022 FSC-klagomål mail.docx", "A 26920-2022")</f>
        <v/>
      </c>
      <c r="X96">
        <f>HYPERLINK("https://klasma.github.io/Logging_0685/tillsyn/A 26920-2022 tillsynsbegäran.docx", "A 26920-2022")</f>
        <v/>
      </c>
      <c r="Y96">
        <f>HYPERLINK("https://klasma.github.io/Logging_0685/tillsynsmail/A 26920-2022 tillsynsbegäran mail.docx", "A 26920-2022")</f>
        <v/>
      </c>
    </row>
    <row r="97" ht="15" customHeight="1">
      <c r="A97" t="inlineStr">
        <is>
          <t>A 28349-2022</t>
        </is>
      </c>
      <c r="B97" s="1" t="n">
        <v>44747</v>
      </c>
      <c r="C97" s="1" t="n">
        <v>45875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HYPERLINK("https://klasma.github.io/Logging_0685/artfynd/A 28349-2022 artfynd.xlsx", "A 28349-2022")</f>
        <v/>
      </c>
      <c r="T97">
        <f>HYPERLINK("https://klasma.github.io/Logging_0685/kartor/A 28349-2022 karta.png", "A 28349-2022")</f>
        <v/>
      </c>
      <c r="V97">
        <f>HYPERLINK("https://klasma.github.io/Logging_0685/klagomål/A 28349-2022 FSC-klagomål.docx", "A 28349-2022")</f>
        <v/>
      </c>
      <c r="W97">
        <f>HYPERLINK("https://klasma.github.io/Logging_0685/klagomålsmail/A 28349-2022 FSC-klagomål mail.docx", "A 28349-2022")</f>
        <v/>
      </c>
      <c r="X97">
        <f>HYPERLINK("https://klasma.github.io/Logging_0685/tillsyn/A 28349-2022 tillsynsbegäran.docx", "A 28349-2022")</f>
        <v/>
      </c>
      <c r="Y97">
        <f>HYPERLINK("https://klasma.github.io/Logging_0685/tillsynsmail/A 28349-2022 tillsynsbegäran mail.docx", "A 28349-2022")</f>
        <v/>
      </c>
    </row>
    <row r="98" ht="15" customHeight="1">
      <c r="A98" t="inlineStr">
        <is>
          <t>A 39612-2022</t>
        </is>
      </c>
      <c r="B98" s="1" t="n">
        <v>44818</v>
      </c>
      <c r="C98" s="1" t="n">
        <v>45875</v>
      </c>
      <c r="D98" t="inlineStr">
        <is>
          <t>JÖNKÖPINGS LÄN</t>
        </is>
      </c>
      <c r="E98" t="inlineStr">
        <is>
          <t>VETLANDA</t>
        </is>
      </c>
      <c r="G98" t="n">
        <v>7.6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HYPERLINK("https://klasma.github.io/Logging_0685/artfynd/A 39612-2022 artfynd.xlsx", "A 39612-2022")</f>
        <v/>
      </c>
      <c r="T98">
        <f>HYPERLINK("https://klasma.github.io/Logging_0685/kartor/A 39612-2022 karta.png", "A 39612-2022")</f>
        <v/>
      </c>
      <c r="V98">
        <f>HYPERLINK("https://klasma.github.io/Logging_0685/klagomål/A 39612-2022 FSC-klagomål.docx", "A 39612-2022")</f>
        <v/>
      </c>
      <c r="W98">
        <f>HYPERLINK("https://klasma.github.io/Logging_0685/klagomålsmail/A 39612-2022 FSC-klagomål mail.docx", "A 39612-2022")</f>
        <v/>
      </c>
      <c r="X98">
        <f>HYPERLINK("https://klasma.github.io/Logging_0685/tillsyn/A 39612-2022 tillsynsbegäran.docx", "A 39612-2022")</f>
        <v/>
      </c>
      <c r="Y98">
        <f>HYPERLINK("https://klasma.github.io/Logging_0685/tillsynsmail/A 39612-2022 tillsynsbegäran mail.docx", "A 39612-2022")</f>
        <v/>
      </c>
    </row>
    <row r="99" ht="15" customHeight="1">
      <c r="A99" t="inlineStr">
        <is>
          <t>A 39857-2022</t>
        </is>
      </c>
      <c r="B99" s="1" t="n">
        <v>44819</v>
      </c>
      <c r="C99" s="1" t="n">
        <v>45875</v>
      </c>
      <c r="D99" t="inlineStr">
        <is>
          <t>JÖNKÖPINGS LÄN</t>
        </is>
      </c>
      <c r="E99" t="inlineStr">
        <is>
          <t>VETLANDA</t>
        </is>
      </c>
      <c r="G99" t="n">
        <v>11.8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HYPERLINK("https://klasma.github.io/Logging_0685/artfynd/A 39857-2022 artfynd.xlsx", "A 39857-2022")</f>
        <v/>
      </c>
      <c r="T99">
        <f>HYPERLINK("https://klasma.github.io/Logging_0685/kartor/A 39857-2022 karta.png", "A 39857-2022")</f>
        <v/>
      </c>
      <c r="V99">
        <f>HYPERLINK("https://klasma.github.io/Logging_0685/klagomål/A 39857-2022 FSC-klagomål.docx", "A 39857-2022")</f>
        <v/>
      </c>
      <c r="W99">
        <f>HYPERLINK("https://klasma.github.io/Logging_0685/klagomålsmail/A 39857-2022 FSC-klagomål mail.docx", "A 39857-2022")</f>
        <v/>
      </c>
      <c r="X99">
        <f>HYPERLINK("https://klasma.github.io/Logging_0685/tillsyn/A 39857-2022 tillsynsbegäran.docx", "A 39857-2022")</f>
        <v/>
      </c>
      <c r="Y99">
        <f>HYPERLINK("https://klasma.github.io/Logging_0685/tillsynsmail/A 39857-2022 tillsynsbegäran mail.docx", "A 39857-2022")</f>
        <v/>
      </c>
    </row>
    <row r="100" ht="15" customHeight="1">
      <c r="A100" t="inlineStr">
        <is>
          <t>A 42142-2022</t>
        </is>
      </c>
      <c r="B100" s="1" t="n">
        <v>44830</v>
      </c>
      <c r="C100" s="1" t="n">
        <v>45875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42142-2022 artfynd.xlsx", "A 42142-2022")</f>
        <v/>
      </c>
      <c r="T100">
        <f>HYPERLINK("https://klasma.github.io/Logging_0685/kartor/A 42142-2022 karta.png", "A 42142-2022")</f>
        <v/>
      </c>
      <c r="V100">
        <f>HYPERLINK("https://klasma.github.io/Logging_0685/klagomål/A 42142-2022 FSC-klagomål.docx", "A 42142-2022")</f>
        <v/>
      </c>
      <c r="W100">
        <f>HYPERLINK("https://klasma.github.io/Logging_0685/klagomålsmail/A 42142-2022 FSC-klagomål mail.docx", "A 42142-2022")</f>
        <v/>
      </c>
      <c r="X100">
        <f>HYPERLINK("https://klasma.github.io/Logging_0685/tillsyn/A 42142-2022 tillsynsbegäran.docx", "A 42142-2022")</f>
        <v/>
      </c>
      <c r="Y100">
        <f>HYPERLINK("https://klasma.github.io/Logging_0685/tillsynsmail/A 42142-2022 tillsynsbegäran mail.docx", "A 42142-2022")</f>
        <v/>
      </c>
    </row>
    <row r="101" ht="15" customHeight="1">
      <c r="A101" t="inlineStr">
        <is>
          <t>A 43385-2022</t>
        </is>
      </c>
      <c r="B101" s="1" t="n">
        <v>44834</v>
      </c>
      <c r="C101" s="1" t="n">
        <v>45875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Senfibbla</t>
        </is>
      </c>
      <c r="S101">
        <f>HYPERLINK("https://klasma.github.io/Logging_0685/artfynd/A 43385-2022 artfynd.xlsx", "A 43385-2022")</f>
        <v/>
      </c>
      <c r="T101">
        <f>HYPERLINK("https://klasma.github.io/Logging_0685/kartor/A 43385-2022 karta.png", "A 43385-2022")</f>
        <v/>
      </c>
      <c r="V101">
        <f>HYPERLINK("https://klasma.github.io/Logging_0685/klagomål/A 43385-2022 FSC-klagomål.docx", "A 43385-2022")</f>
        <v/>
      </c>
      <c r="W101">
        <f>HYPERLINK("https://klasma.github.io/Logging_0685/klagomålsmail/A 43385-2022 FSC-klagomål mail.docx", "A 43385-2022")</f>
        <v/>
      </c>
      <c r="X101">
        <f>HYPERLINK("https://klasma.github.io/Logging_0685/tillsyn/A 43385-2022 tillsynsbegäran.docx", "A 43385-2022")</f>
        <v/>
      </c>
      <c r="Y101">
        <f>HYPERLINK("https://klasma.github.io/Logging_0685/tillsynsmail/A 43385-2022 tillsynsbegäran mail.docx", "A 43385-2022")</f>
        <v/>
      </c>
    </row>
    <row r="102" ht="15" customHeight="1">
      <c r="A102" t="inlineStr">
        <is>
          <t>A 53741-2022</t>
        </is>
      </c>
      <c r="B102" s="1" t="n">
        <v>44880</v>
      </c>
      <c r="C102" s="1" t="n">
        <v>45875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HYPERLINK("https://klasma.github.io/Logging_0685/artfynd/A 53741-2022 artfynd.xlsx", "A 53741-2022")</f>
        <v/>
      </c>
      <c r="T102">
        <f>HYPERLINK("https://klasma.github.io/Logging_0685/kartor/A 53741-2022 karta.png", "A 53741-2022")</f>
        <v/>
      </c>
      <c r="V102">
        <f>HYPERLINK("https://klasma.github.io/Logging_0685/klagomål/A 53741-2022 FSC-klagomål.docx", "A 53741-2022")</f>
        <v/>
      </c>
      <c r="W102">
        <f>HYPERLINK("https://klasma.github.io/Logging_0685/klagomålsmail/A 53741-2022 FSC-klagomål mail.docx", "A 53741-2022")</f>
        <v/>
      </c>
      <c r="X102">
        <f>HYPERLINK("https://klasma.github.io/Logging_0685/tillsyn/A 53741-2022 tillsynsbegäran.docx", "A 53741-2022")</f>
        <v/>
      </c>
      <c r="Y102">
        <f>HYPERLINK("https://klasma.github.io/Logging_0685/tillsynsmail/A 53741-2022 tillsynsbegäran mail.docx", "A 53741-2022")</f>
        <v/>
      </c>
    </row>
    <row r="103" ht="15" customHeight="1">
      <c r="A103" t="inlineStr">
        <is>
          <t>A 56262-2022</t>
        </is>
      </c>
      <c r="B103" s="1" t="n">
        <v>44890</v>
      </c>
      <c r="C103" s="1" t="n">
        <v>45875</v>
      </c>
      <c r="D103" t="inlineStr">
        <is>
          <t>JÖNKÖPINGS LÄN</t>
        </is>
      </c>
      <c r="E103" t="inlineStr">
        <is>
          <t>VETLANDA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HYPERLINK("https://klasma.github.io/Logging_0685/artfynd/A 56262-2022 artfynd.xlsx", "A 56262-2022")</f>
        <v/>
      </c>
      <c r="T103">
        <f>HYPERLINK("https://klasma.github.io/Logging_0685/kartor/A 56262-2022 karta.png", "A 56262-2022")</f>
        <v/>
      </c>
      <c r="V103">
        <f>HYPERLINK("https://klasma.github.io/Logging_0685/klagomål/A 56262-2022 FSC-klagomål.docx", "A 56262-2022")</f>
        <v/>
      </c>
      <c r="W103">
        <f>HYPERLINK("https://klasma.github.io/Logging_0685/klagomålsmail/A 56262-2022 FSC-klagomål mail.docx", "A 56262-2022")</f>
        <v/>
      </c>
      <c r="X103">
        <f>HYPERLINK("https://klasma.github.io/Logging_0685/tillsyn/A 56262-2022 tillsynsbegäran.docx", "A 56262-2022")</f>
        <v/>
      </c>
      <c r="Y103">
        <f>HYPERLINK("https://klasma.github.io/Logging_0685/tillsynsmail/A 56262-2022 tillsynsbegäran mail.docx", "A 56262-2022")</f>
        <v/>
      </c>
    </row>
    <row r="104" ht="15" customHeight="1">
      <c r="A104" t="inlineStr">
        <is>
          <t>A 59894-2022</t>
        </is>
      </c>
      <c r="B104" s="1" t="n">
        <v>44908</v>
      </c>
      <c r="C104" s="1" t="n">
        <v>45875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Backklöver</t>
        </is>
      </c>
      <c r="S104">
        <f>HYPERLINK("https://klasma.github.io/Logging_0685/artfynd/A 59894-2022 artfynd.xlsx", "A 59894-2022")</f>
        <v/>
      </c>
      <c r="T104">
        <f>HYPERLINK("https://klasma.github.io/Logging_0685/kartor/A 59894-2022 karta.png", "A 59894-2022")</f>
        <v/>
      </c>
      <c r="V104">
        <f>HYPERLINK("https://klasma.github.io/Logging_0685/klagomål/A 59894-2022 FSC-klagomål.docx", "A 59894-2022")</f>
        <v/>
      </c>
      <c r="W104">
        <f>HYPERLINK("https://klasma.github.io/Logging_0685/klagomålsmail/A 59894-2022 FSC-klagomål mail.docx", "A 59894-2022")</f>
        <v/>
      </c>
      <c r="X104">
        <f>HYPERLINK("https://klasma.github.io/Logging_0685/tillsyn/A 59894-2022 tillsynsbegäran.docx", "A 59894-2022")</f>
        <v/>
      </c>
      <c r="Y104">
        <f>HYPERLINK("https://klasma.github.io/Logging_0685/tillsynsmail/A 59894-2022 tillsynsbegäran mail.docx", "A 59894-2022")</f>
        <v/>
      </c>
    </row>
    <row r="105" ht="15" customHeight="1">
      <c r="A105" t="inlineStr">
        <is>
          <t>A 61446-2022</t>
        </is>
      </c>
      <c r="B105" s="1" t="n">
        <v>44916</v>
      </c>
      <c r="C105" s="1" t="n">
        <v>45875</v>
      </c>
      <c r="D105" t="inlineStr">
        <is>
          <t>JÖNKÖPINGS LÄN</t>
        </is>
      </c>
      <c r="E105" t="inlineStr">
        <is>
          <t>VETLANDA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Krokfibbla</t>
        </is>
      </c>
      <c r="S105">
        <f>HYPERLINK("https://klasma.github.io/Logging_0685/artfynd/A 61446-2022 artfynd.xlsx", "A 61446-2022")</f>
        <v/>
      </c>
      <c r="T105">
        <f>HYPERLINK("https://klasma.github.io/Logging_0685/kartor/A 61446-2022 karta.png", "A 61446-2022")</f>
        <v/>
      </c>
      <c r="V105">
        <f>HYPERLINK("https://klasma.github.io/Logging_0685/klagomål/A 61446-2022 FSC-klagomål.docx", "A 61446-2022")</f>
        <v/>
      </c>
      <c r="W105">
        <f>HYPERLINK("https://klasma.github.io/Logging_0685/klagomålsmail/A 61446-2022 FSC-klagomål mail.docx", "A 61446-2022")</f>
        <v/>
      </c>
      <c r="X105">
        <f>HYPERLINK("https://klasma.github.io/Logging_0685/tillsyn/A 61446-2022 tillsynsbegäran.docx", "A 61446-2022")</f>
        <v/>
      </c>
      <c r="Y105">
        <f>HYPERLINK("https://klasma.github.io/Logging_0685/tillsynsmail/A 61446-2022 tillsynsbegäran mail.docx", "A 61446-2022")</f>
        <v/>
      </c>
    </row>
    <row r="106" ht="15" customHeight="1">
      <c r="A106" t="inlineStr">
        <is>
          <t>A 5369-2023</t>
        </is>
      </c>
      <c r="B106" s="1" t="n">
        <v>44959</v>
      </c>
      <c r="C106" s="1" t="n">
        <v>45875</v>
      </c>
      <c r="D106" t="inlineStr">
        <is>
          <t>JÖNKÖPINGS LÄN</t>
        </is>
      </c>
      <c r="E106" t="inlineStr">
        <is>
          <t>VETLANDA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Trollsmultron</t>
        </is>
      </c>
      <c r="S106">
        <f>HYPERLINK("https://klasma.github.io/Logging_0685/artfynd/A 5369-2023 artfynd.xlsx", "A 5369-2023")</f>
        <v/>
      </c>
      <c r="T106">
        <f>HYPERLINK("https://klasma.github.io/Logging_0685/kartor/A 5369-2023 karta.png", "A 5369-2023")</f>
        <v/>
      </c>
      <c r="V106">
        <f>HYPERLINK("https://klasma.github.io/Logging_0685/klagomål/A 5369-2023 FSC-klagomål.docx", "A 5369-2023")</f>
        <v/>
      </c>
      <c r="W106">
        <f>HYPERLINK("https://klasma.github.io/Logging_0685/klagomålsmail/A 5369-2023 FSC-klagomål mail.docx", "A 5369-2023")</f>
        <v/>
      </c>
      <c r="X106">
        <f>HYPERLINK("https://klasma.github.io/Logging_0685/tillsyn/A 5369-2023 tillsynsbegäran.docx", "A 5369-2023")</f>
        <v/>
      </c>
      <c r="Y106">
        <f>HYPERLINK("https://klasma.github.io/Logging_0685/tillsynsmail/A 5369-2023 tillsynsbegäran mail.docx", "A 5369-2023")</f>
        <v/>
      </c>
    </row>
    <row r="107" ht="15" customHeight="1">
      <c r="A107" t="inlineStr">
        <is>
          <t>A 10919-2023</t>
        </is>
      </c>
      <c r="B107" s="1" t="n">
        <v>44991</v>
      </c>
      <c r="C107" s="1" t="n">
        <v>45875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HYPERLINK("https://klasma.github.io/Logging_0685/artfynd/A 10919-2023 artfynd.xlsx", "A 10919-2023")</f>
        <v/>
      </c>
      <c r="T107">
        <f>HYPERLINK("https://klasma.github.io/Logging_0685/kartor/A 10919-2023 karta.png", "A 10919-2023")</f>
        <v/>
      </c>
      <c r="V107">
        <f>HYPERLINK("https://klasma.github.io/Logging_0685/klagomål/A 10919-2023 FSC-klagomål.docx", "A 10919-2023")</f>
        <v/>
      </c>
      <c r="W107">
        <f>HYPERLINK("https://klasma.github.io/Logging_0685/klagomålsmail/A 10919-2023 FSC-klagomål mail.docx", "A 10919-2023")</f>
        <v/>
      </c>
      <c r="X107">
        <f>HYPERLINK("https://klasma.github.io/Logging_0685/tillsyn/A 10919-2023 tillsynsbegäran.docx", "A 10919-2023")</f>
        <v/>
      </c>
      <c r="Y107">
        <f>HYPERLINK("https://klasma.github.io/Logging_0685/tillsynsmail/A 10919-2023 tillsynsbegäran mail.docx", "A 10919-2023")</f>
        <v/>
      </c>
    </row>
    <row r="108" ht="15" customHeight="1">
      <c r="A108" t="inlineStr">
        <is>
          <t>A 14083-2023</t>
        </is>
      </c>
      <c r="B108" s="1" t="n">
        <v>45009</v>
      </c>
      <c r="C108" s="1" t="n">
        <v>45875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Spindelört</t>
        </is>
      </c>
      <c r="S108">
        <f>HYPERLINK("https://klasma.github.io/Logging_0685/artfynd/A 14083-2023 artfynd.xlsx", "A 14083-2023")</f>
        <v/>
      </c>
      <c r="T108">
        <f>HYPERLINK("https://klasma.github.io/Logging_0685/kartor/A 14083-2023 karta.png", "A 14083-2023")</f>
        <v/>
      </c>
      <c r="V108">
        <f>HYPERLINK("https://klasma.github.io/Logging_0685/klagomål/A 14083-2023 FSC-klagomål.docx", "A 14083-2023")</f>
        <v/>
      </c>
      <c r="W108">
        <f>HYPERLINK("https://klasma.github.io/Logging_0685/klagomålsmail/A 14083-2023 FSC-klagomål mail.docx", "A 14083-2023")</f>
        <v/>
      </c>
      <c r="X108">
        <f>HYPERLINK("https://klasma.github.io/Logging_0685/tillsyn/A 14083-2023 tillsynsbegäran.docx", "A 14083-2023")</f>
        <v/>
      </c>
      <c r="Y108">
        <f>HYPERLINK("https://klasma.github.io/Logging_0685/tillsynsmail/A 14083-2023 tillsynsbegäran mail.docx", "A 14083-2023")</f>
        <v/>
      </c>
    </row>
    <row r="109" ht="15" customHeight="1">
      <c r="A109" t="inlineStr">
        <is>
          <t>A 15659-2023</t>
        </is>
      </c>
      <c r="B109" s="1" t="n">
        <v>45021</v>
      </c>
      <c r="C109" s="1" t="n">
        <v>45875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Trollsmultron</t>
        </is>
      </c>
      <c r="S109">
        <f>HYPERLINK("https://klasma.github.io/Logging_0685/artfynd/A 15659-2023 artfynd.xlsx", "A 15659-2023")</f>
        <v/>
      </c>
      <c r="T109">
        <f>HYPERLINK("https://klasma.github.io/Logging_0685/kartor/A 15659-2023 karta.png", "A 15659-2023")</f>
        <v/>
      </c>
      <c r="V109">
        <f>HYPERLINK("https://klasma.github.io/Logging_0685/klagomål/A 15659-2023 FSC-klagomål.docx", "A 15659-2023")</f>
        <v/>
      </c>
      <c r="W109">
        <f>HYPERLINK("https://klasma.github.io/Logging_0685/klagomålsmail/A 15659-2023 FSC-klagomål mail.docx", "A 15659-2023")</f>
        <v/>
      </c>
      <c r="X109">
        <f>HYPERLINK("https://klasma.github.io/Logging_0685/tillsyn/A 15659-2023 tillsynsbegäran.docx", "A 15659-2023")</f>
        <v/>
      </c>
      <c r="Y109">
        <f>HYPERLINK("https://klasma.github.io/Logging_0685/tillsynsmail/A 15659-2023 tillsynsbegäran mail.docx", "A 15659-2023")</f>
        <v/>
      </c>
    </row>
    <row r="110" ht="15" customHeight="1">
      <c r="A110" t="inlineStr">
        <is>
          <t>A 24945-2023</t>
        </is>
      </c>
      <c r="B110" s="1" t="n">
        <v>45085</v>
      </c>
      <c r="C110" s="1" t="n">
        <v>45875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Skarp dropptaggsvamp</t>
        </is>
      </c>
      <c r="S110">
        <f>HYPERLINK("https://klasma.github.io/Logging_0685/artfynd/A 24945-2023 artfynd.xlsx", "A 24945-2023")</f>
        <v/>
      </c>
      <c r="T110">
        <f>HYPERLINK("https://klasma.github.io/Logging_0685/kartor/A 24945-2023 karta.png", "A 24945-2023")</f>
        <v/>
      </c>
      <c r="V110">
        <f>HYPERLINK("https://klasma.github.io/Logging_0685/klagomål/A 24945-2023 FSC-klagomål.docx", "A 24945-2023")</f>
        <v/>
      </c>
      <c r="W110">
        <f>HYPERLINK("https://klasma.github.io/Logging_0685/klagomålsmail/A 24945-2023 FSC-klagomål mail.docx", "A 24945-2023")</f>
        <v/>
      </c>
      <c r="X110">
        <f>HYPERLINK("https://klasma.github.io/Logging_0685/tillsyn/A 24945-2023 tillsynsbegäran.docx", "A 24945-2023")</f>
        <v/>
      </c>
      <c r="Y110">
        <f>HYPERLINK("https://klasma.github.io/Logging_0685/tillsynsmail/A 24945-2023 tillsynsbegäran mail.docx", "A 24945-2023")</f>
        <v/>
      </c>
    </row>
    <row r="111" ht="15" customHeight="1">
      <c r="A111" t="inlineStr">
        <is>
          <t>A 27548-2023</t>
        </is>
      </c>
      <c r="B111" s="1" t="n">
        <v>45092</v>
      </c>
      <c r="C111" s="1" t="n">
        <v>45875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27548-2023 artfynd.xlsx", "A 27548-2023")</f>
        <v/>
      </c>
      <c r="T111">
        <f>HYPERLINK("https://klasma.github.io/Logging_0685/kartor/A 27548-2023 karta.png", "A 27548-2023")</f>
        <v/>
      </c>
      <c r="V111">
        <f>HYPERLINK("https://klasma.github.io/Logging_0685/klagomål/A 27548-2023 FSC-klagomål.docx", "A 27548-2023")</f>
        <v/>
      </c>
      <c r="W111">
        <f>HYPERLINK("https://klasma.github.io/Logging_0685/klagomålsmail/A 27548-2023 FSC-klagomål mail.docx", "A 27548-2023")</f>
        <v/>
      </c>
      <c r="X111">
        <f>HYPERLINK("https://klasma.github.io/Logging_0685/tillsyn/A 27548-2023 tillsynsbegäran.docx", "A 27548-2023")</f>
        <v/>
      </c>
      <c r="Y111">
        <f>HYPERLINK("https://klasma.github.io/Logging_0685/tillsynsmail/A 27548-2023 tillsynsbegäran mail.docx", "A 27548-2023")</f>
        <v/>
      </c>
    </row>
    <row r="112" ht="15" customHeight="1">
      <c r="A112" t="inlineStr">
        <is>
          <t>A 28407-2023</t>
        </is>
      </c>
      <c r="B112" s="1" t="n">
        <v>45101</v>
      </c>
      <c r="C112" s="1" t="n">
        <v>45875</v>
      </c>
      <c r="D112" t="inlineStr">
        <is>
          <t>JÖNKÖPINGS LÄN</t>
        </is>
      </c>
      <c r="E112" t="inlineStr">
        <is>
          <t>VETLANDA</t>
        </is>
      </c>
      <c r="G112" t="n">
        <v>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28407-2023 artfynd.xlsx", "A 28407-2023")</f>
        <v/>
      </c>
      <c r="T112">
        <f>HYPERLINK("https://klasma.github.io/Logging_0685/kartor/A 28407-2023 karta.png", "A 28407-2023")</f>
        <v/>
      </c>
      <c r="U112">
        <f>HYPERLINK("https://klasma.github.io/Logging_0685/knärot/A 28407-2023 karta knärot.png", "A 28407-2023")</f>
        <v/>
      </c>
      <c r="V112">
        <f>HYPERLINK("https://klasma.github.io/Logging_0685/klagomål/A 28407-2023 FSC-klagomål.docx", "A 28407-2023")</f>
        <v/>
      </c>
      <c r="W112">
        <f>HYPERLINK("https://klasma.github.io/Logging_0685/klagomålsmail/A 28407-2023 FSC-klagomål mail.docx", "A 28407-2023")</f>
        <v/>
      </c>
      <c r="X112">
        <f>HYPERLINK("https://klasma.github.io/Logging_0685/tillsyn/A 28407-2023 tillsynsbegäran.docx", "A 28407-2023")</f>
        <v/>
      </c>
      <c r="Y112">
        <f>HYPERLINK("https://klasma.github.io/Logging_0685/tillsynsmail/A 28407-2023 tillsynsbegäran mail.docx", "A 28407-2023")</f>
        <v/>
      </c>
    </row>
    <row r="113" ht="15" customHeight="1">
      <c r="A113" t="inlineStr">
        <is>
          <t>A 28829-2023</t>
        </is>
      </c>
      <c r="B113" s="1" t="n">
        <v>45104</v>
      </c>
      <c r="C113" s="1" t="n">
        <v>45875</v>
      </c>
      <c r="D113" t="inlineStr">
        <is>
          <t>JÖNKÖPINGS LÄN</t>
        </is>
      </c>
      <c r="E113" t="inlineStr">
        <is>
          <t>VETLANDA</t>
        </is>
      </c>
      <c r="G113" t="n">
        <v>8.6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 glada</t>
        </is>
      </c>
      <c r="S113">
        <f>HYPERLINK("https://klasma.github.io/Logging_0685/artfynd/A 28829-2023 artfynd.xlsx", "A 28829-2023")</f>
        <v/>
      </c>
      <c r="T113">
        <f>HYPERLINK("https://klasma.github.io/Logging_0685/kartor/A 28829-2023 karta.png", "A 28829-2023")</f>
        <v/>
      </c>
      <c r="V113">
        <f>HYPERLINK("https://klasma.github.io/Logging_0685/klagomål/A 28829-2023 FSC-klagomål.docx", "A 28829-2023")</f>
        <v/>
      </c>
      <c r="W113">
        <f>HYPERLINK("https://klasma.github.io/Logging_0685/klagomålsmail/A 28829-2023 FSC-klagomål mail.docx", "A 28829-2023")</f>
        <v/>
      </c>
      <c r="X113">
        <f>HYPERLINK("https://klasma.github.io/Logging_0685/tillsyn/A 28829-2023 tillsynsbegäran.docx", "A 28829-2023")</f>
        <v/>
      </c>
      <c r="Y113">
        <f>HYPERLINK("https://klasma.github.io/Logging_0685/tillsynsmail/A 28829-2023 tillsynsbegäran mail.docx", "A 28829-2023")</f>
        <v/>
      </c>
      <c r="Z113">
        <f>HYPERLINK("https://klasma.github.io/Logging_0685/fåglar/A 28829-2023 prioriterade fågelarter.docx", "A 28829-2023")</f>
        <v/>
      </c>
    </row>
    <row r="114" ht="15" customHeight="1">
      <c r="A114" t="inlineStr">
        <is>
          <t>A 29027-2023</t>
        </is>
      </c>
      <c r="B114" s="1" t="n">
        <v>45104</v>
      </c>
      <c r="C114" s="1" t="n">
        <v>45875</v>
      </c>
      <c r="D114" t="inlineStr">
        <is>
          <t>JÖNKÖPINGS LÄN</t>
        </is>
      </c>
      <c r="E114" t="inlineStr">
        <is>
          <t>VETLANDA</t>
        </is>
      </c>
      <c r="G114" t="n">
        <v>10.1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29027-2023 artfynd.xlsx", "A 29027-2023")</f>
        <v/>
      </c>
      <c r="T114">
        <f>HYPERLINK("https://klasma.github.io/Logging_0685/kartor/A 29027-2023 karta.png", "A 29027-2023")</f>
        <v/>
      </c>
      <c r="U114">
        <f>HYPERLINK("https://klasma.github.io/Logging_0685/knärot/A 29027-2023 karta knärot.png", "A 29027-2023")</f>
        <v/>
      </c>
      <c r="V114">
        <f>HYPERLINK("https://klasma.github.io/Logging_0685/klagomål/A 29027-2023 FSC-klagomål.docx", "A 29027-2023")</f>
        <v/>
      </c>
      <c r="W114">
        <f>HYPERLINK("https://klasma.github.io/Logging_0685/klagomålsmail/A 29027-2023 FSC-klagomål mail.docx", "A 29027-2023")</f>
        <v/>
      </c>
      <c r="X114">
        <f>HYPERLINK("https://klasma.github.io/Logging_0685/tillsyn/A 29027-2023 tillsynsbegäran.docx", "A 29027-2023")</f>
        <v/>
      </c>
      <c r="Y114">
        <f>HYPERLINK("https://klasma.github.io/Logging_0685/tillsynsmail/A 29027-2023 tillsynsbegäran mail.docx", "A 29027-2023")</f>
        <v/>
      </c>
    </row>
    <row r="115" ht="15" customHeight="1">
      <c r="A115" t="inlineStr">
        <is>
          <t>A 43157-2023</t>
        </is>
      </c>
      <c r="B115" s="1" t="n">
        <v>45183</v>
      </c>
      <c r="C115" s="1" t="n">
        <v>45875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43157-2023 artfynd.xlsx", "A 43157-2023")</f>
        <v/>
      </c>
      <c r="T115">
        <f>HYPERLINK("https://klasma.github.io/Logging_0685/kartor/A 43157-2023 karta.png", "A 43157-2023")</f>
        <v/>
      </c>
      <c r="V115">
        <f>HYPERLINK("https://klasma.github.io/Logging_0685/klagomål/A 43157-2023 FSC-klagomål.docx", "A 43157-2023")</f>
        <v/>
      </c>
      <c r="W115">
        <f>HYPERLINK("https://klasma.github.io/Logging_0685/klagomålsmail/A 43157-2023 FSC-klagomål mail.docx", "A 43157-2023")</f>
        <v/>
      </c>
      <c r="X115">
        <f>HYPERLINK("https://klasma.github.io/Logging_0685/tillsyn/A 43157-2023 tillsynsbegäran.docx", "A 43157-2023")</f>
        <v/>
      </c>
      <c r="Y115">
        <f>HYPERLINK("https://klasma.github.io/Logging_0685/tillsynsmail/A 43157-2023 tillsynsbegäran mail.docx", "A 43157-2023")</f>
        <v/>
      </c>
    </row>
    <row r="116" ht="15" customHeight="1">
      <c r="A116" t="inlineStr">
        <is>
          <t>A 45170-2023</t>
        </is>
      </c>
      <c r="B116" s="1" t="n">
        <v>45191</v>
      </c>
      <c r="C116" s="1" t="n">
        <v>45875</v>
      </c>
      <c r="D116" t="inlineStr">
        <is>
          <t>JÖNKÖPINGS LÄN</t>
        </is>
      </c>
      <c r="E116" t="inlineStr">
        <is>
          <t>VETLANDA</t>
        </is>
      </c>
      <c r="G116" t="n">
        <v>4.2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HYPERLINK("https://klasma.github.io/Logging_0685/artfynd/A 45170-2023 artfynd.xlsx", "A 45170-2023")</f>
        <v/>
      </c>
      <c r="T116">
        <f>HYPERLINK("https://klasma.github.io/Logging_0685/kartor/A 45170-2023 karta.png", "A 45170-2023")</f>
        <v/>
      </c>
      <c r="V116">
        <f>HYPERLINK("https://klasma.github.io/Logging_0685/klagomål/A 45170-2023 FSC-klagomål.docx", "A 45170-2023")</f>
        <v/>
      </c>
      <c r="W116">
        <f>HYPERLINK("https://klasma.github.io/Logging_0685/klagomålsmail/A 45170-2023 FSC-klagomål mail.docx", "A 45170-2023")</f>
        <v/>
      </c>
      <c r="X116">
        <f>HYPERLINK("https://klasma.github.io/Logging_0685/tillsyn/A 45170-2023 tillsynsbegäran.docx", "A 45170-2023")</f>
        <v/>
      </c>
      <c r="Y116">
        <f>HYPERLINK("https://klasma.github.io/Logging_0685/tillsynsmail/A 45170-2023 tillsynsbegäran mail.docx", "A 45170-2023")</f>
        <v/>
      </c>
    </row>
    <row r="117" ht="15" customHeight="1">
      <c r="A117" t="inlineStr">
        <is>
          <t>A 57111-2023</t>
        </is>
      </c>
      <c r="B117" s="1" t="n">
        <v>45239</v>
      </c>
      <c r="C117" s="1" t="n">
        <v>45875</v>
      </c>
      <c r="D117" t="inlineStr">
        <is>
          <t>JÖNKÖPINGS LÄN</t>
        </is>
      </c>
      <c r="E117" t="inlineStr">
        <is>
          <t>VETLANDA</t>
        </is>
      </c>
      <c r="F117" t="inlineStr">
        <is>
          <t>Kyrkan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57111-2023 artfynd.xlsx", "A 57111-2023")</f>
        <v/>
      </c>
      <c r="T117">
        <f>HYPERLINK("https://klasma.github.io/Logging_0685/kartor/A 57111-2023 karta.png", "A 57111-2023")</f>
        <v/>
      </c>
      <c r="V117">
        <f>HYPERLINK("https://klasma.github.io/Logging_0685/klagomål/A 57111-2023 FSC-klagomål.docx", "A 57111-2023")</f>
        <v/>
      </c>
      <c r="W117">
        <f>HYPERLINK("https://klasma.github.io/Logging_0685/klagomålsmail/A 57111-2023 FSC-klagomål mail.docx", "A 57111-2023")</f>
        <v/>
      </c>
      <c r="X117">
        <f>HYPERLINK("https://klasma.github.io/Logging_0685/tillsyn/A 57111-2023 tillsynsbegäran.docx", "A 57111-2023")</f>
        <v/>
      </c>
      <c r="Y117">
        <f>HYPERLINK("https://klasma.github.io/Logging_0685/tillsynsmail/A 57111-2023 tillsynsbegäran mail.docx", "A 57111-2023")</f>
        <v/>
      </c>
    </row>
    <row r="118" ht="15" customHeight="1">
      <c r="A118" t="inlineStr">
        <is>
          <t>A 56147-2023</t>
        </is>
      </c>
      <c r="B118" s="1" t="n">
        <v>45240</v>
      </c>
      <c r="C118" s="1" t="n">
        <v>45875</v>
      </c>
      <c r="D118" t="inlineStr">
        <is>
          <t>JÖNKÖPINGS LÄN</t>
        </is>
      </c>
      <c r="E118" t="inlineStr">
        <is>
          <t>VETLANDA</t>
        </is>
      </c>
      <c r="G118" t="n">
        <v>1.2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Gräsull</t>
        </is>
      </c>
      <c r="S118">
        <f>HYPERLINK("https://klasma.github.io/Logging_0685/artfynd/A 56147-2023 artfynd.xlsx", "A 56147-2023")</f>
        <v/>
      </c>
      <c r="T118">
        <f>HYPERLINK("https://klasma.github.io/Logging_0685/kartor/A 56147-2023 karta.png", "A 56147-2023")</f>
        <v/>
      </c>
      <c r="V118">
        <f>HYPERLINK("https://klasma.github.io/Logging_0685/klagomål/A 56147-2023 FSC-klagomål.docx", "A 56147-2023")</f>
        <v/>
      </c>
      <c r="W118">
        <f>HYPERLINK("https://klasma.github.io/Logging_0685/klagomålsmail/A 56147-2023 FSC-klagomål mail.docx", "A 56147-2023")</f>
        <v/>
      </c>
      <c r="X118">
        <f>HYPERLINK("https://klasma.github.io/Logging_0685/tillsyn/A 56147-2023 tillsynsbegäran.docx", "A 56147-2023")</f>
        <v/>
      </c>
      <c r="Y118">
        <f>HYPERLINK("https://klasma.github.io/Logging_0685/tillsynsmail/A 56147-2023 tillsynsbegäran mail.docx", "A 56147-2023")</f>
        <v/>
      </c>
    </row>
    <row r="119" ht="15" customHeight="1">
      <c r="A119" t="inlineStr">
        <is>
          <t>A 60971-2023</t>
        </is>
      </c>
      <c r="B119" s="1" t="n">
        <v>45261</v>
      </c>
      <c r="C119" s="1" t="n">
        <v>45875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HYPERLINK("https://klasma.github.io/Logging_0685/artfynd/A 60971-2023 artfynd.xlsx", "A 60971-2023")</f>
        <v/>
      </c>
      <c r="T119">
        <f>HYPERLINK("https://klasma.github.io/Logging_0685/kartor/A 60971-2023 karta.png", "A 60971-2023")</f>
        <v/>
      </c>
      <c r="V119">
        <f>HYPERLINK("https://klasma.github.io/Logging_0685/klagomål/A 60971-2023 FSC-klagomål.docx", "A 60971-2023")</f>
        <v/>
      </c>
      <c r="W119">
        <f>HYPERLINK("https://klasma.github.io/Logging_0685/klagomålsmail/A 60971-2023 FSC-klagomål mail.docx", "A 60971-2023")</f>
        <v/>
      </c>
      <c r="X119">
        <f>HYPERLINK("https://klasma.github.io/Logging_0685/tillsyn/A 60971-2023 tillsynsbegäran.docx", "A 60971-2023")</f>
        <v/>
      </c>
      <c r="Y119">
        <f>HYPERLINK("https://klasma.github.io/Logging_0685/tillsynsmail/A 60971-2023 tillsynsbegäran mail.docx", "A 60971-2023")</f>
        <v/>
      </c>
    </row>
    <row r="120" ht="15" customHeight="1">
      <c r="A120" t="inlineStr">
        <is>
          <t>A 555-2024</t>
        </is>
      </c>
      <c r="B120" s="1" t="n">
        <v>45299</v>
      </c>
      <c r="C120" s="1" t="n">
        <v>45875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Skogsödla</t>
        </is>
      </c>
      <c r="S120">
        <f>HYPERLINK("https://klasma.github.io/Logging_0685/artfynd/A 555-2024 artfynd.xlsx", "A 555-2024")</f>
        <v/>
      </c>
      <c r="T120">
        <f>HYPERLINK("https://klasma.github.io/Logging_0685/kartor/A 555-2024 karta.png", "A 555-2024")</f>
        <v/>
      </c>
      <c r="V120">
        <f>HYPERLINK("https://klasma.github.io/Logging_0685/klagomål/A 555-2024 FSC-klagomål.docx", "A 555-2024")</f>
        <v/>
      </c>
      <c r="W120">
        <f>HYPERLINK("https://klasma.github.io/Logging_0685/klagomålsmail/A 555-2024 FSC-klagomål mail.docx", "A 555-2024")</f>
        <v/>
      </c>
      <c r="X120">
        <f>HYPERLINK("https://klasma.github.io/Logging_0685/tillsyn/A 555-2024 tillsynsbegäran.docx", "A 555-2024")</f>
        <v/>
      </c>
      <c r="Y120">
        <f>HYPERLINK("https://klasma.github.io/Logging_0685/tillsynsmail/A 555-2024 tillsynsbegäran mail.docx", "A 555-2024")</f>
        <v/>
      </c>
    </row>
    <row r="121" ht="15" customHeight="1">
      <c r="A121" t="inlineStr">
        <is>
          <t>A 3135-2024</t>
        </is>
      </c>
      <c r="B121" s="1" t="n">
        <v>45316</v>
      </c>
      <c r="C121" s="1" t="n">
        <v>45875</v>
      </c>
      <c r="D121" t="inlineStr">
        <is>
          <t>JÖNKÖPINGS LÄN</t>
        </is>
      </c>
      <c r="E121" t="inlineStr">
        <is>
          <t>VETLANDA</t>
        </is>
      </c>
      <c r="G121" t="n">
        <v>7.3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HYPERLINK("https://klasma.github.io/Logging_0685/artfynd/A 3135-2024 artfynd.xlsx", "A 3135-2024")</f>
        <v/>
      </c>
      <c r="T121">
        <f>HYPERLINK("https://klasma.github.io/Logging_0685/kartor/A 3135-2024 karta.png", "A 3135-2024")</f>
        <v/>
      </c>
      <c r="V121">
        <f>HYPERLINK("https://klasma.github.io/Logging_0685/klagomål/A 3135-2024 FSC-klagomål.docx", "A 3135-2024")</f>
        <v/>
      </c>
      <c r="W121">
        <f>HYPERLINK("https://klasma.github.io/Logging_0685/klagomålsmail/A 3135-2024 FSC-klagomål mail.docx", "A 3135-2024")</f>
        <v/>
      </c>
      <c r="X121">
        <f>HYPERLINK("https://klasma.github.io/Logging_0685/tillsyn/A 3135-2024 tillsynsbegäran.docx", "A 3135-2024")</f>
        <v/>
      </c>
      <c r="Y121">
        <f>HYPERLINK("https://klasma.github.io/Logging_0685/tillsynsmail/A 3135-2024 tillsynsbegäran mail.docx", "A 3135-2024")</f>
        <v/>
      </c>
    </row>
    <row r="122" ht="15" customHeight="1">
      <c r="A122" t="inlineStr">
        <is>
          <t>A 6777-2024</t>
        </is>
      </c>
      <c r="B122" s="1" t="n">
        <v>45342</v>
      </c>
      <c r="C122" s="1" t="n">
        <v>45875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HYPERLINK("https://klasma.github.io/Logging_0685/artfynd/A 6777-2024 artfynd.xlsx", "A 6777-2024")</f>
        <v/>
      </c>
      <c r="T122">
        <f>HYPERLINK("https://klasma.github.io/Logging_0685/kartor/A 6777-2024 karta.png", "A 6777-2024")</f>
        <v/>
      </c>
      <c r="V122">
        <f>HYPERLINK("https://klasma.github.io/Logging_0685/klagomål/A 6777-2024 FSC-klagomål.docx", "A 6777-2024")</f>
        <v/>
      </c>
      <c r="W122">
        <f>HYPERLINK("https://klasma.github.io/Logging_0685/klagomålsmail/A 6777-2024 FSC-klagomål mail.docx", "A 6777-2024")</f>
        <v/>
      </c>
      <c r="X122">
        <f>HYPERLINK("https://klasma.github.io/Logging_0685/tillsyn/A 6777-2024 tillsynsbegäran.docx", "A 6777-2024")</f>
        <v/>
      </c>
      <c r="Y122">
        <f>HYPERLINK("https://klasma.github.io/Logging_0685/tillsynsmail/A 6777-2024 tillsynsbegäran mail.docx", "A 6777-2024")</f>
        <v/>
      </c>
    </row>
    <row r="123" ht="15" customHeight="1">
      <c r="A123" t="inlineStr">
        <is>
          <t>A 8677-2024</t>
        </is>
      </c>
      <c r="B123" s="1" t="n">
        <v>45352</v>
      </c>
      <c r="C123" s="1" t="n">
        <v>45875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8677-2024 artfynd.xlsx", "A 8677-2024")</f>
        <v/>
      </c>
      <c r="T123">
        <f>HYPERLINK("https://klasma.github.io/Logging_0685/kartor/A 8677-2024 karta.png", "A 8677-2024")</f>
        <v/>
      </c>
      <c r="V123">
        <f>HYPERLINK("https://klasma.github.io/Logging_0685/klagomål/A 8677-2024 FSC-klagomål.docx", "A 8677-2024")</f>
        <v/>
      </c>
      <c r="W123">
        <f>HYPERLINK("https://klasma.github.io/Logging_0685/klagomålsmail/A 8677-2024 FSC-klagomål mail.docx", "A 8677-2024")</f>
        <v/>
      </c>
      <c r="X123">
        <f>HYPERLINK("https://klasma.github.io/Logging_0685/tillsyn/A 8677-2024 tillsynsbegäran.docx", "A 8677-2024")</f>
        <v/>
      </c>
      <c r="Y123">
        <f>HYPERLINK("https://klasma.github.io/Logging_0685/tillsynsmail/A 8677-2024 tillsynsbegäran mail.docx", "A 8677-2024")</f>
        <v/>
      </c>
    </row>
    <row r="124" ht="15" customHeight="1">
      <c r="A124" t="inlineStr">
        <is>
          <t>A 8976-2024</t>
        </is>
      </c>
      <c r="B124" s="1" t="n">
        <v>45357</v>
      </c>
      <c r="C124" s="1" t="n">
        <v>45875</v>
      </c>
      <c r="D124" t="inlineStr">
        <is>
          <t>JÖNKÖPINGS LÄN</t>
        </is>
      </c>
      <c r="E124" t="inlineStr">
        <is>
          <t>VETLANDA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Loppstarr</t>
        </is>
      </c>
      <c r="S124">
        <f>HYPERLINK("https://klasma.github.io/Logging_0685/artfynd/A 8976-2024 artfynd.xlsx", "A 8976-2024")</f>
        <v/>
      </c>
      <c r="T124">
        <f>HYPERLINK("https://klasma.github.io/Logging_0685/kartor/A 8976-2024 karta.png", "A 8976-2024")</f>
        <v/>
      </c>
      <c r="V124">
        <f>HYPERLINK("https://klasma.github.io/Logging_0685/klagomål/A 8976-2024 FSC-klagomål.docx", "A 8976-2024")</f>
        <v/>
      </c>
      <c r="W124">
        <f>HYPERLINK("https://klasma.github.io/Logging_0685/klagomålsmail/A 8976-2024 FSC-klagomål mail.docx", "A 8976-2024")</f>
        <v/>
      </c>
      <c r="X124">
        <f>HYPERLINK("https://klasma.github.io/Logging_0685/tillsyn/A 8976-2024 tillsynsbegäran.docx", "A 8976-2024")</f>
        <v/>
      </c>
      <c r="Y124">
        <f>HYPERLINK("https://klasma.github.io/Logging_0685/tillsynsmail/A 8976-2024 tillsynsbegäran mail.docx", "A 8976-2024")</f>
        <v/>
      </c>
    </row>
    <row r="125" ht="15" customHeight="1">
      <c r="A125" t="inlineStr">
        <is>
          <t>A 15177-2024</t>
        </is>
      </c>
      <c r="B125" s="1" t="n">
        <v>45400</v>
      </c>
      <c r="C125" s="1" t="n">
        <v>45875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20.9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HYPERLINK("https://klasma.github.io/Logging_0685/artfynd/A 15177-2024 artfynd.xlsx", "A 15177-2024")</f>
        <v/>
      </c>
      <c r="T125">
        <f>HYPERLINK("https://klasma.github.io/Logging_0685/kartor/A 15177-2024 karta.png", "A 15177-2024")</f>
        <v/>
      </c>
      <c r="U125">
        <f>HYPERLINK("https://klasma.github.io/Logging_0685/knärot/A 15177-2024 karta knärot.png", "A 15177-2024")</f>
        <v/>
      </c>
      <c r="V125">
        <f>HYPERLINK("https://klasma.github.io/Logging_0685/klagomål/A 15177-2024 FSC-klagomål.docx", "A 15177-2024")</f>
        <v/>
      </c>
      <c r="W125">
        <f>HYPERLINK("https://klasma.github.io/Logging_0685/klagomålsmail/A 15177-2024 FSC-klagomål mail.docx", "A 15177-2024")</f>
        <v/>
      </c>
      <c r="X125">
        <f>HYPERLINK("https://klasma.github.io/Logging_0685/tillsyn/A 15177-2024 tillsynsbegäran.docx", "A 15177-2024")</f>
        <v/>
      </c>
      <c r="Y125">
        <f>HYPERLINK("https://klasma.github.io/Logging_0685/tillsynsmail/A 15177-2024 tillsynsbegäran mail.docx", "A 15177-2024")</f>
        <v/>
      </c>
    </row>
    <row r="126" ht="15" customHeight="1">
      <c r="A126" t="inlineStr">
        <is>
          <t>A 16508-2024</t>
        </is>
      </c>
      <c r="B126" s="1" t="n">
        <v>45408</v>
      </c>
      <c r="C126" s="1" t="n">
        <v>45875</v>
      </c>
      <c r="D126" t="inlineStr">
        <is>
          <t>JÖNKÖPINGS LÄN</t>
        </is>
      </c>
      <c r="E126" t="inlineStr">
        <is>
          <t>VETLANDA</t>
        </is>
      </c>
      <c r="G126" t="n">
        <v>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HYPERLINK("https://klasma.github.io/Logging_0685/artfynd/A 16508-2024 artfynd.xlsx", "A 16508-2024")</f>
        <v/>
      </c>
      <c r="T126">
        <f>HYPERLINK("https://klasma.github.io/Logging_0685/kartor/A 16508-2024 karta.png", "A 16508-2024")</f>
        <v/>
      </c>
      <c r="V126">
        <f>HYPERLINK("https://klasma.github.io/Logging_0685/klagomål/A 16508-2024 FSC-klagomål.docx", "A 16508-2024")</f>
        <v/>
      </c>
      <c r="W126">
        <f>HYPERLINK("https://klasma.github.io/Logging_0685/klagomålsmail/A 16508-2024 FSC-klagomål mail.docx", "A 16508-2024")</f>
        <v/>
      </c>
      <c r="X126">
        <f>HYPERLINK("https://klasma.github.io/Logging_0685/tillsyn/A 16508-2024 tillsynsbegäran.docx", "A 16508-2024")</f>
        <v/>
      </c>
      <c r="Y126">
        <f>HYPERLINK("https://klasma.github.io/Logging_0685/tillsynsmail/A 16508-2024 tillsynsbegäran mail.docx", "A 16508-2024")</f>
        <v/>
      </c>
    </row>
    <row r="127" ht="15" customHeight="1">
      <c r="A127" t="inlineStr">
        <is>
          <t>A 17874-2024</t>
        </is>
      </c>
      <c r="B127" s="1" t="n">
        <v>45419</v>
      </c>
      <c r="C127" s="1" t="n">
        <v>45875</v>
      </c>
      <c r="D127" t="inlineStr">
        <is>
          <t>JÖNKÖPINGS LÄN</t>
        </is>
      </c>
      <c r="E127" t="inlineStr">
        <is>
          <t>VETLANDA</t>
        </is>
      </c>
      <c r="G127" t="n">
        <v>3.8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Dvärghäxört</t>
        </is>
      </c>
      <c r="S127">
        <f>HYPERLINK("https://klasma.github.io/Logging_0685/artfynd/A 17874-2024 artfynd.xlsx", "A 17874-2024")</f>
        <v/>
      </c>
      <c r="T127">
        <f>HYPERLINK("https://klasma.github.io/Logging_0685/kartor/A 17874-2024 karta.png", "A 17874-2024")</f>
        <v/>
      </c>
      <c r="V127">
        <f>HYPERLINK("https://klasma.github.io/Logging_0685/klagomål/A 17874-2024 FSC-klagomål.docx", "A 17874-2024")</f>
        <v/>
      </c>
      <c r="W127">
        <f>HYPERLINK("https://klasma.github.io/Logging_0685/klagomålsmail/A 17874-2024 FSC-klagomål mail.docx", "A 17874-2024")</f>
        <v/>
      </c>
      <c r="X127">
        <f>HYPERLINK("https://klasma.github.io/Logging_0685/tillsyn/A 17874-2024 tillsynsbegäran.docx", "A 17874-2024")</f>
        <v/>
      </c>
      <c r="Y127">
        <f>HYPERLINK("https://klasma.github.io/Logging_0685/tillsynsmail/A 17874-2024 tillsynsbegäran mail.docx", "A 17874-2024")</f>
        <v/>
      </c>
    </row>
    <row r="128" ht="15" customHeight="1">
      <c r="A128" t="inlineStr">
        <is>
          <t>A 22965-2024</t>
        </is>
      </c>
      <c r="B128" s="1" t="n">
        <v>45449</v>
      </c>
      <c r="C128" s="1" t="n">
        <v>45875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HYPERLINK("https://klasma.github.io/Logging_0685/artfynd/A 22965-2024 artfynd.xlsx", "A 22965-2024")</f>
        <v/>
      </c>
      <c r="T128">
        <f>HYPERLINK("https://klasma.github.io/Logging_0685/kartor/A 22965-2024 karta.png", "A 22965-2024")</f>
        <v/>
      </c>
      <c r="V128">
        <f>HYPERLINK("https://klasma.github.io/Logging_0685/klagomål/A 22965-2024 FSC-klagomål.docx", "A 22965-2024")</f>
        <v/>
      </c>
      <c r="W128">
        <f>HYPERLINK("https://klasma.github.io/Logging_0685/klagomålsmail/A 22965-2024 FSC-klagomål mail.docx", "A 22965-2024")</f>
        <v/>
      </c>
      <c r="X128">
        <f>HYPERLINK("https://klasma.github.io/Logging_0685/tillsyn/A 22965-2024 tillsynsbegäran.docx", "A 22965-2024")</f>
        <v/>
      </c>
      <c r="Y128">
        <f>HYPERLINK("https://klasma.github.io/Logging_0685/tillsynsmail/A 22965-2024 tillsynsbegäran mail.docx", "A 22965-2024")</f>
        <v/>
      </c>
      <c r="Z128">
        <f>HYPERLINK("https://klasma.github.io/Logging_0685/fåglar/A 22965-2024 prioriterade fågelarter.docx", "A 22965-2024")</f>
        <v/>
      </c>
    </row>
    <row r="129" ht="15" customHeight="1">
      <c r="A129" t="inlineStr">
        <is>
          <t>A 28783-2024</t>
        </is>
      </c>
      <c r="B129" s="1" t="n">
        <v>45478</v>
      </c>
      <c r="C129" s="1" t="n">
        <v>45875</v>
      </c>
      <c r="D129" t="inlineStr">
        <is>
          <t>JÖNKÖPINGS LÄN</t>
        </is>
      </c>
      <c r="E129" t="inlineStr">
        <is>
          <t>VETLANDA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28783-2024 artfynd.xlsx", "A 28783-2024")</f>
        <v/>
      </c>
      <c r="T129">
        <f>HYPERLINK("https://klasma.github.io/Logging_0685/kartor/A 28783-2024 karta.png", "A 28783-2024")</f>
        <v/>
      </c>
      <c r="V129">
        <f>HYPERLINK("https://klasma.github.io/Logging_0685/klagomål/A 28783-2024 FSC-klagomål.docx", "A 28783-2024")</f>
        <v/>
      </c>
      <c r="W129">
        <f>HYPERLINK("https://klasma.github.io/Logging_0685/klagomålsmail/A 28783-2024 FSC-klagomål mail.docx", "A 28783-2024")</f>
        <v/>
      </c>
      <c r="X129">
        <f>HYPERLINK("https://klasma.github.io/Logging_0685/tillsyn/A 28783-2024 tillsynsbegäran.docx", "A 28783-2024")</f>
        <v/>
      </c>
      <c r="Y129">
        <f>HYPERLINK("https://klasma.github.io/Logging_0685/tillsynsmail/A 28783-2024 tillsynsbegäran mail.docx", "A 28783-2024")</f>
        <v/>
      </c>
    </row>
    <row r="130" ht="15" customHeight="1">
      <c r="A130" t="inlineStr">
        <is>
          <t>A 35657-2024</t>
        </is>
      </c>
      <c r="B130" s="1" t="n">
        <v>45532</v>
      </c>
      <c r="C130" s="1" t="n">
        <v>45875</v>
      </c>
      <c r="D130" t="inlineStr">
        <is>
          <t>JÖNKÖPINGS LÄN</t>
        </is>
      </c>
      <c r="E130" t="inlineStr">
        <is>
          <t>VETLANDA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Åkerkål</t>
        </is>
      </c>
      <c r="S130">
        <f>HYPERLINK("https://klasma.github.io/Logging_0685/artfynd/A 35657-2024 artfynd.xlsx", "A 35657-2024")</f>
        <v/>
      </c>
      <c r="T130">
        <f>HYPERLINK("https://klasma.github.io/Logging_0685/kartor/A 35657-2024 karta.png", "A 35657-2024")</f>
        <v/>
      </c>
      <c r="V130">
        <f>HYPERLINK("https://klasma.github.io/Logging_0685/klagomål/A 35657-2024 FSC-klagomål.docx", "A 35657-2024")</f>
        <v/>
      </c>
      <c r="W130">
        <f>HYPERLINK("https://klasma.github.io/Logging_0685/klagomålsmail/A 35657-2024 FSC-klagomål mail.docx", "A 35657-2024")</f>
        <v/>
      </c>
      <c r="X130">
        <f>HYPERLINK("https://klasma.github.io/Logging_0685/tillsyn/A 35657-2024 tillsynsbegäran.docx", "A 35657-2024")</f>
        <v/>
      </c>
      <c r="Y130">
        <f>HYPERLINK("https://klasma.github.io/Logging_0685/tillsynsmail/A 35657-2024 tillsynsbegäran mail.docx", "A 35657-2024")</f>
        <v/>
      </c>
    </row>
    <row r="131" ht="15" customHeight="1">
      <c r="A131" t="inlineStr">
        <is>
          <t>A 36067-2024</t>
        </is>
      </c>
      <c r="B131" s="1" t="n">
        <v>45533</v>
      </c>
      <c r="C131" s="1" t="n">
        <v>45875</v>
      </c>
      <c r="D131" t="inlineStr">
        <is>
          <t>JÖNKÖPINGS LÄN</t>
        </is>
      </c>
      <c r="E131" t="inlineStr">
        <is>
          <t>VETLANDA</t>
        </is>
      </c>
      <c r="G131" t="n">
        <v>6.8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Grönvit nattviol</t>
        </is>
      </c>
      <c r="S131">
        <f>HYPERLINK("https://klasma.github.io/Logging_0685/artfynd/A 36067-2024 artfynd.xlsx", "A 36067-2024")</f>
        <v/>
      </c>
      <c r="T131">
        <f>HYPERLINK("https://klasma.github.io/Logging_0685/kartor/A 36067-2024 karta.png", "A 36067-2024")</f>
        <v/>
      </c>
      <c r="V131">
        <f>HYPERLINK("https://klasma.github.io/Logging_0685/klagomål/A 36067-2024 FSC-klagomål.docx", "A 36067-2024")</f>
        <v/>
      </c>
      <c r="W131">
        <f>HYPERLINK("https://klasma.github.io/Logging_0685/klagomålsmail/A 36067-2024 FSC-klagomål mail.docx", "A 36067-2024")</f>
        <v/>
      </c>
      <c r="X131">
        <f>HYPERLINK("https://klasma.github.io/Logging_0685/tillsyn/A 36067-2024 tillsynsbegäran.docx", "A 36067-2024")</f>
        <v/>
      </c>
      <c r="Y131">
        <f>HYPERLINK("https://klasma.github.io/Logging_0685/tillsynsmail/A 36067-2024 tillsynsbegäran mail.docx", "A 36067-2024")</f>
        <v/>
      </c>
    </row>
    <row r="132" ht="15" customHeight="1">
      <c r="A132" t="inlineStr">
        <is>
          <t>A 40417-2024</t>
        </is>
      </c>
      <c r="B132" s="1" t="n">
        <v>45555</v>
      </c>
      <c r="C132" s="1" t="n">
        <v>45875</v>
      </c>
      <c r="D132" t="inlineStr">
        <is>
          <t>JÖNKÖPINGS LÄN</t>
        </is>
      </c>
      <c r="E132" t="inlineStr">
        <is>
          <t>VETLANDA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HYPERLINK("https://klasma.github.io/Logging_0685/artfynd/A 40417-2024 artfynd.xlsx", "A 40417-2024")</f>
        <v/>
      </c>
      <c r="T132">
        <f>HYPERLINK("https://klasma.github.io/Logging_0685/kartor/A 40417-2024 karta.png", "A 40417-2024")</f>
        <v/>
      </c>
      <c r="V132">
        <f>HYPERLINK("https://klasma.github.io/Logging_0685/klagomål/A 40417-2024 FSC-klagomål.docx", "A 40417-2024")</f>
        <v/>
      </c>
      <c r="W132">
        <f>HYPERLINK("https://klasma.github.io/Logging_0685/klagomålsmail/A 40417-2024 FSC-klagomål mail.docx", "A 40417-2024")</f>
        <v/>
      </c>
      <c r="X132">
        <f>HYPERLINK("https://klasma.github.io/Logging_0685/tillsyn/A 40417-2024 tillsynsbegäran.docx", "A 40417-2024")</f>
        <v/>
      </c>
      <c r="Y132">
        <f>HYPERLINK("https://klasma.github.io/Logging_0685/tillsynsmail/A 40417-2024 tillsynsbegäran mail.docx", "A 40417-2024")</f>
        <v/>
      </c>
    </row>
    <row r="133" ht="15" customHeight="1">
      <c r="A133" t="inlineStr">
        <is>
          <t>A 42637-2024</t>
        </is>
      </c>
      <c r="B133" s="1" t="n">
        <v>45565</v>
      </c>
      <c r="C133" s="1" t="n">
        <v>45875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42637-2024 artfynd.xlsx", "A 42637-2024")</f>
        <v/>
      </c>
      <c r="T133">
        <f>HYPERLINK("https://klasma.github.io/Logging_0685/kartor/A 42637-2024 karta.png", "A 42637-2024")</f>
        <v/>
      </c>
      <c r="V133">
        <f>HYPERLINK("https://klasma.github.io/Logging_0685/klagomål/A 42637-2024 FSC-klagomål.docx", "A 42637-2024")</f>
        <v/>
      </c>
      <c r="W133">
        <f>HYPERLINK("https://klasma.github.io/Logging_0685/klagomålsmail/A 42637-2024 FSC-klagomål mail.docx", "A 42637-2024")</f>
        <v/>
      </c>
      <c r="X133">
        <f>HYPERLINK("https://klasma.github.io/Logging_0685/tillsyn/A 42637-2024 tillsynsbegäran.docx", "A 42637-2024")</f>
        <v/>
      </c>
      <c r="Y133">
        <f>HYPERLINK("https://klasma.github.io/Logging_0685/tillsynsmail/A 42637-2024 tillsynsbegäran mail.docx", "A 42637-2024")</f>
        <v/>
      </c>
    </row>
    <row r="134" ht="15" customHeight="1">
      <c r="A134" t="inlineStr">
        <is>
          <t>A 43565-2024</t>
        </is>
      </c>
      <c r="B134" s="1" t="n">
        <v>45569</v>
      </c>
      <c r="C134" s="1" t="n">
        <v>45875</v>
      </c>
      <c r="D134" t="inlineStr">
        <is>
          <t>JÖNKÖPINGS LÄN</t>
        </is>
      </c>
      <c r="E134" t="inlineStr">
        <is>
          <t>VETLANDA</t>
        </is>
      </c>
      <c r="F134" t="inlineStr">
        <is>
          <t>Kyrkan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Ask</t>
        </is>
      </c>
      <c r="S134">
        <f>HYPERLINK("https://klasma.github.io/Logging_0685/artfynd/A 43565-2024 artfynd.xlsx", "A 43565-2024")</f>
        <v/>
      </c>
      <c r="T134">
        <f>HYPERLINK("https://klasma.github.io/Logging_0685/kartor/A 43565-2024 karta.png", "A 43565-2024")</f>
        <v/>
      </c>
      <c r="V134">
        <f>HYPERLINK("https://klasma.github.io/Logging_0685/klagomål/A 43565-2024 FSC-klagomål.docx", "A 43565-2024")</f>
        <v/>
      </c>
      <c r="W134">
        <f>HYPERLINK("https://klasma.github.io/Logging_0685/klagomålsmail/A 43565-2024 FSC-klagomål mail.docx", "A 43565-2024")</f>
        <v/>
      </c>
      <c r="X134">
        <f>HYPERLINK("https://klasma.github.io/Logging_0685/tillsyn/A 43565-2024 tillsynsbegäran.docx", "A 43565-2024")</f>
        <v/>
      </c>
      <c r="Y134">
        <f>HYPERLINK("https://klasma.github.io/Logging_0685/tillsynsmail/A 43565-2024 tillsynsbegäran mail.docx", "A 43565-2024")</f>
        <v/>
      </c>
    </row>
    <row r="135" ht="15" customHeight="1">
      <c r="A135" t="inlineStr">
        <is>
          <t>A 45979-2024</t>
        </is>
      </c>
      <c r="B135" s="1" t="n">
        <v>45580</v>
      </c>
      <c r="C135" s="1" t="n">
        <v>45875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45979-2024 artfynd.xlsx", "A 45979-2024")</f>
        <v/>
      </c>
      <c r="T135">
        <f>HYPERLINK("https://klasma.github.io/Logging_0685/kartor/A 45979-2024 karta.png", "A 45979-2024")</f>
        <v/>
      </c>
      <c r="V135">
        <f>HYPERLINK("https://klasma.github.io/Logging_0685/klagomål/A 45979-2024 FSC-klagomål.docx", "A 45979-2024")</f>
        <v/>
      </c>
      <c r="W135">
        <f>HYPERLINK("https://klasma.github.io/Logging_0685/klagomålsmail/A 45979-2024 FSC-klagomål mail.docx", "A 45979-2024")</f>
        <v/>
      </c>
      <c r="X135">
        <f>HYPERLINK("https://klasma.github.io/Logging_0685/tillsyn/A 45979-2024 tillsynsbegäran.docx", "A 45979-2024")</f>
        <v/>
      </c>
      <c r="Y135">
        <f>HYPERLINK("https://klasma.github.io/Logging_0685/tillsynsmail/A 45979-2024 tillsynsbegäran mail.docx", "A 45979-2024")</f>
        <v/>
      </c>
    </row>
    <row r="136" ht="15" customHeight="1">
      <c r="A136" t="inlineStr">
        <is>
          <t>A 47071-2024</t>
        </is>
      </c>
      <c r="B136" s="1" t="n">
        <v>45586</v>
      </c>
      <c r="C136" s="1" t="n">
        <v>45875</v>
      </c>
      <c r="D136" t="inlineStr">
        <is>
          <t>JÖNKÖPINGS LÄN</t>
        </is>
      </c>
      <c r="E136" t="inlineStr">
        <is>
          <t>VETLANDA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Etternässla</t>
        </is>
      </c>
      <c r="S136">
        <f>HYPERLINK("https://klasma.github.io/Logging_0685/artfynd/A 47071-2024 artfynd.xlsx", "A 47071-2024")</f>
        <v/>
      </c>
      <c r="T136">
        <f>HYPERLINK("https://klasma.github.io/Logging_0685/kartor/A 47071-2024 karta.png", "A 47071-2024")</f>
        <v/>
      </c>
      <c r="V136">
        <f>HYPERLINK("https://klasma.github.io/Logging_0685/klagomål/A 47071-2024 FSC-klagomål.docx", "A 47071-2024")</f>
        <v/>
      </c>
      <c r="W136">
        <f>HYPERLINK("https://klasma.github.io/Logging_0685/klagomålsmail/A 47071-2024 FSC-klagomål mail.docx", "A 47071-2024")</f>
        <v/>
      </c>
      <c r="X136">
        <f>HYPERLINK("https://klasma.github.io/Logging_0685/tillsyn/A 47071-2024 tillsynsbegäran.docx", "A 47071-2024")</f>
        <v/>
      </c>
      <c r="Y136">
        <f>HYPERLINK("https://klasma.github.io/Logging_0685/tillsynsmail/A 47071-2024 tillsynsbegäran mail.docx", "A 47071-2024")</f>
        <v/>
      </c>
    </row>
    <row r="137" ht="15" customHeight="1">
      <c r="A137" t="inlineStr">
        <is>
          <t>A 48121-2024</t>
        </is>
      </c>
      <c r="B137" s="1" t="n">
        <v>45589</v>
      </c>
      <c r="C137" s="1" t="n">
        <v>45875</v>
      </c>
      <c r="D137" t="inlineStr">
        <is>
          <t>JÖNKÖPINGS LÄN</t>
        </is>
      </c>
      <c r="E137" t="inlineStr">
        <is>
          <t>VETLANDA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HYPERLINK("https://klasma.github.io/Logging_0685/artfynd/A 48121-2024 artfynd.xlsx", "A 48121-2024")</f>
        <v/>
      </c>
      <c r="T137">
        <f>HYPERLINK("https://klasma.github.io/Logging_0685/kartor/A 48121-2024 karta.png", "A 48121-2024")</f>
        <v/>
      </c>
      <c r="V137">
        <f>HYPERLINK("https://klasma.github.io/Logging_0685/klagomål/A 48121-2024 FSC-klagomål.docx", "A 48121-2024")</f>
        <v/>
      </c>
      <c r="W137">
        <f>HYPERLINK("https://klasma.github.io/Logging_0685/klagomålsmail/A 48121-2024 FSC-klagomål mail.docx", "A 48121-2024")</f>
        <v/>
      </c>
      <c r="X137">
        <f>HYPERLINK("https://klasma.github.io/Logging_0685/tillsyn/A 48121-2024 tillsynsbegäran.docx", "A 48121-2024")</f>
        <v/>
      </c>
      <c r="Y137">
        <f>HYPERLINK("https://klasma.github.io/Logging_0685/tillsynsmail/A 48121-2024 tillsynsbegäran mail.docx", "A 48121-2024")</f>
        <v/>
      </c>
    </row>
    <row r="138" ht="15" customHeight="1">
      <c r="A138" t="inlineStr">
        <is>
          <t>A 58169-2024</t>
        </is>
      </c>
      <c r="B138" s="1" t="n">
        <v>45632</v>
      </c>
      <c r="C138" s="1" t="n">
        <v>45875</v>
      </c>
      <c r="D138" t="inlineStr">
        <is>
          <t>JÖNKÖPINGS LÄN</t>
        </is>
      </c>
      <c r="E138" t="inlineStr">
        <is>
          <t>VETLANDA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Ask</t>
        </is>
      </c>
      <c r="S138">
        <f>HYPERLINK("https://klasma.github.io/Logging_0685/artfynd/A 58169-2024 artfynd.xlsx", "A 58169-2024")</f>
        <v/>
      </c>
      <c r="T138">
        <f>HYPERLINK("https://klasma.github.io/Logging_0685/kartor/A 58169-2024 karta.png", "A 58169-2024")</f>
        <v/>
      </c>
      <c r="V138">
        <f>HYPERLINK("https://klasma.github.io/Logging_0685/klagomål/A 58169-2024 FSC-klagomål.docx", "A 58169-2024")</f>
        <v/>
      </c>
      <c r="W138">
        <f>HYPERLINK("https://klasma.github.io/Logging_0685/klagomålsmail/A 58169-2024 FSC-klagomål mail.docx", "A 58169-2024")</f>
        <v/>
      </c>
      <c r="X138">
        <f>HYPERLINK("https://klasma.github.io/Logging_0685/tillsyn/A 58169-2024 tillsynsbegäran.docx", "A 58169-2024")</f>
        <v/>
      </c>
      <c r="Y138">
        <f>HYPERLINK("https://klasma.github.io/Logging_0685/tillsynsmail/A 58169-2024 tillsynsbegäran mail.docx", "A 58169-2024")</f>
        <v/>
      </c>
    </row>
    <row r="139" ht="15" customHeight="1">
      <c r="A139" t="inlineStr">
        <is>
          <t>A 2586-2025</t>
        </is>
      </c>
      <c r="B139" s="1" t="n">
        <v>45674</v>
      </c>
      <c r="C139" s="1" t="n">
        <v>45875</v>
      </c>
      <c r="D139" t="inlineStr">
        <is>
          <t>JÖNKÖPINGS LÄN</t>
        </is>
      </c>
      <c r="E139" t="inlineStr">
        <is>
          <t>VETLANDA</t>
        </is>
      </c>
      <c r="G139" t="n">
        <v>1.5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Korallrot</t>
        </is>
      </c>
      <c r="S139">
        <f>HYPERLINK("https://klasma.github.io/Logging_0685/artfynd/A 2586-2025 artfynd.xlsx", "A 2586-2025")</f>
        <v/>
      </c>
      <c r="T139">
        <f>HYPERLINK("https://klasma.github.io/Logging_0685/kartor/A 2586-2025 karta.png", "A 2586-2025")</f>
        <v/>
      </c>
      <c r="V139">
        <f>HYPERLINK("https://klasma.github.io/Logging_0685/klagomål/A 2586-2025 FSC-klagomål.docx", "A 2586-2025")</f>
        <v/>
      </c>
      <c r="W139">
        <f>HYPERLINK("https://klasma.github.io/Logging_0685/klagomålsmail/A 2586-2025 FSC-klagomål mail.docx", "A 2586-2025")</f>
        <v/>
      </c>
      <c r="X139">
        <f>HYPERLINK("https://klasma.github.io/Logging_0685/tillsyn/A 2586-2025 tillsynsbegäran.docx", "A 2586-2025")</f>
        <v/>
      </c>
      <c r="Y139">
        <f>HYPERLINK("https://klasma.github.io/Logging_0685/tillsynsmail/A 2586-2025 tillsynsbegäran mail.docx", "A 2586-2025")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45875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45875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45875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45875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45875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45875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45875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45875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45875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45875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45875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45875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45875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45875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45875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45875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45875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45875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45875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45875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45875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45875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45875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45875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45875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45875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45875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45875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45875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45875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45875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45875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45875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45875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45875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45875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45875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45875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45875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45875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45875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45875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45875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45875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45875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45875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45875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45875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45875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45875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45875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45875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45875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45875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45875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45875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45875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45875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45875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45875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45875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45875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45875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45875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45875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45875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45875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45875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45875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45875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45875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45875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45875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45875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45875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45875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45875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45875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45875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45875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45875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45875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45875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45875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45875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45875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45875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45875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45875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45875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45875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45875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45875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45875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45875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45875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45875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45875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45875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45875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45875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45875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45875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45875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45875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45875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45875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45875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45875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45875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45875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45875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45875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45875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45875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45875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45875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45875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45875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45875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45875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45875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45875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45875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45875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45875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45875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45875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45875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45875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45875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45875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45875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45875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45875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45875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45875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45875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45875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45875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45875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45875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45875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45875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45875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45875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45875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45875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45875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45875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45875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45875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45875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45875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45875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45875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45875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45875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45875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45875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45875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45875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45875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45875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45875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45875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45875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45875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45875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45875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45875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45875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45875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45875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45875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45875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45875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45875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45875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45875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45875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45875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45875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45875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45875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45875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45875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45875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45875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45875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45875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45875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45875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45875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45875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45875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45875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45875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45875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45875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45875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45875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45875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45875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45875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45875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45875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45875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45875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45875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45875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45875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45875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45875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45875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45875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45875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45875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45875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45875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45875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45875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45875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45875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45875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45875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45875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45875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45875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45875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45875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45875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45875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45875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45875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45875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45875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45875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45875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45875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45875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45875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45875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45875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45875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45875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45875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45875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45875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45875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45875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45875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45875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45875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45875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45875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45875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45875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45875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45875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45875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45875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45875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45875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45875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45875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45875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45875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45875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45875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45875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45875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45875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45875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45875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45875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45875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45875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45875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45875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45875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45875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45875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45875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45875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45875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45875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45875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45875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45875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45875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45875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45875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45875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45875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45875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45875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45875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45875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45875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45875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45875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45875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45875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45875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45875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45875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45875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45875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45875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45875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45875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45875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45875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45875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45875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45875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45875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45875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45875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45875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45875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45875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45875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45875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45875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45875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45875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45875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45875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45875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45875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45875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45875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45875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45875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45875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45875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45875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45875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45875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45875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45875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45875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45875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45875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45875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45875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45875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45875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45875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45875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45875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45875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45875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45875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45875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45875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45875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45875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45875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45875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45875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45875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45875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45875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45875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45875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45875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45875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45875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45875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45875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45875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45875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45875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45875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45875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45875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45875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45875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45875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45875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45875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45875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45875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45875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45875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45875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45875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45875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45875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45875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45875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45875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45875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45875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45875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45875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45875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45875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45875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45875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45875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45875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45875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45875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45875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45875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45875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45875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45875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45875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45875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45875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45875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45875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45875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45875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45875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45875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45875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45875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45875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45875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45875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45875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45875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45875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45875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45875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45875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45875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45875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45875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45875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45875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45875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45875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45875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45875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45875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45875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45875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45875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45875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45875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45875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45875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45875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45875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45875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45875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45875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45875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45875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45875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45875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45875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45875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45875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45875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45875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45875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45875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45875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45875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45875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45875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45875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45875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45875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45875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45875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45875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45875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45875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45875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45875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45875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45875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45875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45875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45875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45875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45875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45875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45875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45875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45875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45875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45875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45875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45875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45875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45875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45875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45875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45875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45875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45875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45875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45875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45875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45875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45875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45875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45875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45875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45875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45875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45875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45875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45875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45875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45875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45875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45875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45875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45875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45875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45875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45875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45875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45875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45875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45875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45875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45875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45875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45875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45875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45875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45875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45875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45875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45875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45875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45875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45875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45875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45875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45875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45875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45875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45875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45875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45875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45875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45875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45875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45875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45875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45875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45875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45875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45875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45875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45875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45875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45875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45875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45875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45875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45875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45875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45875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45875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45875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45875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45875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45875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45875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45875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45875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45875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45875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45875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45875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45875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45875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45875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45875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45875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45875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45875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45875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45875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45875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45875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45875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45875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45875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45875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45875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45875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45875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45875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45875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45875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45875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45875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45875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45875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45875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45875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45875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45875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45875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45875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45875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45875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45875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45875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45875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45875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45875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45875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45875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45875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45875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45875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45875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45875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45875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45875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45875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45875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45875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45875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45875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45875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45875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45875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45875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45875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45875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45875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45875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45875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45875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45875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45875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45875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45875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45875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45875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45875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45875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45875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45875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45875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45875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45875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45875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45875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45875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45875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45875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45875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45875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45875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45875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45875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45875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45875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45875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45875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45875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45875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45875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45875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45875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45875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45875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45875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45875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45875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45875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45875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45875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45875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45875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45875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45875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45875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45875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45875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45875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45875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45875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45875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45875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45875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45875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45875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45875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45875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45875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45875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45875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45875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45875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45875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45875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45875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45875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45875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45875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45875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45875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45875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45875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45875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45875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45875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45875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45875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45875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45875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45875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45875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45875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45875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45875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45875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45875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45875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45875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45875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45875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45875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45875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45875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45875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45875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45875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45875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45875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45875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45875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45875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45875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45875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45875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45875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45875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45875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45875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45875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45875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45875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45875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45875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45875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45875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45875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45875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45875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45875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45875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45875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45875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45875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45875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45875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45875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45875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45875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45875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45875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45875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45875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45875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45875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45875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45875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45875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45875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45875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45875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45875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45875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45875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45875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45875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45875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45875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45875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45875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45875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45875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45875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45875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45875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45875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45875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45875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45875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45875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45875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45875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45875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45875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45875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45875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45875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45875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45875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45875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45875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45875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45875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45875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45875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45875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45875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45875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45875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45875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45875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45875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45875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45875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45875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45875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45875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45875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45875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45875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45875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45875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45875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45875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45875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45875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45875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45875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45875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45875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45875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45875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45875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45875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45875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45875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45875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45875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45875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45875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45875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45875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45875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45875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45875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45875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45875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45875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45875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45875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45875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45875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45875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45875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45875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45875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45875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45875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45875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45875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45875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45875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45875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45875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45875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45875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45875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45875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45875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45875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45875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45875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45875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45875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45875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45875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45875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45875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45875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45875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45875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45875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45875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45875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45875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45875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45875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45875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45875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45875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45875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45875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45875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45875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45875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45875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45875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45875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45875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45875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45875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45875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45875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45875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45875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45875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45875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45875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45875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45875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45875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45875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45875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45875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45875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45875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45875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45875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45875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45875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45875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45875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45875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45875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45875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45875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45875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45875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45875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45875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45875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45875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45875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45875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45875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45875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45875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45875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45875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45875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45875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45875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45875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45875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45875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45875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45875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45875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45875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45875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45875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45875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45875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45875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45875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45875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45875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45875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45875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45875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45875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45875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45875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45875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45875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45875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45875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45875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45875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45875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45875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45875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45875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45875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45875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45875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45875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45875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45875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45875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45875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45875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45875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45875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45875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45875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45875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45875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45875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45875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45875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45875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45875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45875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45875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45875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45875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45875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45875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45875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45875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45875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45875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45875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45875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45875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45875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45875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45875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45875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45875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45875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45875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45875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45875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45875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45875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45875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45875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45875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45875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45875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45875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45875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45875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45875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45875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45875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45875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45875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45875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45875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45875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45875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45875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45875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45875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45875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45875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45875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45875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45875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45875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45875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45875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45875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45875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45875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45875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45875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45875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45875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45875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45875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45875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45875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45875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45875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45875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45875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45875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45875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45875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45875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45875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45875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45875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45875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45875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45875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45875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45875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45875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45875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45875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45875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45875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45875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45875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45875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45875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45875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45875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45875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45875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45875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45875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45875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45875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45875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45875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45875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45875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45875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45875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45875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45875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45875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45875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45875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45875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45875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45875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45875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45875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45875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45875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45875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45875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45875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45875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45875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45875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45875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45875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45875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45875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45875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45875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45875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45875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45875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45875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45875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45875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45875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45875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45875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45875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45875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45875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45875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45875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45875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45875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45875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45875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45875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45875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45875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45875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45875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45875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45875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45875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45875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45875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45875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45875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45875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45875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45875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45875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45875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45875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45875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45875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45875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45875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45875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45875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45875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45875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45875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45875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45875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45875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45875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45875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45875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45875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45875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45875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45875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45875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45875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45875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45875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45875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45875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45875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45875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45875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45875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45875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45875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45875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45875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45875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45875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45875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45875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45875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45875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45875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45875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45875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45875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45875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45875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45875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45875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45875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45875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45875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45875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45875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45875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45875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45875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45875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45875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45875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45875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45875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45875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45875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45875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45875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45875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45875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45875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45875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45875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45875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45875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45875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45875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45875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45875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45875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45875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45875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45875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45875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45875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45875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45875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45875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45875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45875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45875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45875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45875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45875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45875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45875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45875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45875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45875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45875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45875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45875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45875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45875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45875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45875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45875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45875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45875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45875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45875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45875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45875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45875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45875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45875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45875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45875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45875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45875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45875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45875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45875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45875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45875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45875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45875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45875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45875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45875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45875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45875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45875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45875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45875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45875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45875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45875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45875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45875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45875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45875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45875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45875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45875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45875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45875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45875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45875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45875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45875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45875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45875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45875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45875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45875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45875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45875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45875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45875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45875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45875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45875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45875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45875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45875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45875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45875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45875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45875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45875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45875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45875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45875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45875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45875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45875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45875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45875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45875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45875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45875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45875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45875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45875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45875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45875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45875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45875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45875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45875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45875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45875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45875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45875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45875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45875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45875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45875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45875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45875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45875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45875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45875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45875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45875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45875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45875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45875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45875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45875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45875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45875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45875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45875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45875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45875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45875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45875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45875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45875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45875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45875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45875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45875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45875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45875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45875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45875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45875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45875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45875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45875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45875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45875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45875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45875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45875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45875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45875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45875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45875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45875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45875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45875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45875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45875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45875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45875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45875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45875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45875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45875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45875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45875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45875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45875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45875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45875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45875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45875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45875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45875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45875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45875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45875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45875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45875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45875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45875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45875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45875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45875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45875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45875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45875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45875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45875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45875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45875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45875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45875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45875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45875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45875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45875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45875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45875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45875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45875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45875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45875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45875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45875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45875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45875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45875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45875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45875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45875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45875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45875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45875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45875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45875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45875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45875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45875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45875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45875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45875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45875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45875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45875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45875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45875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45875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45875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45875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45875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45875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45875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45875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45875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45875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45875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45875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45875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45875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45875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45875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45875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45875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45875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45875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45875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45875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45875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45875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45875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45875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45875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45875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45875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45875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45875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45875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45875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45875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45875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45875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45875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45875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45875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45875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45875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45875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45875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45875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45875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45875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45875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45875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45875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45875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45875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45875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45875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45875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45875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45875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45875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45875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45875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45875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45875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45875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45875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45875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45875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45875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45875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45875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45875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45875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45875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45875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45875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45875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45875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45875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45875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45875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45875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45875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45875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45875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45875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45875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45875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45875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45875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45875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45875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45875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45875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45875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45875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45875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45875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45875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45875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45875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45875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45875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45875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45875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45875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45875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45875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45875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45875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45875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45875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45875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45875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45875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45875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45875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45875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45875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45875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45875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45875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45875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45875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45875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45875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45875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45875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45875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45875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45875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45875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45875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45875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45875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45875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45875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45875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45875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45875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45875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45875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45875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45875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45875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45875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45875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45875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45875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45875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45875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45875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45875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45875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45875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45875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45875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45875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45875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45875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45875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45875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45875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45875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45875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45875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45875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45875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45875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45875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45875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45875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45875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45875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45875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45875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45875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45875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45875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45875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45875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45875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45875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45875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45875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45875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45875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45875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45875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45875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45875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45875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45875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45875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45875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45875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45875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45875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45875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45875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45875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45875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45875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45875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45875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45875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45875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45875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45875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45875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45875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45875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45875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45875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45875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45875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45875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45875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45875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45875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45875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45875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45875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45875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45875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45875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45875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45875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45875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45875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45875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45875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45875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45875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45875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45875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45875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45875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45875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45875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45875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45875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45875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45875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45875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45875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45875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45875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45875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45875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45875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45875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45875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45875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45875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45875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45875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45875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45875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45875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45875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45875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45875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45875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45875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45875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45875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45875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45875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45875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45875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45875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45875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45875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45875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45875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45875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45875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45875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45875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45875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45875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45875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45875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45875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45875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45875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45875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45875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45875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45875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45875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45875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45875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45875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45875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45875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45875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45875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45875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45875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45875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45875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45875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45875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45875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45875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45875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45875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45875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45875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45875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45875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45875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45875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45875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45875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45875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45875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45875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45875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45875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45875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45875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45875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45875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45875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45875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45875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45875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45875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45875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45875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45875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45875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45875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45875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45875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45875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45875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45875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45875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45875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45875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45875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45875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45875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45875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45875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45875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45875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45875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45875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45875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45875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45875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45875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45875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45875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45875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45875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45875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45875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45875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45875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45875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45875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45875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45875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45875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45875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45875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45875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45875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45875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45875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45875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45875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45875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45875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45875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45875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45875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45875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45875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45875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45875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45875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45875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45875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45875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45875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45875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45875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45875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45875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45875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45875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45875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45875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45875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45875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45875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45875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45875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45875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45875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45875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45875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45875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45875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45875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45875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45875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45875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45875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45875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45875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45875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45875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45875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45875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45875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45875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45875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45875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45875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45875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45875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45875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45875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45875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45875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45875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45875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45875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45875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45875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45875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45875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45875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45875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45875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45875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45875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45875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45875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45875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45875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45875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45875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45875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45875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45875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45875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45875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45875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45875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45875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45875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45875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45875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45875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45875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45875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45875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45875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45875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45875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45875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45875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45875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45875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45875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45875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45875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45875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45875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45875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45875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45875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45875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45875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45875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45875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45875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45875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45875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45875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45875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45875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45875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45875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45875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45875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45875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45875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45875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45875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45875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45875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45875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45875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45875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45875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45875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45875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45875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45875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45875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45875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45875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45875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45875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45875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45875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45875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45875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45875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45875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45875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45875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45875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45875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45875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45875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45875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45875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45875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45875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45875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45875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45875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45875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45875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45875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45875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45875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45875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45875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45875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45875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45875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45875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45875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45875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45875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45875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45875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45875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45875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45875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45875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45875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45875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45875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45875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45875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45875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45875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45875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45875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45875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45875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45875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45875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45875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45875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45875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45875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45875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45875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45875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45875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45875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45875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45875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45875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45875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45875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45875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45875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45875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45875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45875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45875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45875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45875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45875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45875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45875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45875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45875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45875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45875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45875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45875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45875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45875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45875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45875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45875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45875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45875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45875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45875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45875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45875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45875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45875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45875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45875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45875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45875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45875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45875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45875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45875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45875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45875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45875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45875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45875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45875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45875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45875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45875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45875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45875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45875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45875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45875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45875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45875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45875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45875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45875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45875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45875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45875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45875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45875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45875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45875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45875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45875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45875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45875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45875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45875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45875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45875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45875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45875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45875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45875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45875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45875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45875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45875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45875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45875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45875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45875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45875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45875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45875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45875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45875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45875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45875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45875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45875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45875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45875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45875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45875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45875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45875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45875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45875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45875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45875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45875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45875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45875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45875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45875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45875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45875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45875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45875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45875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45875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45875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45875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45875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45875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45875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45875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45875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45875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45875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45875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45875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45875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45875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45875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45875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45875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45875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45875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45875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45875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45875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45875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45875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45875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45875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45875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45875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45875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45875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45875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45875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45875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45875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45875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45875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45875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45875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45875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45875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45875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45875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45875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45875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45875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45875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45875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45875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45875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45875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45875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45875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45875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45875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45875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45875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45875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45875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45875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45875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45875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45875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45875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45875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45875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45875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45875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45875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45875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45875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45875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45875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45875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45875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45875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45875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45875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45875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45875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45875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45875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45875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45875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45875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45875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45875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45875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45875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45875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45875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45875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45875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45875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45875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45875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45875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45875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45875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45875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45875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45875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45875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45875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45875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45875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45875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45875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45875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45875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45875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45875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45875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45875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45875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45875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45875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45875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45875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45875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45875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45875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45875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45875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45875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45875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45875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45875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45875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45875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45875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45875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45875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28235-2025</t>
        </is>
      </c>
      <c r="B2438" s="1" t="n">
        <v>45818</v>
      </c>
      <c r="C2438" s="1" t="n">
        <v>45875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45875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45875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45875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28533-2025</t>
        </is>
      </c>
      <c r="B2442" s="1" t="n">
        <v>45819</v>
      </c>
      <c r="C2442" s="1" t="n">
        <v>45875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45875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45875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45875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28590-2025</t>
        </is>
      </c>
      <c r="B2446" s="1" t="n">
        <v>45819</v>
      </c>
      <c r="C2446" s="1" t="n">
        <v>45875</v>
      </c>
      <c r="D2446" t="inlineStr">
        <is>
          <t>JÖNKÖPINGS LÄN</t>
        </is>
      </c>
      <c r="E2446" t="inlineStr">
        <is>
          <t>VETLANDA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28526-2025</t>
        </is>
      </c>
      <c r="B2447" s="1" t="n">
        <v>45819</v>
      </c>
      <c r="C2447" s="1" t="n">
        <v>45875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28530-2025</t>
        </is>
      </c>
      <c r="B2448" s="1" t="n">
        <v>45819</v>
      </c>
      <c r="C2448" s="1" t="n">
        <v>45875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45875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45875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29270-2025</t>
        </is>
      </c>
      <c r="B2451" s="1" t="n">
        <v>45824</v>
      </c>
      <c r="C2451" s="1" t="n">
        <v>45875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45875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29487-2025</t>
        </is>
      </c>
      <c r="B2453" s="1" t="n">
        <v>45824</v>
      </c>
      <c r="C2453" s="1" t="n">
        <v>45875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29453-2025</t>
        </is>
      </c>
      <c r="B2454" s="1" t="n">
        <v>45824</v>
      </c>
      <c r="C2454" s="1" t="n">
        <v>45875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45875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45875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45875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45875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45875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45875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45875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45875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45875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45875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45875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45875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45875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45875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45875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45875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45875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45875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45875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32181-2025</t>
        </is>
      </c>
      <c r="B2474" s="1" t="n">
        <v>45835</v>
      </c>
      <c r="C2474" s="1" t="n">
        <v>45875</v>
      </c>
      <c r="D2474" t="inlineStr">
        <is>
          <t>JÖNKÖPINGS LÄN</t>
        </is>
      </c>
      <c r="E2474" t="inlineStr">
        <is>
          <t>VETLANDA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32413-2025</t>
        </is>
      </c>
      <c r="B2475" s="1" t="n">
        <v>45838</v>
      </c>
      <c r="C2475" s="1" t="n">
        <v>45875</v>
      </c>
      <c r="D2475" t="inlineStr">
        <is>
          <t>JÖNKÖPINGS LÄN</t>
        </is>
      </c>
      <c r="E2475" t="inlineStr">
        <is>
          <t>VETLANDA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32421-2025</t>
        </is>
      </c>
      <c r="B2476" s="1" t="n">
        <v>45838</v>
      </c>
      <c r="C2476" s="1" t="n">
        <v>45875</v>
      </c>
      <c r="D2476" t="inlineStr">
        <is>
          <t>JÖNKÖPINGS LÄN</t>
        </is>
      </c>
      <c r="E2476" t="inlineStr">
        <is>
          <t>VETLANDA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32422-2025</t>
        </is>
      </c>
      <c r="B2477" s="1" t="n">
        <v>45838</v>
      </c>
      <c r="C2477" s="1" t="n">
        <v>45875</v>
      </c>
      <c r="D2477" t="inlineStr">
        <is>
          <t>JÖNKÖPINGS LÄN</t>
        </is>
      </c>
      <c r="E2477" t="inlineStr">
        <is>
          <t>VETLANDA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32468-2025</t>
        </is>
      </c>
      <c r="B2478" s="1" t="n">
        <v>45838</v>
      </c>
      <c r="C2478" s="1" t="n">
        <v>45875</v>
      </c>
      <c r="D2478" t="inlineStr">
        <is>
          <t>JÖNKÖPINGS LÄN</t>
        </is>
      </c>
      <c r="E2478" t="inlineStr">
        <is>
          <t>VETLANDA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32481-2025</t>
        </is>
      </c>
      <c r="B2479" s="1" t="n">
        <v>45838</v>
      </c>
      <c r="C2479" s="1" t="n">
        <v>45875</v>
      </c>
      <c r="D2479" t="inlineStr">
        <is>
          <t>JÖNKÖPINGS LÄN</t>
        </is>
      </c>
      <c r="E2479" t="inlineStr">
        <is>
          <t>VETLANDA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32556-2025</t>
        </is>
      </c>
      <c r="B2480" s="1" t="n">
        <v>45838</v>
      </c>
      <c r="C2480" s="1" t="n">
        <v>45875</v>
      </c>
      <c r="D2480" t="inlineStr">
        <is>
          <t>JÖNKÖPINGS LÄN</t>
        </is>
      </c>
      <c r="E2480" t="inlineStr">
        <is>
          <t>VETLANDA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32853-2025</t>
        </is>
      </c>
      <c r="B2481" s="1" t="n">
        <v>45839</v>
      </c>
      <c r="C2481" s="1" t="n">
        <v>45875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32857-2025</t>
        </is>
      </c>
      <c r="B2482" s="1" t="n">
        <v>45839</v>
      </c>
      <c r="C2482" s="1" t="n">
        <v>45875</v>
      </c>
      <c r="D2482" t="inlineStr">
        <is>
          <t>JÖNKÖPINGS LÄN</t>
        </is>
      </c>
      <c r="E2482" t="inlineStr">
        <is>
          <t>VETLANDA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32867-2025</t>
        </is>
      </c>
      <c r="B2483" s="1" t="n">
        <v>45839</v>
      </c>
      <c r="C2483" s="1" t="n">
        <v>45875</v>
      </c>
      <c r="D2483" t="inlineStr">
        <is>
          <t>JÖNKÖPINGS LÄN</t>
        </is>
      </c>
      <c r="E2483" t="inlineStr">
        <is>
          <t>VETLANDA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32840-2025</t>
        </is>
      </c>
      <c r="B2484" s="1" t="n">
        <v>45839</v>
      </c>
      <c r="C2484" s="1" t="n">
        <v>45875</v>
      </c>
      <c r="D2484" t="inlineStr">
        <is>
          <t>JÖNKÖPINGS LÄN</t>
        </is>
      </c>
      <c r="E2484" t="inlineStr">
        <is>
          <t>VETLANDA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32782-2025</t>
        </is>
      </c>
      <c r="B2485" s="1" t="n">
        <v>45839</v>
      </c>
      <c r="C2485" s="1" t="n">
        <v>45875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32695-2025</t>
        </is>
      </c>
      <c r="B2486" s="1" t="n">
        <v>45839</v>
      </c>
      <c r="C2486" s="1" t="n">
        <v>45875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32804-2025</t>
        </is>
      </c>
      <c r="B2487" s="1" t="n">
        <v>45839</v>
      </c>
      <c r="C2487" s="1" t="n">
        <v>45875</v>
      </c>
      <c r="D2487" t="inlineStr">
        <is>
          <t>JÖNKÖPINGS LÄN</t>
        </is>
      </c>
      <c r="E2487" t="inlineStr">
        <is>
          <t>VETLANDA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32807-2025</t>
        </is>
      </c>
      <c r="B2488" s="1" t="n">
        <v>45839</v>
      </c>
      <c r="C2488" s="1" t="n">
        <v>45875</v>
      </c>
      <c r="D2488" t="inlineStr">
        <is>
          <t>JÖNKÖPINGS LÄN</t>
        </is>
      </c>
      <c r="E2488" t="inlineStr">
        <is>
          <t>VETLANDA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32759-2025</t>
        </is>
      </c>
      <c r="B2489" s="1" t="n">
        <v>45839</v>
      </c>
      <c r="C2489" s="1" t="n">
        <v>45875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32691-2025</t>
        </is>
      </c>
      <c r="B2490" s="1" t="n">
        <v>45839</v>
      </c>
      <c r="C2490" s="1" t="n">
        <v>45875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32727-2025</t>
        </is>
      </c>
      <c r="B2491" s="1" t="n">
        <v>45839</v>
      </c>
      <c r="C2491" s="1" t="n">
        <v>45875</v>
      </c>
      <c r="D2491" t="inlineStr">
        <is>
          <t>JÖNKÖPINGS LÄN</t>
        </is>
      </c>
      <c r="E2491" t="inlineStr">
        <is>
          <t>VETLANDA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32864-2025</t>
        </is>
      </c>
      <c r="B2492" s="1" t="n">
        <v>45839</v>
      </c>
      <c r="C2492" s="1" t="n">
        <v>45875</v>
      </c>
      <c r="D2492" t="inlineStr">
        <is>
          <t>JÖNKÖPINGS LÄN</t>
        </is>
      </c>
      <c r="E2492" t="inlineStr">
        <is>
          <t>VETLANDA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45875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33268-2025</t>
        </is>
      </c>
      <c r="B2494" s="1" t="n">
        <v>45840</v>
      </c>
      <c r="C2494" s="1" t="n">
        <v>45875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33021-2025</t>
        </is>
      </c>
      <c r="B2495" s="1" t="n">
        <v>45840</v>
      </c>
      <c r="C2495" s="1" t="n">
        <v>45875</v>
      </c>
      <c r="D2495" t="inlineStr">
        <is>
          <t>JÖNKÖPINGS LÄN</t>
        </is>
      </c>
      <c r="E2495" t="inlineStr">
        <is>
          <t>VETLANDA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33026-2025</t>
        </is>
      </c>
      <c r="B2496" s="1" t="n">
        <v>45840</v>
      </c>
      <c r="C2496" s="1" t="n">
        <v>45875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33087-2025</t>
        </is>
      </c>
      <c r="B2497" s="1" t="n">
        <v>45840</v>
      </c>
      <c r="C2497" s="1" t="n">
        <v>45875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33257-2025</t>
        </is>
      </c>
      <c r="B2498" s="1" t="n">
        <v>45840</v>
      </c>
      <c r="C2498" s="1" t="n">
        <v>45875</v>
      </c>
      <c r="D2498" t="inlineStr">
        <is>
          <t>JÖNKÖPINGS LÄN</t>
        </is>
      </c>
      <c r="E2498" t="inlineStr">
        <is>
          <t>VETLANDA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33313-2025</t>
        </is>
      </c>
      <c r="B2499" s="1" t="n">
        <v>45841</v>
      </c>
      <c r="C2499" s="1" t="n">
        <v>45875</v>
      </c>
      <c r="D2499" t="inlineStr">
        <is>
          <t>JÖNKÖPINGS LÄN</t>
        </is>
      </c>
      <c r="E2499" t="inlineStr">
        <is>
          <t>VETLANDA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45875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33308-2025</t>
        </is>
      </c>
      <c r="B2501" s="1" t="n">
        <v>45841</v>
      </c>
      <c r="C2501" s="1" t="n">
        <v>45875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33334-2025</t>
        </is>
      </c>
      <c r="B2502" s="1" t="n">
        <v>45841</v>
      </c>
      <c r="C2502" s="1" t="n">
        <v>45875</v>
      </c>
      <c r="D2502" t="inlineStr">
        <is>
          <t>JÖNKÖPINGS LÄN</t>
        </is>
      </c>
      <c r="E2502" t="inlineStr">
        <is>
          <t>VETLANDA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45875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45875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33833-2025</t>
        </is>
      </c>
      <c r="B2505" s="1" t="n">
        <v>45842</v>
      </c>
      <c r="C2505" s="1" t="n">
        <v>45875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33828-2025</t>
        </is>
      </c>
      <c r="B2506" s="1" t="n">
        <v>45842</v>
      </c>
      <c r="C2506" s="1" t="n">
        <v>45875</v>
      </c>
      <c r="D2506" t="inlineStr">
        <is>
          <t>JÖNKÖPINGS LÄN</t>
        </is>
      </c>
      <c r="E2506" t="inlineStr">
        <is>
          <t>VETLANDA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33747-2025</t>
        </is>
      </c>
      <c r="B2507" s="1" t="n">
        <v>45842</v>
      </c>
      <c r="C2507" s="1" t="n">
        <v>45875</v>
      </c>
      <c r="D2507" t="inlineStr">
        <is>
          <t>JÖNKÖPINGS LÄN</t>
        </is>
      </c>
      <c r="E2507" t="inlineStr">
        <is>
          <t>VETLANDA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33755-2025</t>
        </is>
      </c>
      <c r="B2508" s="1" t="n">
        <v>45842</v>
      </c>
      <c r="C2508" s="1" t="n">
        <v>45875</v>
      </c>
      <c r="D2508" t="inlineStr">
        <is>
          <t>JÖNKÖPINGS LÄN</t>
        </is>
      </c>
      <c r="E2508" t="inlineStr">
        <is>
          <t>VETLANDA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34120-2025</t>
        </is>
      </c>
      <c r="B2509" s="1" t="n">
        <v>45845</v>
      </c>
      <c r="C2509" s="1" t="n">
        <v>45875</v>
      </c>
      <c r="D2509" t="inlineStr">
        <is>
          <t>JÖNKÖPINGS LÄN</t>
        </is>
      </c>
      <c r="E2509" t="inlineStr">
        <is>
          <t>VETLANDA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34568-2025</t>
        </is>
      </c>
      <c r="B2510" s="1" t="n">
        <v>45847</v>
      </c>
      <c r="C2510" s="1" t="n">
        <v>45875</v>
      </c>
      <c r="D2510" t="inlineStr">
        <is>
          <t>JÖNKÖPINGS LÄN</t>
        </is>
      </c>
      <c r="E2510" t="inlineStr">
        <is>
          <t>VETLANDA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34567-2025</t>
        </is>
      </c>
      <c r="B2511" s="1" t="n">
        <v>45847</v>
      </c>
      <c r="C2511" s="1" t="n">
        <v>45875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34571-2025</t>
        </is>
      </c>
      <c r="B2512" s="1" t="n">
        <v>45847</v>
      </c>
      <c r="C2512" s="1" t="n">
        <v>45875</v>
      </c>
      <c r="D2512" t="inlineStr">
        <is>
          <t>JÖNKÖPINGS LÄN</t>
        </is>
      </c>
      <c r="E2512" t="inlineStr">
        <is>
          <t>VETLANDA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34566-2025</t>
        </is>
      </c>
      <c r="B2513" s="1" t="n">
        <v>45847</v>
      </c>
      <c r="C2513" s="1" t="n">
        <v>45875</v>
      </c>
      <c r="D2513" t="inlineStr">
        <is>
          <t>JÖNKÖPINGS LÄN</t>
        </is>
      </c>
      <c r="E2513" t="inlineStr">
        <is>
          <t>VETLANDA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34718-2025</t>
        </is>
      </c>
      <c r="B2514" s="1" t="n">
        <v>45848</v>
      </c>
      <c r="C2514" s="1" t="n">
        <v>45875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34756-2025</t>
        </is>
      </c>
      <c r="B2515" s="1" t="n">
        <v>45848</v>
      </c>
      <c r="C2515" s="1" t="n">
        <v>45875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34752-2025</t>
        </is>
      </c>
      <c r="B2516" s="1" t="n">
        <v>45848</v>
      </c>
      <c r="C2516" s="1" t="n">
        <v>45875</v>
      </c>
      <c r="D2516" t="inlineStr">
        <is>
          <t>JÖNKÖPINGS LÄN</t>
        </is>
      </c>
      <c r="E2516" t="inlineStr">
        <is>
          <t>VETLANDA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34763-2025</t>
        </is>
      </c>
      <c r="B2517" s="1" t="n">
        <v>45848</v>
      </c>
      <c r="C2517" s="1" t="n">
        <v>45875</v>
      </c>
      <c r="D2517" t="inlineStr">
        <is>
          <t>JÖNKÖPINGS LÄN</t>
        </is>
      </c>
      <c r="E2517" t="inlineStr">
        <is>
          <t>VETLANDA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35107-2025</t>
        </is>
      </c>
      <c r="B2518" s="1" t="n">
        <v>45852</v>
      </c>
      <c r="C2518" s="1" t="n">
        <v>45875</v>
      </c>
      <c r="D2518" t="inlineStr">
        <is>
          <t>JÖNKÖPINGS LÄN</t>
        </is>
      </c>
      <c r="E2518" t="inlineStr">
        <is>
          <t>VETLANDA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35109-2025</t>
        </is>
      </c>
      <c r="B2519" s="1" t="n">
        <v>45852</v>
      </c>
      <c r="C2519" s="1" t="n">
        <v>45875</v>
      </c>
      <c r="D2519" t="inlineStr">
        <is>
          <t>JÖNKÖPINGS LÄN</t>
        </is>
      </c>
      <c r="E2519" t="inlineStr">
        <is>
          <t>VETLANDA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35114-2025</t>
        </is>
      </c>
      <c r="B2520" s="1" t="n">
        <v>45852</v>
      </c>
      <c r="C2520" s="1" t="n">
        <v>45875</v>
      </c>
      <c r="D2520" t="inlineStr">
        <is>
          <t>JÖNKÖPINGS LÄN</t>
        </is>
      </c>
      <c r="E2520" t="inlineStr">
        <is>
          <t>VETLANDA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35102-2025</t>
        </is>
      </c>
      <c r="B2521" s="1" t="n">
        <v>45852</v>
      </c>
      <c r="C2521" s="1" t="n">
        <v>45875</v>
      </c>
      <c r="D2521" t="inlineStr">
        <is>
          <t>JÖNKÖPINGS LÄN</t>
        </is>
      </c>
      <c r="E2521" t="inlineStr">
        <is>
          <t>VETLANDA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35335-2025</t>
        </is>
      </c>
      <c r="B2522" s="1" t="n">
        <v>45854</v>
      </c>
      <c r="C2522" s="1" t="n">
        <v>45875</v>
      </c>
      <c r="D2522" t="inlineStr">
        <is>
          <t>JÖNKÖPINGS LÄN</t>
        </is>
      </c>
      <c r="E2522" t="inlineStr">
        <is>
          <t>VETLANDA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35669-2025</t>
        </is>
      </c>
      <c r="B2523" s="1" t="n">
        <v>45859</v>
      </c>
      <c r="C2523" s="1" t="n">
        <v>45875</v>
      </c>
      <c r="D2523" t="inlineStr">
        <is>
          <t>JÖNKÖPINGS LÄN</t>
        </is>
      </c>
      <c r="E2523" t="inlineStr">
        <is>
          <t>VETLANDA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35724-2025</t>
        </is>
      </c>
      <c r="B2524" s="1" t="n">
        <v>45860</v>
      </c>
      <c r="C2524" s="1" t="n">
        <v>45875</v>
      </c>
      <c r="D2524" t="inlineStr">
        <is>
          <t>JÖNKÖPINGS LÄN</t>
        </is>
      </c>
      <c r="E2524" t="inlineStr">
        <is>
          <t>VETLANDA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36093-2025</t>
        </is>
      </c>
      <c r="B2525" s="1" t="n">
        <v>45866</v>
      </c>
      <c r="C2525" s="1" t="n">
        <v>45875</v>
      </c>
      <c r="D2525" t="inlineStr">
        <is>
          <t>JÖNKÖPINGS LÄN</t>
        </is>
      </c>
      <c r="E2525" t="inlineStr">
        <is>
          <t>VETLANDA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36040-2025</t>
        </is>
      </c>
      <c r="B2526" s="1" t="n">
        <v>45866</v>
      </c>
      <c r="C2526" s="1" t="n">
        <v>45875</v>
      </c>
      <c r="D2526" t="inlineStr">
        <is>
          <t>JÖNKÖPINGS LÄN</t>
        </is>
      </c>
      <c r="E2526" t="inlineStr">
        <is>
          <t>VETLANDA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36052-2025</t>
        </is>
      </c>
      <c r="B2527" s="1" t="n">
        <v>45866</v>
      </c>
      <c r="C2527" s="1" t="n">
        <v>45875</v>
      </c>
      <c r="D2527" t="inlineStr">
        <is>
          <t>JÖNKÖPINGS LÄN</t>
        </is>
      </c>
      <c r="E2527" t="inlineStr">
        <is>
          <t>VETLANDA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36053-2025</t>
        </is>
      </c>
      <c r="B2528" s="1" t="n">
        <v>45866</v>
      </c>
      <c r="C2528" s="1" t="n">
        <v>45875</v>
      </c>
      <c r="D2528" t="inlineStr">
        <is>
          <t>JÖNKÖPINGS LÄN</t>
        </is>
      </c>
      <c r="E2528" t="inlineStr">
        <is>
          <t>VETLANDA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36094-2025</t>
        </is>
      </c>
      <c r="B2529" s="1" t="n">
        <v>45866</v>
      </c>
      <c r="C2529" s="1" t="n">
        <v>45875</v>
      </c>
      <c r="D2529" t="inlineStr">
        <is>
          <t>JÖNKÖPINGS LÄN</t>
        </is>
      </c>
      <c r="E2529" t="inlineStr">
        <is>
          <t>VETLANDA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36054-2025</t>
        </is>
      </c>
      <c r="B2530" s="1" t="n">
        <v>45866</v>
      </c>
      <c r="C2530" s="1" t="n">
        <v>45875</v>
      </c>
      <c r="D2530" t="inlineStr">
        <is>
          <t>JÖNKÖPINGS LÄN</t>
        </is>
      </c>
      <c r="E2530" t="inlineStr">
        <is>
          <t>VETLANDA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36442-2025</t>
        </is>
      </c>
      <c r="B2531" s="1" t="n">
        <v>45869</v>
      </c>
      <c r="C2531" s="1" t="n">
        <v>45875</v>
      </c>
      <c r="D2531" t="inlineStr">
        <is>
          <t>JÖNKÖPINGS LÄN</t>
        </is>
      </c>
      <c r="E2531" t="inlineStr">
        <is>
          <t>VETLANDA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36446-2025</t>
        </is>
      </c>
      <c r="B2532" s="1" t="n">
        <v>45869</v>
      </c>
      <c r="C2532" s="1" t="n">
        <v>45875</v>
      </c>
      <c r="D2532" t="inlineStr">
        <is>
          <t>JÖNKÖPINGS LÄN</t>
        </is>
      </c>
      <c r="E2532" t="inlineStr">
        <is>
          <t>VETLANDA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36820-2025</t>
        </is>
      </c>
      <c r="B2533" s="1" t="n">
        <v>45873</v>
      </c>
      <c r="C2533" s="1" t="n">
        <v>45875</v>
      </c>
      <c r="D2533" t="inlineStr">
        <is>
          <t>JÖNKÖPINGS LÄN</t>
        </is>
      </c>
      <c r="E2533" t="inlineStr">
        <is>
          <t>VETLANDA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36774-2025</t>
        </is>
      </c>
      <c r="B2534" s="1" t="n">
        <v>45873</v>
      </c>
      <c r="C2534" s="1" t="n">
        <v>45875</v>
      </c>
      <c r="D2534" t="inlineStr">
        <is>
          <t>JÖNKÖPINGS LÄN</t>
        </is>
      </c>
      <c r="E2534" t="inlineStr">
        <is>
          <t>VETLANDA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>
      <c r="A2535" t="inlineStr">
        <is>
          <t>A 36935-2025</t>
        </is>
      </c>
      <c r="B2535" s="1" t="n">
        <v>45874</v>
      </c>
      <c r="C2535" s="1" t="n">
        <v>45875</v>
      </c>
      <c r="D2535" t="inlineStr">
        <is>
          <t>JÖNKÖPINGS LÄN</t>
        </is>
      </c>
      <c r="E2535" t="inlineStr">
        <is>
          <t>VETLANDA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2025-08-06T19:58:49Z</dcterms:created>
  <dcterms:modified xmlns:dcterms="http://purl.org/dc/terms/" xmlns:xsi="http://www.w3.org/2001/XMLSchema-instance" xsi:type="dcterms:W3CDTF">2025-08-06T19:58:51Z</dcterms:modified>
</cp:coreProperties>
</file>