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33797-2024</t>
        </is>
      </c>
      <c r="B5" t="inlineStr">
        <is>
          <t>avverkningsanmälan</t>
        </is>
      </c>
      <c r="C5" t="inlineStr">
        <is>
          <t>Föryngringsavverkning</t>
        </is>
      </c>
      <c r="D5" s="1" t="n">
        <v>45520</v>
      </c>
      <c r="E5" s="1" t="n">
        <v>46322</v>
      </c>
      <c r="F5" t="inlineStr">
        <is>
          <t>JÖNKÖPINGS LÄN</t>
        </is>
      </c>
      <c r="G5" t="inlineStr">
        <is>
          <t>VETLANDA</t>
        </is>
      </c>
      <c r="I5" t="n">
        <v>2</v>
      </c>
      <c r="J5" t="n">
        <v>2</v>
      </c>
      <c r="K5" t="n">
        <v>4</v>
      </c>
      <c r="L5" t="n">
        <v>1</v>
      </c>
      <c r="M5" t="n">
        <v>2</v>
      </c>
      <c r="N5" t="n">
        <v>0</v>
      </c>
      <c r="O5" t="n">
        <v>0</v>
      </c>
      <c r="P5" t="n">
        <v>0</v>
      </c>
      <c r="Q5" t="n">
        <v>3</v>
      </c>
      <c r="R5" t="n">
        <v>2</v>
      </c>
      <c r="S5" t="n">
        <v>8</v>
      </c>
      <c r="T5" t="n">
        <v>15</v>
      </c>
      <c r="U5" t="n">
        <v>6</v>
      </c>
      <c r="V5" s="2" t="inlineStr">
        <is>
          <t>Garnlav
Knärot
Dropptaggsvamp
Brandticka
Gulnål
Stor revmossa
Västlig hakmossa
Vanlig groda</t>
        </is>
      </c>
      <c r="W5">
        <f>HYPERLINK("https://klasma.github.io/Logging_0685/artfynd/A 33797-2024 artfynd.xlsx", "A 33797-2024")</f>
        <v/>
      </c>
      <c r="X5">
        <f>HYPERLINK("https://klasma.github.io/Logging_0685/kartor/A 33797-2024 karta.png", "A 33797-2024")</f>
        <v/>
      </c>
      <c r="Y5">
        <f>HYPERLINK("https://klasma.github.io/Logging_0685/kartor_geotiff/A 33797-2024 georefererad karta.tif", "A 33797-2024")</f>
        <v/>
      </c>
      <c r="Z5">
        <f>HYPERLINK("https://klasma.github.io/Logging_0685/knärot/A 33797-2024 karta knärot.png", "A 33797-2024")</f>
        <v/>
      </c>
      <c r="AA5">
        <f>HYPERLINK("https://klasma.github.io/Logging_0685/klagomål/A 33797-2024 FSC-klagomål.docx", "A 33797-2024")</f>
        <v/>
      </c>
      <c r="AB5">
        <f>HYPERLINK("https://klasma.github.io/Logging_0685/klagomålsmail/A 33797-2024 FSC-klagomål mail.docx", "A 33797-2024")</f>
        <v/>
      </c>
      <c r="AC5">
        <f>HYPERLINK("https://klasma.github.io/Logging_0685/tillsyn/A 33797-2024 tillsynsbegäran.docx", "A 33797-2024")</f>
        <v/>
      </c>
      <c r="AD5">
        <f>HYPERLINK("https://klasma.github.io/Logging_0685/tillsynsmail/A 33797-2024 tillsynsbegäran mail.docx", "A 33797-2024")</f>
        <v/>
      </c>
    </row>
    <row r="6" ht="15" customHeight="1">
      <c r="A6" t="inlineStr">
        <is>
          <t>A 39152-2022</t>
        </is>
      </c>
      <c r="B6" t="inlineStr">
        <is>
          <t>avverkningsanmälan</t>
        </is>
      </c>
      <c r="C6" t="inlineStr">
        <is>
          <t>Föryngringsavverkning</t>
        </is>
      </c>
      <c r="D6" s="1" t="n">
        <v>44817</v>
      </c>
      <c r="E6" s="1" t="n">
        <v>46322</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56270-2022</t>
        </is>
      </c>
      <c r="B7" t="inlineStr">
        <is>
          <t>avverkningsanmälan</t>
        </is>
      </c>
      <c r="C7" t="inlineStr">
        <is>
          <t>Föryngringsavverkning</t>
        </is>
      </c>
      <c r="D7" s="1" t="n">
        <v>44890</v>
      </c>
      <c r="E7" s="1" t="n">
        <v>46322</v>
      </c>
      <c r="F7" t="inlineStr">
        <is>
          <t>JÖNKÖPINGS LÄN</t>
        </is>
      </c>
      <c r="G7" t="inlineStr">
        <is>
          <t>VETLANDA</t>
        </is>
      </c>
      <c r="I7" t="n">
        <v>1.7</v>
      </c>
      <c r="J7" t="n">
        <v>3</v>
      </c>
      <c r="K7" t="n">
        <v>1</v>
      </c>
      <c r="L7" t="n">
        <v>5</v>
      </c>
      <c r="M7" t="n">
        <v>1</v>
      </c>
      <c r="N7" t="n">
        <v>0</v>
      </c>
      <c r="O7" t="n">
        <v>0</v>
      </c>
      <c r="P7" t="n">
        <v>0</v>
      </c>
      <c r="Q7" t="n">
        <v>6</v>
      </c>
      <c r="R7" t="n">
        <v>1</v>
      </c>
      <c r="S7" t="n">
        <v>8</v>
      </c>
      <c r="T7" t="n">
        <v>15</v>
      </c>
      <c r="U7" t="n">
        <v>1</v>
      </c>
      <c r="V7" s="2" t="inlineStr">
        <is>
          <t>Knärot
Dofttaggsvamp
Fjällig taggsvamp s.str.
Grönsångare
Orange taggsvamp
Svartvit taggsvamp
Grönpyrola
Blåsippa</t>
        </is>
      </c>
      <c r="W7">
        <f>HYPERLINK("https://klasma.github.io/Logging_0685/artfynd/A 56270-2022 artfynd.xlsx", "A 56270-2022")</f>
        <v/>
      </c>
      <c r="X7">
        <f>HYPERLINK("https://klasma.github.io/Logging_0685/kartor/A 56270-2022 karta.png", "A 56270-2022")</f>
        <v/>
      </c>
      <c r="Y7">
        <f>HYPERLINK("https://klasma.github.io/Logging_0685/kartor_geotiff/A 56270-2022 georefererad karta.tif", "A 56270-2022")</f>
        <v/>
      </c>
      <c r="Z7">
        <f>HYPERLINK("https://klasma.github.io/Logging_0685/knärot/A 56270-2022 karta knärot.png", "A 56270-2022")</f>
        <v/>
      </c>
      <c r="AA7">
        <f>HYPERLINK("https://klasma.github.io/Logging_0685/klagomål/A 56270-2022 FSC-klagomål.docx", "A 56270-2022")</f>
        <v/>
      </c>
      <c r="AB7">
        <f>HYPERLINK("https://klasma.github.io/Logging_0685/klagomålsmail/A 56270-2022 FSC-klagomål mail.docx", "A 56270-2022")</f>
        <v/>
      </c>
      <c r="AC7">
        <f>HYPERLINK("https://klasma.github.io/Logging_0685/tillsyn/A 56270-2022 tillsynsbegäran.docx", "A 56270-2022")</f>
        <v/>
      </c>
      <c r="AD7">
        <f>HYPERLINK("https://klasma.github.io/Logging_0685/tillsynsmail/A 56270-2022 tillsynsbegäran mail.docx", "A 56270-2022")</f>
        <v/>
      </c>
      <c r="AE7">
        <f>HYPERLINK("https://klasma.github.io/Logging_0685/fåglar/A 56270-2022 prioriterade fågelarter.docx", "A 56270-2022")</f>
        <v/>
      </c>
    </row>
    <row r="8" ht="15" customHeight="1">
      <c r="A8" t="inlineStr">
        <is>
          <t>A 43195-2023</t>
        </is>
      </c>
      <c r="B8" t="inlineStr">
        <is>
          <t>avverkningsanmälan</t>
        </is>
      </c>
      <c r="C8" t="inlineStr">
        <is>
          <t>Föryngringsavverkning</t>
        </is>
      </c>
      <c r="D8" s="1" t="n">
        <v>45183</v>
      </c>
      <c r="E8" s="1" t="n">
        <v>46322</v>
      </c>
      <c r="F8" t="inlineStr">
        <is>
          <t>JÖNKÖPINGS LÄN</t>
        </is>
      </c>
      <c r="G8" t="inlineStr">
        <is>
          <t>VETLANDA</t>
        </is>
      </c>
      <c r="I8" t="n">
        <v>11.9</v>
      </c>
      <c r="J8" t="n">
        <v>2</v>
      </c>
      <c r="K8" t="n">
        <v>1</v>
      </c>
      <c r="L8" t="n">
        <v>4</v>
      </c>
      <c r="M8" t="n">
        <v>2</v>
      </c>
      <c r="N8" t="n">
        <v>0</v>
      </c>
      <c r="O8" t="n">
        <v>0</v>
      </c>
      <c r="P8" t="n">
        <v>0</v>
      </c>
      <c r="Q8" t="n">
        <v>6</v>
      </c>
      <c r="R8" t="n">
        <v>2</v>
      </c>
      <c r="S8" t="n">
        <v>7</v>
      </c>
      <c r="T8" t="n">
        <v>8</v>
      </c>
      <c r="U8" t="n">
        <v>8</v>
      </c>
      <c r="V8" s="2" t="inlineStr">
        <is>
          <t>Gränsticka
Knärot
Fjällig taggsvamp s.str.
Talltita
Ullticka
Vågticka
Vedticka</t>
        </is>
      </c>
      <c r="W8">
        <f>HYPERLINK("https://klasma.github.io/Logging_0685/artfynd/A 43195-2023 artfynd.xlsx", "A 43195-2023")</f>
        <v/>
      </c>
      <c r="X8">
        <f>HYPERLINK("https://klasma.github.io/Logging_0685/kartor/A 43195-2023 karta.png", "A 43195-2023")</f>
        <v/>
      </c>
      <c r="Y8">
        <f>HYPERLINK("https://klasma.github.io/Logging_0685/kartor_geotiff/A 43195-2023 georefererad karta.tif", "A 43195-2023")</f>
        <v/>
      </c>
      <c r="Z8">
        <f>HYPERLINK("https://klasma.github.io/Logging_0685/knärot/A 43195-2023 karta knärot.png", "A 43195-2023")</f>
        <v/>
      </c>
      <c r="AA8">
        <f>HYPERLINK("https://klasma.github.io/Logging_0685/klagomål/A 43195-2023 FSC-klagomål.docx", "A 43195-2023")</f>
        <v/>
      </c>
      <c r="AB8">
        <f>HYPERLINK("https://klasma.github.io/Logging_0685/klagomålsmail/A 43195-2023 FSC-klagomål mail.docx", "A 43195-2023")</f>
        <v/>
      </c>
      <c r="AC8">
        <f>HYPERLINK("https://klasma.github.io/Logging_0685/tillsyn/A 43195-2023 tillsynsbegäran.docx", "A 43195-2023")</f>
        <v/>
      </c>
      <c r="AD8">
        <f>HYPERLINK("https://klasma.github.io/Logging_0685/tillsynsmail/A 43195-2023 tillsynsbegäran mail.docx", "A 43195-2023")</f>
        <v/>
      </c>
      <c r="AE8">
        <f>HYPERLINK("https://klasma.github.io/Logging_0685/fåglar/A 43195-2023 prioriterade fågelarter.docx", "A 43195-2023")</f>
        <v/>
      </c>
    </row>
    <row r="9" ht="15" customHeight="1">
      <c r="A9" t="inlineStr">
        <is>
          <t>S 3777-2024</t>
        </is>
      </c>
      <c r="B9" t="inlineStr">
        <is>
          <t>samrådsanmälan</t>
        </is>
      </c>
      <c r="C9" t="inlineStr">
        <is>
          <t>Annan skogsbruksåtgärd</t>
        </is>
      </c>
      <c r="D9" s="1" t="n">
        <v>45558</v>
      </c>
      <c r="E9" s="1" t="n">
        <v>46322</v>
      </c>
      <c r="F9" t="inlineStr">
        <is>
          <t>JÖNKÖPINGS LÄN</t>
        </is>
      </c>
      <c r="G9" t="inlineStr">
        <is>
          <t>VETLANDA</t>
        </is>
      </c>
      <c r="I9" t="n">
        <v>2.3</v>
      </c>
      <c r="J9" t="n">
        <v>1</v>
      </c>
      <c r="K9" t="n">
        <v>3</v>
      </c>
      <c r="L9" t="n">
        <v>3</v>
      </c>
      <c r="M9" t="n">
        <v>1</v>
      </c>
      <c r="N9" t="n">
        <v>0</v>
      </c>
      <c r="O9" t="n">
        <v>0</v>
      </c>
      <c r="P9" t="n">
        <v>0</v>
      </c>
      <c r="Q9" t="n">
        <v>4</v>
      </c>
      <c r="R9" t="n">
        <v>1</v>
      </c>
      <c r="S9" t="n">
        <v>7</v>
      </c>
      <c r="T9" t="n">
        <v>20</v>
      </c>
      <c r="U9" t="n">
        <v>0</v>
      </c>
      <c r="V9" s="2" t="inlineStr">
        <is>
          <t>Knärot
Dropptaggsvamp
Orange taggsvamp
Skarp dropptaggsvamp
Blomkålssvamp
Brandticka
Grönpyrola</t>
        </is>
      </c>
      <c r="W9">
        <f>HYPERLINK("https://klasma.github.io/Logging_0685/artfynd/S 3777-2024 artfynd.xlsx", "S 3777-2024")</f>
        <v/>
      </c>
      <c r="X9">
        <f>HYPERLINK("https://klasma.github.io/Logging_0685/kartor/S 3777-2024 karta.png", "S 3777-2024")</f>
        <v/>
      </c>
      <c r="Y9">
        <f>HYPERLINK("https://klasma.github.io/Logging_0685/kartor_geotiff/S 3777-2024 georefererad karta.tif", "S 3777-2024")</f>
        <v/>
      </c>
      <c r="Z9">
        <f>HYPERLINK("https://klasma.github.io/Logging_0685/knärot/S 3777-2024 karta knärot.png", "S 3777-2024")</f>
        <v/>
      </c>
      <c r="AA9">
        <f>HYPERLINK("https://klasma.github.io/Logging_0685/klagomål/S 3777-2024 FSC-klagomål.docx", "S 3777-2024")</f>
        <v/>
      </c>
      <c r="AB9">
        <f>HYPERLINK("https://klasma.github.io/Logging_0685/klagomålsmail/S 3777-2024 FSC-klagomål mail.docx", "S 3777-2024")</f>
        <v/>
      </c>
      <c r="AC9">
        <f>HYPERLINK("https://klasma.github.io/Logging_0685/tillsyn/S 3777-2024 tillsynsbegäran.docx", "S 3777-2024")</f>
        <v/>
      </c>
      <c r="AD9">
        <f>HYPERLINK("https://klasma.github.io/Logging_0685/tillsynsmail/S 3777-2024 tillsynsbegäran mail.docx", "S 3777-2024")</f>
        <v/>
      </c>
    </row>
    <row r="10" ht="15" customHeight="1">
      <c r="A10" t="inlineStr">
        <is>
          <t>S 2861-2023</t>
        </is>
      </c>
      <c r="B10" t="inlineStr">
        <is>
          <t>samrådsanmälan</t>
        </is>
      </c>
      <c r="C10" t="inlineStr">
        <is>
          <t>Askåterföring</t>
        </is>
      </c>
      <c r="D10" s="1" t="n">
        <v>45168</v>
      </c>
      <c r="E10" s="1" t="n">
        <v>46322</v>
      </c>
      <c r="F10" t="inlineStr">
        <is>
          <t>JÖNKÖPINGS LÄN</t>
        </is>
      </c>
      <c r="G10" t="inlineStr">
        <is>
          <t>VETLANDA</t>
        </is>
      </c>
      <c r="I10" t="n">
        <v>34.4</v>
      </c>
      <c r="J10" t="n">
        <v>3</v>
      </c>
      <c r="K10" t="n">
        <v>0</v>
      </c>
      <c r="L10" t="n">
        <v>3</v>
      </c>
      <c r="M10" t="n">
        <v>1</v>
      </c>
      <c r="N10" t="n">
        <v>0</v>
      </c>
      <c r="O10" t="n">
        <v>0</v>
      </c>
      <c r="P10" t="n">
        <v>0</v>
      </c>
      <c r="Q10" t="n">
        <v>4</v>
      </c>
      <c r="R10" t="n">
        <v>1</v>
      </c>
      <c r="S10" t="n">
        <v>7</v>
      </c>
      <c r="T10" t="n">
        <v>8</v>
      </c>
      <c r="U10" t="n">
        <v>0</v>
      </c>
      <c r="V10" s="2" t="inlineStr">
        <is>
          <t>Bredbrämad bastardsvärmare
Berggräsfjäril
Sårläka
Tennfibbla
Blåsippa
Grönvit nattviol
Nattviol</t>
        </is>
      </c>
      <c r="W10">
        <f>HYPERLINK("https://klasma.github.io/Logging_0685/artfynd/S 2861-2023 artfynd.xlsx", "S 2861-2023")</f>
        <v/>
      </c>
      <c r="X10">
        <f>HYPERLINK("https://klasma.github.io/Logging_0685/kartor/S 2861-2023 karta.png", "S 2861-2023")</f>
        <v/>
      </c>
      <c r="Y10">
        <f>HYPERLINK("https://klasma.github.io/Logging_0685/kartor_geotiff/S 2861-2023 georefererad karta.tif", "S 2861-2023")</f>
        <v/>
      </c>
      <c r="AA10">
        <f>HYPERLINK("https://klasma.github.io/Logging_0685/klagomål/S 2861-2023 FSC-klagomål.docx", "S 2861-2023")</f>
        <v/>
      </c>
      <c r="AB10">
        <f>HYPERLINK("https://klasma.github.io/Logging_0685/klagomålsmail/S 2861-2023 FSC-klagomål mail.docx", "S 2861-2023")</f>
        <v/>
      </c>
      <c r="AC10">
        <f>HYPERLINK("https://klasma.github.io/Logging_0685/tillsyn/S 2861-2023 tillsynsbegäran.docx", "S 2861-2023")</f>
        <v/>
      </c>
      <c r="AD10">
        <f>HYPERLINK("https://klasma.github.io/Logging_0685/tillsynsmail/S 2861-2023 tillsynsbegäran mail.docx", "S 2861-2023")</f>
        <v/>
      </c>
    </row>
    <row r="11" ht="15" customHeight="1">
      <c r="A11" t="inlineStr">
        <is>
          <t>S 871-2026</t>
        </is>
      </c>
      <c r="B11" t="inlineStr">
        <is>
          <t>samrådsanmälan</t>
        </is>
      </c>
      <c r="C11" t="inlineStr">
        <is>
          <t>Annan skogsbruksåtgärd</t>
        </is>
      </c>
      <c r="D11" s="1" t="n">
        <v>46107</v>
      </c>
      <c r="E11" s="1" t="n">
        <v>46322</v>
      </c>
      <c r="F11" t="inlineStr">
        <is>
          <t>JÖNKÖPINGS LÄN</t>
        </is>
      </c>
      <c r="G11" t="inlineStr">
        <is>
          <t>VETLANDA</t>
        </is>
      </c>
      <c r="H11" t="inlineStr">
        <is>
          <t>Sveaskog</t>
        </is>
      </c>
      <c r="I11" t="n">
        <v>9.800000000000001</v>
      </c>
      <c r="J11" t="n">
        <v>1</v>
      </c>
      <c r="K11" t="n">
        <v>4</v>
      </c>
      <c r="L11" t="n">
        <v>2</v>
      </c>
      <c r="M11" t="n">
        <v>0</v>
      </c>
      <c r="N11" t="n">
        <v>0</v>
      </c>
      <c r="O11" t="n">
        <v>0</v>
      </c>
      <c r="P11" t="n">
        <v>0</v>
      </c>
      <c r="Q11" t="n">
        <v>2</v>
      </c>
      <c r="R11" t="n">
        <v>0</v>
      </c>
      <c r="S11" t="n">
        <v>7</v>
      </c>
      <c r="T11" t="n">
        <v>7</v>
      </c>
      <c r="U11" t="n">
        <v>0</v>
      </c>
      <c r="V11" s="2" t="inlineStr">
        <is>
          <t>Gropig brunbagge
Kolsvart trädbasbagge
Björksplintborre
Dorcatoma dresdensis
Mindre märgborre
Thymalus limbatus
Tjäder</t>
        </is>
      </c>
      <c r="W11">
        <f>HYPERLINK("https://klasma.github.io/Logging_0685/artfynd/S 871-2026 artfynd.xlsx", "S 871-2026")</f>
        <v/>
      </c>
      <c r="X11">
        <f>HYPERLINK("https://klasma.github.io/Logging_0685/kartor/S 871-2026 karta.png", "S 871-2026")</f>
        <v/>
      </c>
      <c r="Y11">
        <f>HYPERLINK("https://klasma.github.io/Logging_0685/kartor_geotiff/S 871-2026 georefererad karta.tif", "S 871-2026")</f>
        <v/>
      </c>
      <c r="AA11">
        <f>HYPERLINK("https://klasma.github.io/Logging_0685/klagomål/S 871-2026 FSC-klagomål.docx", "S 871-2026")</f>
        <v/>
      </c>
      <c r="AB11">
        <f>HYPERLINK("https://klasma.github.io/Logging_0685/klagomålsmail/S 871-2026 FSC-klagomål mail.docx", "S 871-2026")</f>
        <v/>
      </c>
      <c r="AC11">
        <f>HYPERLINK("https://klasma.github.io/Logging_0685/tillsyn/S 871-2026 tillsynsbegäran.docx", "S 871-2026")</f>
        <v/>
      </c>
      <c r="AD11">
        <f>HYPERLINK("https://klasma.github.io/Logging_0685/tillsynsmail/S 871-2026 tillsynsbegäran mail.docx", "S 871-2026")</f>
        <v/>
      </c>
      <c r="AE11">
        <f>HYPERLINK("https://klasma.github.io/Logging_0685/fåglar/S 871-2026 prioriterade fågelarter.docx", "S 871-2026")</f>
        <v/>
      </c>
    </row>
    <row r="12" ht="15" customHeight="1">
      <c r="A12" t="inlineStr">
        <is>
          <t>A 47348-2025</t>
        </is>
      </c>
      <c r="B12" t="inlineStr">
        <is>
          <t>avverkningsanmälan</t>
        </is>
      </c>
      <c r="C12" t="inlineStr">
        <is>
          <t>Föryngringsavverkning</t>
        </is>
      </c>
      <c r="D12" s="1" t="n">
        <v>45930</v>
      </c>
      <c r="E12" s="1" t="n">
        <v>46322</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46322</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46322</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47577-2023</t>
        </is>
      </c>
      <c r="B16" t="inlineStr">
        <is>
          <t>avverkningsanmälan</t>
        </is>
      </c>
      <c r="C16" t="inlineStr">
        <is>
          <t>Föryngringsavverkning</t>
        </is>
      </c>
      <c r="D16" s="1" t="n">
        <v>45203</v>
      </c>
      <c r="E16" s="1" t="n">
        <v>46322</v>
      </c>
      <c r="F16" t="inlineStr">
        <is>
          <t>JÖNKÖPINGS LÄN</t>
        </is>
      </c>
      <c r="G16" t="inlineStr">
        <is>
          <t>VETLANDA</t>
        </is>
      </c>
      <c r="I16" t="n">
        <v>5.6</v>
      </c>
      <c r="J16" t="n">
        <v>1</v>
      </c>
      <c r="K16" t="n">
        <v>2</v>
      </c>
      <c r="L16" t="n">
        <v>0</v>
      </c>
      <c r="M16" t="n">
        <v>2</v>
      </c>
      <c r="N16" t="n">
        <v>0</v>
      </c>
      <c r="O16" t="n">
        <v>0</v>
      </c>
      <c r="P16" t="n">
        <v>0</v>
      </c>
      <c r="Q16" t="n">
        <v>2</v>
      </c>
      <c r="R16" t="n">
        <v>2</v>
      </c>
      <c r="S16" t="n">
        <v>4</v>
      </c>
      <c r="T16" t="n">
        <v>4</v>
      </c>
      <c r="U16" t="n">
        <v>3</v>
      </c>
      <c r="V16" s="2" t="inlineStr">
        <is>
          <t>Citronfingersvamp
Knärot
Blomkålssvamp
Grönpyrola</t>
        </is>
      </c>
      <c r="W16">
        <f>HYPERLINK("https://klasma.github.io/Logging_0685/artfynd/A 47577-2023 artfynd.xlsx", "A 47577-2023")</f>
        <v/>
      </c>
      <c r="X16">
        <f>HYPERLINK("https://klasma.github.io/Logging_0685/kartor/A 47577-2023 karta.png", "A 47577-2023")</f>
        <v/>
      </c>
      <c r="Y16">
        <f>HYPERLINK("https://klasma.github.io/Logging_0685/kartor_geotiff/A 47577-2023 georefererad karta.tif", "A 47577-2023")</f>
        <v/>
      </c>
      <c r="Z16">
        <f>HYPERLINK("https://klasma.github.io/Logging_0685/knärot/A 47577-2023 karta knärot.png", "A 47577-2023")</f>
        <v/>
      </c>
      <c r="AA16">
        <f>HYPERLINK("https://klasma.github.io/Logging_0685/klagomål/A 47577-2023 FSC-klagomål.docx", "A 47577-2023")</f>
        <v/>
      </c>
      <c r="AB16">
        <f>HYPERLINK("https://klasma.github.io/Logging_0685/klagomålsmail/A 47577-2023 FSC-klagomål mail.docx", "A 47577-2023")</f>
        <v/>
      </c>
      <c r="AC16">
        <f>HYPERLINK("https://klasma.github.io/Logging_0685/tillsyn/A 47577-2023 tillsynsbegäran.docx", "A 47577-2023")</f>
        <v/>
      </c>
      <c r="AD16">
        <f>HYPERLINK("https://klasma.github.io/Logging_0685/tillsynsmail/A 47577-2023 tillsynsbegäran mail.docx", "A 47577-2023")</f>
        <v/>
      </c>
    </row>
    <row r="17" ht="15" customHeight="1">
      <c r="A17" t="inlineStr">
        <is>
          <t>A 44697-2022</t>
        </is>
      </c>
      <c r="B17" t="inlineStr">
        <is>
          <t>avverkningsanmälan</t>
        </is>
      </c>
      <c r="C17" t="inlineStr">
        <is>
          <t>Föryngringsavverkning</t>
        </is>
      </c>
      <c r="D17" s="1" t="n">
        <v>44840</v>
      </c>
      <c r="E17" s="1" t="n">
        <v>46322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46322</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46322</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46322</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46322</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46322</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46322</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46322</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46322</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46322</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46781-2024</t>
        </is>
      </c>
      <c r="B27" t="inlineStr">
        <is>
          <t>avverkningsanmälan</t>
        </is>
      </c>
      <c r="C27" t="inlineStr">
        <is>
          <t>Avverkning för annat ändamål</t>
        </is>
      </c>
      <c r="D27" s="1" t="n">
        <v>45583</v>
      </c>
      <c r="E27" s="1" t="n">
        <v>46322</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4502-2026</t>
        </is>
      </c>
      <c r="B28" t="inlineStr">
        <is>
          <t>avverkningsanmälan</t>
        </is>
      </c>
      <c r="C28" t="inlineStr">
        <is>
          <t>Föryngringsavverkning</t>
        </is>
      </c>
      <c r="D28" s="1" t="n">
        <v>46045</v>
      </c>
      <c r="E28" s="1" t="n">
        <v>46322</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39819-2022</t>
        </is>
      </c>
      <c r="B29" t="inlineStr">
        <is>
          <t>avverkningsanmälan</t>
        </is>
      </c>
      <c r="C29" t="inlineStr">
        <is>
          <t>Föryngringsavverkning</t>
        </is>
      </c>
      <c r="D29" s="1" t="n">
        <v>44819</v>
      </c>
      <c r="E29" s="1" t="n">
        <v>46322</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18510-2025</t>
        </is>
      </c>
      <c r="B30" t="inlineStr">
        <is>
          <t>avverkningsanmälan</t>
        </is>
      </c>
      <c r="C30" t="inlineStr">
        <is>
          <t>Föryngringsavverkning</t>
        </is>
      </c>
      <c r="D30" s="1" t="n">
        <v>45763</v>
      </c>
      <c r="E30" s="1" t="n">
        <v>46322</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t="n">
        <v>3</v>
      </c>
      <c r="V30" s="2" t="inlineStr">
        <is>
          <t>Växeltandsfibbla
Spretfibbla
Svinrot</t>
        </is>
      </c>
      <c r="W30">
        <f>HYPERLINK("https://klasma.github.io/Logging_0685/artfynd/A 18510-2025 artfynd.xlsx", "A 18510-2025")</f>
        <v/>
      </c>
      <c r="X30">
        <f>HYPERLINK("https://klasma.github.io/Logging_0685/kartor/A 18510-2025 karta.png", "A 18510-2025")</f>
        <v/>
      </c>
      <c r="Y30">
        <f>HYPERLINK("https://klasma.github.io/Logging_0685/kartor_geotiff/A 18510-2025 georefererad karta.tif", "A 18510-2025")</f>
        <v/>
      </c>
      <c r="AA30">
        <f>HYPERLINK("https://klasma.github.io/Logging_0685/klagomål/A 18510-2025 FSC-klagomål.docx", "A 18510-2025")</f>
        <v/>
      </c>
      <c r="AB30">
        <f>HYPERLINK("https://klasma.github.io/Logging_0685/klagomålsmail/A 18510-2025 FSC-klagomål mail.docx", "A 18510-2025")</f>
        <v/>
      </c>
      <c r="AC30">
        <f>HYPERLINK("https://klasma.github.io/Logging_0685/tillsyn/A 18510-2025 tillsynsbegäran.docx", "A 18510-2025")</f>
        <v/>
      </c>
      <c r="AD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46322</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27725-2025</t>
        </is>
      </c>
      <c r="B32" t="inlineStr">
        <is>
          <t>avverkningsanmälan</t>
        </is>
      </c>
      <c r="C32" t="inlineStr">
        <is>
          <t>Föryngringsavverkning</t>
        </is>
      </c>
      <c r="D32" s="1" t="n">
        <v>45814</v>
      </c>
      <c r="E32" s="1" t="n">
        <v>46322</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46322</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34569-2026</t>
        </is>
      </c>
      <c r="B34" t="inlineStr">
        <is>
          <t>avverkningsanmälan</t>
        </is>
      </c>
      <c r="C34" t="inlineStr">
        <is>
          <t>Föryngringsavverkning</t>
        </is>
      </c>
      <c r="D34" s="1" t="n">
        <v>46255</v>
      </c>
      <c r="E34" s="1" t="n">
        <v>46322</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46322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46322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46322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46322</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46322</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46322</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2323-2024</t>
        </is>
      </c>
      <c r="B41" t="inlineStr">
        <is>
          <t>avverkningsanmälan</t>
        </is>
      </c>
      <c r="C41" t="inlineStr">
        <is>
          <t>Föryngringsavverkning</t>
        </is>
      </c>
      <c r="D41" s="1" t="n">
        <v>45310</v>
      </c>
      <c r="E41" s="1" t="n">
        <v>46322</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t="n">
        <v>0</v>
      </c>
      <c r="V41" s="2" t="inlineStr">
        <is>
          <t>Solvända
Gullviva</t>
        </is>
      </c>
      <c r="W41">
        <f>HYPERLINK("https://klasma.github.io/Logging_0685/artfynd/A 2323-2024 artfynd.xlsx", "A 2323-2024")</f>
        <v/>
      </c>
      <c r="X41">
        <f>HYPERLINK("https://klasma.github.io/Logging_0685/kartor/A 2323-2024 karta.png", "A 2323-2024")</f>
        <v/>
      </c>
      <c r="Y41">
        <f>HYPERLINK("https://klasma.github.io/Logging_0685/kartor_geotiff/A 2323-2024 georefererad karta.tif", "A 2323-2024")</f>
        <v/>
      </c>
      <c r="AA41">
        <f>HYPERLINK("https://klasma.github.io/Logging_0685/klagomål/A 2323-2024 FSC-klagomål.docx", "A 2323-2024")</f>
        <v/>
      </c>
      <c r="AB41">
        <f>HYPERLINK("https://klasma.github.io/Logging_0685/klagomålsmail/A 2323-2024 FSC-klagomål mail.docx", "A 2323-2024")</f>
        <v/>
      </c>
      <c r="AC41">
        <f>HYPERLINK("https://klasma.github.io/Logging_0685/tillsyn/A 2323-2024 tillsynsbegäran.docx", "A 2323-2024")</f>
        <v/>
      </c>
      <c r="AD41">
        <f>HYPERLINK("https://klasma.github.io/Logging_0685/tillsynsmail/A 2323-2024 tillsynsbegäran mail.docx", "A 2323-2024")</f>
        <v/>
      </c>
    </row>
    <row r="42" ht="15" customHeight="1">
      <c r="A42" t="inlineStr">
        <is>
          <t>A 54525-2025</t>
        </is>
      </c>
      <c r="B42" t="inlineStr">
        <is>
          <t>avverkningsanmälan</t>
        </is>
      </c>
      <c r="C42" t="inlineStr">
        <is>
          <t>Föryngringsavverkning</t>
        </is>
      </c>
      <c r="D42" s="1" t="n">
        <v>45965</v>
      </c>
      <c r="E42" s="1" t="n">
        <v>46322</v>
      </c>
      <c r="F42" t="inlineStr">
        <is>
          <t>JÖNKÖPINGS LÄN</t>
        </is>
      </c>
      <c r="G42" t="inlineStr">
        <is>
          <t>VETLANDA</t>
        </is>
      </c>
      <c r="I42" t="n">
        <v>2.6</v>
      </c>
      <c r="J42" t="n">
        <v>2</v>
      </c>
      <c r="K42" t="n">
        <v>0</v>
      </c>
      <c r="L42" t="n">
        <v>1</v>
      </c>
      <c r="M42" t="n">
        <v>0</v>
      </c>
      <c r="N42" t="n">
        <v>0</v>
      </c>
      <c r="O42" t="n">
        <v>0</v>
      </c>
      <c r="P42" t="n">
        <v>0</v>
      </c>
      <c r="Q42" t="n">
        <v>1</v>
      </c>
      <c r="R42" t="n">
        <v>0</v>
      </c>
      <c r="S42" t="n">
        <v>2</v>
      </c>
      <c r="T42" t="n">
        <v>2</v>
      </c>
      <c r="U42" t="n">
        <v>2</v>
      </c>
      <c r="V42" s="2" t="inlineStr">
        <is>
          <t>Entita
Törnskata</t>
        </is>
      </c>
      <c r="W42">
        <f>HYPERLINK("https://klasma.github.io/Logging_0685/artfynd/A 54525-2025 artfynd.xlsx", "A 54525-2025")</f>
        <v/>
      </c>
      <c r="X42">
        <f>HYPERLINK("https://klasma.github.io/Logging_0685/kartor/A 54525-2025 karta.png", "A 54525-2025")</f>
        <v/>
      </c>
      <c r="Y42">
        <f>HYPERLINK("https://klasma.github.io/Logging_0685/kartor_geotiff/A 54525-2025 georefererad karta.tif", "A 54525-2025")</f>
        <v/>
      </c>
      <c r="AA42">
        <f>HYPERLINK("https://klasma.github.io/Logging_0685/klagomål/A 54525-2025 FSC-klagomål.docx", "A 54525-2025")</f>
        <v/>
      </c>
      <c r="AB42">
        <f>HYPERLINK("https://klasma.github.io/Logging_0685/klagomålsmail/A 54525-2025 FSC-klagomål mail.docx", "A 54525-2025")</f>
        <v/>
      </c>
      <c r="AC42">
        <f>HYPERLINK("https://klasma.github.io/Logging_0685/tillsyn/A 54525-2025 tillsynsbegäran.docx", "A 54525-2025")</f>
        <v/>
      </c>
      <c r="AD42">
        <f>HYPERLINK("https://klasma.github.io/Logging_0685/tillsynsmail/A 54525-2025 tillsynsbegäran mail.docx", "A 54525-2025")</f>
        <v/>
      </c>
      <c r="AE42">
        <f>HYPERLINK("https://klasma.github.io/Logging_0685/fåglar/A 54525-2025 prioriterade fågelarter.docx", "A 54525-2025")</f>
        <v/>
      </c>
    </row>
    <row r="43" ht="15" customHeight="1">
      <c r="A43" t="inlineStr">
        <is>
          <t>A 8838-2025</t>
        </is>
      </c>
      <c r="B43" t="inlineStr">
        <is>
          <t>avverkningsanmälan</t>
        </is>
      </c>
      <c r="C43" t="inlineStr">
        <is>
          <t>Föryngringsavverkning</t>
        </is>
      </c>
      <c r="D43" s="1" t="n">
        <v>45713</v>
      </c>
      <c r="E43" s="1" t="n">
        <v>46322</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23540-2025</t>
        </is>
      </c>
      <c r="B44" t="inlineStr">
        <is>
          <t>avverkningsanmälan</t>
        </is>
      </c>
      <c r="C44" t="inlineStr">
        <is>
          <t>Föryngringsavverkning</t>
        </is>
      </c>
      <c r="D44" s="1" t="n">
        <v>45792</v>
      </c>
      <c r="E44" s="1" t="n">
        <v>46322</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31979-2025</t>
        </is>
      </c>
      <c r="B45" t="inlineStr">
        <is>
          <t>avverkningsanmälan</t>
        </is>
      </c>
      <c r="C45" t="inlineStr">
        <is>
          <t>Avverkning för att bevara och utveckla /försöksver</t>
        </is>
      </c>
      <c r="D45" s="1" t="n">
        <v>45835</v>
      </c>
      <c r="E45" s="1" t="n">
        <v>46322</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46322</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9122-2025</t>
        </is>
      </c>
      <c r="B47" t="inlineStr">
        <is>
          <t>avverkningsanmälan</t>
        </is>
      </c>
      <c r="C47" t="inlineStr">
        <is>
          <t>Föryngringsavverkning</t>
        </is>
      </c>
      <c r="D47" s="1" t="n">
        <v>45713</v>
      </c>
      <c r="E47" s="1" t="n">
        <v>46322</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35724-2025</t>
        </is>
      </c>
      <c r="B48" t="inlineStr">
        <is>
          <t>avverkningsanmälan</t>
        </is>
      </c>
      <c r="C48" t="inlineStr">
        <is>
          <t>Avverkning för annat ändamål</t>
        </is>
      </c>
      <c r="D48" s="1" t="n">
        <v>45860</v>
      </c>
      <c r="E48" s="1" t="n">
        <v>46322</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2368-2025</t>
        </is>
      </c>
      <c r="B49" t="inlineStr">
        <is>
          <t>avverkningsanmälan</t>
        </is>
      </c>
      <c r="C49" t="inlineStr">
        <is>
          <t>Föryngringsavverkning</t>
        </is>
      </c>
      <c r="D49" s="1" t="n">
        <v>45673</v>
      </c>
      <c r="E49" s="1" t="n">
        <v>46322</v>
      </c>
      <c r="F49" t="inlineStr">
        <is>
          <t>JÖNKÖPINGS LÄN</t>
        </is>
      </c>
      <c r="G49" t="inlineStr">
        <is>
          <t>VETLANDA</t>
        </is>
      </c>
      <c r="I49" t="n">
        <v>1.9</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HYPERLINK("https://klasma.github.io/Logging_0685/artfynd/A 2368-2025 artfynd.xlsx", "A 2368-2025")</f>
        <v/>
      </c>
      <c r="X49">
        <f>HYPERLINK("https://klasma.github.io/Logging_0685/kartor/A 2368-2025 karta.png", "A 2368-2025")</f>
        <v/>
      </c>
      <c r="Y49">
        <f>HYPERLINK("https://klasma.github.io/Logging_0685/kartor_geotiff/A 2368-2025 georefererad karta.tif", "A 2368-2025")</f>
        <v/>
      </c>
      <c r="AA49">
        <f>HYPERLINK("https://klasma.github.io/Logging_0685/klagomål/A 2368-2025 FSC-klagomål.docx", "A 2368-2025")</f>
        <v/>
      </c>
      <c r="AB49">
        <f>HYPERLINK("https://klasma.github.io/Logging_0685/klagomålsmail/A 2368-2025 FSC-klagomål mail.docx", "A 2368-2025")</f>
        <v/>
      </c>
      <c r="AC49">
        <f>HYPERLINK("https://klasma.github.io/Logging_0685/tillsyn/A 2368-2025 tillsynsbegäran.docx", "A 2368-2025")</f>
        <v/>
      </c>
      <c r="AD49">
        <f>HYPERLINK("https://klasma.github.io/Logging_0685/tillsynsmail/A 2368-2025 tillsynsbegäran mail.docx", "A 2368-2025")</f>
        <v/>
      </c>
    </row>
    <row r="50" ht="15" customHeight="1">
      <c r="A50" t="inlineStr">
        <is>
          <t>A 1269-2022</t>
        </is>
      </c>
      <c r="B50" t="inlineStr">
        <is>
          <t>avverkningsanmälan</t>
        </is>
      </c>
      <c r="C50" t="inlineStr">
        <is>
          <t>Föryngringsavverkning</t>
        </is>
      </c>
      <c r="D50" s="1" t="n">
        <v>44572</v>
      </c>
      <c r="E50" s="1" t="n">
        <v>46322</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46322</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46322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46322</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40033-2026</t>
        </is>
      </c>
      <c r="B54" t="inlineStr">
        <is>
          <t>avverkningsanmälan</t>
        </is>
      </c>
      <c r="C54" t="inlineStr">
        <is>
          <t>Föryngringsavverkning</t>
        </is>
      </c>
      <c r="D54" s="1" t="n">
        <v>46293</v>
      </c>
      <c r="E54" s="1" t="n">
        <v>46322</v>
      </c>
      <c r="F54" t="inlineStr">
        <is>
          <t>JÖNKÖPINGS LÄN</t>
        </is>
      </c>
      <c r="G54" t="inlineStr">
        <is>
          <t>VETLANDA</t>
        </is>
      </c>
      <c r="I54" t="n">
        <v>3.4</v>
      </c>
      <c r="J54" t="n">
        <v>2</v>
      </c>
      <c r="K54" t="n">
        <v>0</v>
      </c>
      <c r="L54" t="n">
        <v>0</v>
      </c>
      <c r="M54" t="n">
        <v>0</v>
      </c>
      <c r="N54" t="n">
        <v>0</v>
      </c>
      <c r="O54" t="n">
        <v>0</v>
      </c>
      <c r="P54" t="n">
        <v>0</v>
      </c>
      <c r="Q54" t="n">
        <v>0</v>
      </c>
      <c r="R54" t="n">
        <v>0</v>
      </c>
      <c r="S54" t="n">
        <v>2</v>
      </c>
      <c r="T54" t="n">
        <v>2</v>
      </c>
      <c r="U54" t="n">
        <v>0</v>
      </c>
      <c r="V54" s="2" t="inlineStr">
        <is>
          <t>Lopplummer (aggregat)
Revlummer</t>
        </is>
      </c>
      <c r="W54">
        <f>HYPERLINK("https://klasma.github.io/Logging_0685/artfynd/A 40033-2026 artfynd.xlsx", "A 40033-2026")</f>
        <v/>
      </c>
      <c r="X54">
        <f>HYPERLINK("https://klasma.github.io/Logging_0685/kartor/A 40033-2026 karta.png", "A 40033-2026")</f>
        <v/>
      </c>
      <c r="Y54">
        <f>HYPERLINK("https://klasma.github.io/Logging_0685/kartor_geotiff/A 40033-2026 georefererad karta.tif", "A 40033-2026")</f>
        <v/>
      </c>
      <c r="AA54">
        <f>HYPERLINK("https://klasma.github.io/Logging_0685/klagomål/A 40033-2026 FSC-klagomål.docx", "A 40033-2026")</f>
        <v/>
      </c>
      <c r="AB54">
        <f>HYPERLINK("https://klasma.github.io/Logging_0685/klagomålsmail/A 40033-2026 FSC-klagomål mail.docx", "A 40033-2026")</f>
        <v/>
      </c>
      <c r="AC54">
        <f>HYPERLINK("https://klasma.github.io/Logging_0685/tillsyn/A 40033-2026 tillsynsbegäran.docx", "A 40033-2026")</f>
        <v/>
      </c>
      <c r="AD54">
        <f>HYPERLINK("https://klasma.github.io/Logging_0685/tillsynsmail/A 40033-2026 tillsynsbegäran mail.docx", "A 40033-2026")</f>
        <v/>
      </c>
    </row>
    <row r="55" ht="15" customHeight="1">
      <c r="A55" t="inlineStr">
        <is>
          <t>A 23827-2026</t>
        </is>
      </c>
      <c r="B55" t="inlineStr">
        <is>
          <t>avverkningsanmälan</t>
        </is>
      </c>
      <c r="C55" t="inlineStr">
        <is>
          <t>Föryngringsavverkning</t>
        </is>
      </c>
      <c r="D55" s="1" t="n">
        <v>46166</v>
      </c>
      <c r="E55" s="1" t="n">
        <v>46322</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8976-2024</t>
        </is>
      </c>
      <c r="B56" t="inlineStr">
        <is>
          <t>avverkningsanmälan</t>
        </is>
      </c>
      <c r="C56" t="inlineStr">
        <is>
          <t>Föryngringsavverkning</t>
        </is>
      </c>
      <c r="D56" s="1" t="n">
        <v>45357</v>
      </c>
      <c r="E56" s="1" t="n">
        <v>46322</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54188-2024</t>
        </is>
      </c>
      <c r="B57" t="inlineStr">
        <is>
          <t>avverkningsanmälan</t>
        </is>
      </c>
      <c r="C57" t="inlineStr">
        <is>
          <t>Föryngringsavverkning</t>
        </is>
      </c>
      <c r="D57" s="1" t="n">
        <v>45616</v>
      </c>
      <c r="E57" s="1" t="n">
        <v>46322</v>
      </c>
      <c r="F57" t="inlineStr">
        <is>
          <t>JÖNKÖPINGS LÄN</t>
        </is>
      </c>
      <c r="G57" t="inlineStr">
        <is>
          <t>VETLANDA</t>
        </is>
      </c>
      <c r="I57" t="n">
        <v>0.8</v>
      </c>
      <c r="J57" t="n">
        <v>1</v>
      </c>
      <c r="K57" t="n">
        <v>1</v>
      </c>
      <c r="L57" t="n">
        <v>1</v>
      </c>
      <c r="M57" t="n">
        <v>0</v>
      </c>
      <c r="N57" t="n">
        <v>0</v>
      </c>
      <c r="O57" t="n">
        <v>0</v>
      </c>
      <c r="P57" t="n">
        <v>0</v>
      </c>
      <c r="Q57" t="n">
        <v>1</v>
      </c>
      <c r="R57" t="n">
        <v>0</v>
      </c>
      <c r="S57" t="n">
        <v>2</v>
      </c>
      <c r="T57" t="n">
        <v>2</v>
      </c>
      <c r="U57" t="n">
        <v>0</v>
      </c>
      <c r="V57" s="2" t="inlineStr">
        <is>
          <t>Loppstarr
Korallrot</t>
        </is>
      </c>
      <c r="W57">
        <f>HYPERLINK("https://klasma.github.io/Logging_0685/artfynd/A 54188-2024 artfynd.xlsx", "A 54188-2024")</f>
        <v/>
      </c>
      <c r="X57">
        <f>HYPERLINK("https://klasma.github.io/Logging_0685/kartor/A 54188-2024 karta.png", "A 54188-2024")</f>
        <v/>
      </c>
      <c r="Y57">
        <f>HYPERLINK("https://klasma.github.io/Logging_0685/kartor_geotiff/A 54188-2024 georefererad karta.tif", "A 54188-2024")</f>
        <v/>
      </c>
      <c r="AA57">
        <f>HYPERLINK("https://klasma.github.io/Logging_0685/klagomål/A 54188-2024 FSC-klagomål.docx", "A 54188-2024")</f>
        <v/>
      </c>
      <c r="AB57">
        <f>HYPERLINK("https://klasma.github.io/Logging_0685/klagomålsmail/A 54188-2024 FSC-klagomål mail.docx", "A 54188-2024")</f>
        <v/>
      </c>
      <c r="AC57">
        <f>HYPERLINK("https://klasma.github.io/Logging_0685/tillsyn/A 54188-2024 tillsynsbegäran.docx", "A 54188-2024")</f>
        <v/>
      </c>
      <c r="AD57">
        <f>HYPERLINK("https://klasma.github.io/Logging_0685/tillsynsmail/A 54188-2024 tillsynsbegäran mail.docx", "A 54188-2024")</f>
        <v/>
      </c>
    </row>
    <row r="58" ht="15" customHeight="1">
      <c r="A58" t="inlineStr">
        <is>
          <t>A 42210-2026</t>
        </is>
      </c>
      <c r="B58" t="inlineStr">
        <is>
          <t>avverkningsanmälan</t>
        </is>
      </c>
      <c r="C58" t="inlineStr">
        <is>
          <t>Föryngringsavverkning</t>
        </is>
      </c>
      <c r="D58" s="1" t="n">
        <v>46306</v>
      </c>
      <c r="E58" s="1" t="n">
        <v>46322</v>
      </c>
      <c r="F58" t="inlineStr">
        <is>
          <t>JÖNKÖPINGS LÄN</t>
        </is>
      </c>
      <c r="G58" t="inlineStr">
        <is>
          <t>VETLANDA</t>
        </is>
      </c>
      <c r="I58" t="n">
        <v>0.7</v>
      </c>
      <c r="J58" t="n">
        <v>0</v>
      </c>
      <c r="K58" t="n">
        <v>0</v>
      </c>
      <c r="L58" t="n">
        <v>2</v>
      </c>
      <c r="M58" t="n">
        <v>0</v>
      </c>
      <c r="N58" t="n">
        <v>0</v>
      </c>
      <c r="O58" t="n">
        <v>0</v>
      </c>
      <c r="P58" t="n">
        <v>0</v>
      </c>
      <c r="Q58" t="n">
        <v>2</v>
      </c>
      <c r="R58" t="n">
        <v>0</v>
      </c>
      <c r="S58" t="n">
        <v>2</v>
      </c>
      <c r="T58" t="n">
        <v>2</v>
      </c>
      <c r="U58" t="n">
        <v>0</v>
      </c>
      <c r="V58" s="2" t="inlineStr">
        <is>
          <t>Jungfrulin
Sommarfibbla</t>
        </is>
      </c>
      <c r="W58">
        <f>HYPERLINK("https://klasma.github.io/Logging_0685/artfynd/A 42210-2026 artfynd.xlsx", "A 42210-2026")</f>
        <v/>
      </c>
      <c r="X58">
        <f>HYPERLINK("https://klasma.github.io/Logging_0685/kartor/A 42210-2026 karta.png", "A 42210-2026")</f>
        <v/>
      </c>
      <c r="Y58">
        <f>HYPERLINK("https://klasma.github.io/Logging_0685/kartor_geotiff/A 42210-2026 georefererad karta.tif", "A 42210-2026")</f>
        <v/>
      </c>
      <c r="AA58">
        <f>HYPERLINK("https://klasma.github.io/Logging_0685/klagomål/A 42210-2026 FSC-klagomål.docx", "A 42210-2026")</f>
        <v/>
      </c>
      <c r="AB58">
        <f>HYPERLINK("https://klasma.github.io/Logging_0685/klagomålsmail/A 42210-2026 FSC-klagomål mail.docx", "A 42210-2026")</f>
        <v/>
      </c>
      <c r="AC58">
        <f>HYPERLINK("https://klasma.github.io/Logging_0685/tillsyn/A 42210-2026 tillsynsbegäran.docx", "A 42210-2026")</f>
        <v/>
      </c>
      <c r="AD58">
        <f>HYPERLINK("https://klasma.github.io/Logging_0685/tillsynsmail/A 42210-2026 tillsynsbegäran mail.docx", "A 42210-2026")</f>
        <v/>
      </c>
    </row>
    <row r="59" ht="15" customHeight="1">
      <c r="A59" t="inlineStr">
        <is>
          <t>A 17256-2023</t>
        </is>
      </c>
      <c r="B59" t="inlineStr">
        <is>
          <t>avverkningsanmälan</t>
        </is>
      </c>
      <c r="C59" t="inlineStr">
        <is>
          <t>Föryngringsavverkning</t>
        </is>
      </c>
      <c r="D59" s="1" t="n">
        <v>45035</v>
      </c>
      <c r="E59" s="1" t="n">
        <v>46322</v>
      </c>
      <c r="F59" t="inlineStr">
        <is>
          <t>JÖNKÖPINGS LÄN</t>
        </is>
      </c>
      <c r="G59" t="inlineStr">
        <is>
          <t>VETLANDA</t>
        </is>
      </c>
      <c r="I59" t="n">
        <v>0.8</v>
      </c>
      <c r="J59" t="n">
        <v>0</v>
      </c>
      <c r="K59" t="n">
        <v>0</v>
      </c>
      <c r="L59" t="n">
        <v>2</v>
      </c>
      <c r="M59" t="n">
        <v>0</v>
      </c>
      <c r="N59" t="n">
        <v>0</v>
      </c>
      <c r="O59" t="n">
        <v>0</v>
      </c>
      <c r="P59" t="n">
        <v>0</v>
      </c>
      <c r="Q59" t="n">
        <v>2</v>
      </c>
      <c r="R59" t="n">
        <v>0</v>
      </c>
      <c r="S59" t="n">
        <v>2</v>
      </c>
      <c r="T59" t="n">
        <v>2</v>
      </c>
      <c r="U59" t="n">
        <v>0</v>
      </c>
      <c r="V59" s="2" t="inlineStr">
        <is>
          <t>Klasefibbla
Vårärt</t>
        </is>
      </c>
      <c r="W59">
        <f>HYPERLINK("https://klasma.github.io/Logging_0685/artfynd/A 17256-2023 artfynd.xlsx", "A 17256-2023")</f>
        <v/>
      </c>
      <c r="X59">
        <f>HYPERLINK("https://klasma.github.io/Logging_0685/kartor/A 17256-2023 karta.png", "A 17256-2023")</f>
        <v/>
      </c>
      <c r="Y59">
        <f>HYPERLINK("https://klasma.github.io/Logging_0685/kartor_geotiff/A 17256-2023 georefererad karta.tif", "A 17256-2023")</f>
        <v/>
      </c>
      <c r="AA59">
        <f>HYPERLINK("https://klasma.github.io/Logging_0685/klagomål/A 17256-2023 FSC-klagomål.docx", "A 17256-2023")</f>
        <v/>
      </c>
      <c r="AB59">
        <f>HYPERLINK("https://klasma.github.io/Logging_0685/klagomålsmail/A 17256-2023 FSC-klagomål mail.docx", "A 17256-2023")</f>
        <v/>
      </c>
      <c r="AC59">
        <f>HYPERLINK("https://klasma.github.io/Logging_0685/tillsyn/A 17256-2023 tillsynsbegäran.docx", "A 17256-2023")</f>
        <v/>
      </c>
      <c r="AD59">
        <f>HYPERLINK("https://klasma.github.io/Logging_0685/tillsynsmail/A 17256-2023 tillsynsbegäran mail.docx", "A 17256-2023")</f>
        <v/>
      </c>
    </row>
    <row r="60" ht="15" customHeight="1">
      <c r="A60" t="inlineStr">
        <is>
          <t>A 15177-2024</t>
        </is>
      </c>
      <c r="B60" t="inlineStr">
        <is>
          <t>avverkningsanmälan</t>
        </is>
      </c>
      <c r="C60" t="inlineStr">
        <is>
          <t>Avverkning för annat ändamål</t>
        </is>
      </c>
      <c r="D60" s="1" t="n">
        <v>45400</v>
      </c>
      <c r="E60" s="1" t="n">
        <v>46322</v>
      </c>
      <c r="F60" t="inlineStr">
        <is>
          <t>JÖNKÖPINGS LÄN</t>
        </is>
      </c>
      <c r="G60" t="inlineStr">
        <is>
          <t>VETLANDA</t>
        </is>
      </c>
      <c r="H60" t="inlineStr">
        <is>
          <t>Kommuner</t>
        </is>
      </c>
      <c r="I60" t="n">
        <v>20.9</v>
      </c>
      <c r="J60" t="n">
        <v>1</v>
      </c>
      <c r="K60" t="n">
        <v>0</v>
      </c>
      <c r="L60" t="n">
        <v>1</v>
      </c>
      <c r="M60" t="n">
        <v>1</v>
      </c>
      <c r="N60" t="n">
        <v>0</v>
      </c>
      <c r="O60" t="n">
        <v>0</v>
      </c>
      <c r="P60" t="n">
        <v>0</v>
      </c>
      <c r="Q60" t="n">
        <v>2</v>
      </c>
      <c r="R60" t="n">
        <v>1</v>
      </c>
      <c r="S60" t="n">
        <v>2</v>
      </c>
      <c r="T60" t="n">
        <v>4</v>
      </c>
      <c r="U60" t="n">
        <v>2</v>
      </c>
      <c r="V60" s="2" t="inlineStr">
        <is>
          <t>Knärot
Vedtrappmossa</t>
        </is>
      </c>
      <c r="W60">
        <f>HYPERLINK("https://klasma.github.io/Logging_0685/artfynd/A 15177-2024 artfynd.xlsx", "A 15177-2024")</f>
        <v/>
      </c>
      <c r="X60">
        <f>HYPERLINK("https://klasma.github.io/Logging_0685/kartor/A 15177-2024 karta.png", "A 15177-2024")</f>
        <v/>
      </c>
      <c r="Y60">
        <f>HYPERLINK("https://klasma.github.io/Logging_0685/kartor_geotiff/A 15177-2024 georefererad karta.tif", "A 15177-2024")</f>
        <v/>
      </c>
      <c r="Z60">
        <f>HYPERLINK("https://klasma.github.io/Logging_0685/knärot/A 15177-2024 karta knärot.png", "A 15177-2024")</f>
        <v/>
      </c>
      <c r="AA60">
        <f>HYPERLINK("https://klasma.github.io/Logging_0685/klagomål/A 15177-2024 FSC-klagomål.docx", "A 15177-2024")</f>
        <v/>
      </c>
      <c r="AB60">
        <f>HYPERLINK("https://klasma.github.io/Logging_0685/klagomålsmail/A 15177-2024 FSC-klagomål mail.docx", "A 15177-2024")</f>
        <v/>
      </c>
      <c r="AC60">
        <f>HYPERLINK("https://klasma.github.io/Logging_0685/tillsyn/A 15177-2024 tillsynsbegäran.docx", "A 15177-2024")</f>
        <v/>
      </c>
      <c r="AD60">
        <f>HYPERLINK("https://klasma.github.io/Logging_0685/tillsynsmail/A 15177-2024 tillsynsbegäran mail.docx", "A 15177-2024")</f>
        <v/>
      </c>
    </row>
    <row r="61" ht="15" customHeight="1">
      <c r="A61" t="inlineStr">
        <is>
          <t>A 49360-2023</t>
        </is>
      </c>
      <c r="B61" t="inlineStr">
        <is>
          <t>avverkningsanmälan</t>
        </is>
      </c>
      <c r="C61" t="inlineStr">
        <is>
          <t>Föryngringsavverkning</t>
        </is>
      </c>
      <c r="D61" s="1" t="n">
        <v>45211</v>
      </c>
      <c r="E61" s="1" t="n">
        <v>46322</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43933-2026</t>
        </is>
      </c>
      <c r="B62" t="inlineStr">
        <is>
          <t>avverkningsanmälan</t>
        </is>
      </c>
      <c r="C62" t="inlineStr">
        <is>
          <t>Föryngringsavverkning</t>
        </is>
      </c>
      <c r="D62" s="1" t="n">
        <v>46317</v>
      </c>
      <c r="E62" s="1" t="n">
        <v>46322</v>
      </c>
      <c r="F62" t="inlineStr">
        <is>
          <t>JÖNKÖPINGS LÄN</t>
        </is>
      </c>
      <c r="G62" t="inlineStr">
        <is>
          <t>VETLANDA</t>
        </is>
      </c>
      <c r="H62" t="inlineStr">
        <is>
          <t>Övriga Aktiebolag</t>
        </is>
      </c>
      <c r="I62" t="n">
        <v>2</v>
      </c>
      <c r="J62" t="n">
        <v>1</v>
      </c>
      <c r="K62" t="n">
        <v>1</v>
      </c>
      <c r="L62" t="n">
        <v>0</v>
      </c>
      <c r="M62" t="n">
        <v>0</v>
      </c>
      <c r="N62" t="n">
        <v>0</v>
      </c>
      <c r="O62" t="n">
        <v>0</v>
      </c>
      <c r="P62" t="n">
        <v>0</v>
      </c>
      <c r="Q62" t="n">
        <v>0</v>
      </c>
      <c r="R62" t="n">
        <v>0</v>
      </c>
      <c r="S62" t="n">
        <v>2</v>
      </c>
      <c r="T62" t="n">
        <v>2</v>
      </c>
      <c r="U62" t="n">
        <v>0</v>
      </c>
      <c r="V62" s="2" t="inlineStr">
        <is>
          <t>Tibast
Nattviol</t>
        </is>
      </c>
      <c r="W62">
        <f>HYPERLINK("https://klasma.github.io/Logging_0685/artfynd/A 43933-2026 artfynd.xlsx", "A 43933-2026")</f>
        <v/>
      </c>
      <c r="X62">
        <f>HYPERLINK("https://klasma.github.io/Logging_0685/kartor/A 43933-2026 karta.png", "A 43933-2026")</f>
        <v/>
      </c>
      <c r="Y62">
        <f>HYPERLINK("https://klasma.github.io/Logging_0685/kartor_geotiff/A 43933-2026 georefererad karta.tif", "A 43933-2026")</f>
        <v/>
      </c>
      <c r="AA62">
        <f>HYPERLINK("https://klasma.github.io/Logging_0685/klagomål/A 43933-2026 FSC-klagomål.docx", "A 43933-2026")</f>
        <v/>
      </c>
      <c r="AB62">
        <f>HYPERLINK("https://klasma.github.io/Logging_0685/klagomålsmail/A 43933-2026 FSC-klagomål mail.docx", "A 43933-2026")</f>
        <v/>
      </c>
      <c r="AC62">
        <f>HYPERLINK("https://klasma.github.io/Logging_0685/tillsyn/A 43933-2026 tillsynsbegäran.docx", "A 43933-2026")</f>
        <v/>
      </c>
      <c r="AD62">
        <f>HYPERLINK("https://klasma.github.io/Logging_0685/tillsynsmail/A 43933-2026 tillsynsbegäran mail.docx", "A 43933-2026")</f>
        <v/>
      </c>
    </row>
    <row r="63" ht="15" customHeight="1">
      <c r="A63" t="inlineStr">
        <is>
          <t>A 37736-2026</t>
        </is>
      </c>
      <c r="B63" t="inlineStr">
        <is>
          <t>avverkningsanmälan</t>
        </is>
      </c>
      <c r="C63" t="inlineStr">
        <is>
          <t>Avverkning för annat ändamål</t>
        </is>
      </c>
      <c r="D63" s="1" t="n">
        <v>46279</v>
      </c>
      <c r="E63" s="1" t="n">
        <v>46322</v>
      </c>
      <c r="F63" t="inlineStr">
        <is>
          <t>JÖNKÖPINGS LÄN</t>
        </is>
      </c>
      <c r="G63" t="inlineStr">
        <is>
          <t>VETLANDA</t>
        </is>
      </c>
      <c r="H63" t="inlineStr">
        <is>
          <t>Kommuner</t>
        </is>
      </c>
      <c r="I63" t="n">
        <v>6.3</v>
      </c>
      <c r="J63" t="n">
        <v>0</v>
      </c>
      <c r="K63" t="n">
        <v>1</v>
      </c>
      <c r="L63" t="n">
        <v>1</v>
      </c>
      <c r="M63" t="n">
        <v>0</v>
      </c>
      <c r="N63" t="n">
        <v>0</v>
      </c>
      <c r="O63" t="n">
        <v>0</v>
      </c>
      <c r="P63" t="n">
        <v>0</v>
      </c>
      <c r="Q63" t="n">
        <v>1</v>
      </c>
      <c r="R63" t="n">
        <v>0</v>
      </c>
      <c r="S63" t="n">
        <v>2</v>
      </c>
      <c r="T63" t="n">
        <v>3</v>
      </c>
      <c r="U63" t="n">
        <v>0</v>
      </c>
      <c r="V63" s="2" t="inlineStr">
        <is>
          <t>Svart skogssnigel
Blomkålssvamp</t>
        </is>
      </c>
      <c r="W63">
        <f>HYPERLINK("https://klasma.github.io/Logging_0685/artfynd/A 37736-2026 artfynd.xlsx", "A 37736-2026")</f>
        <v/>
      </c>
      <c r="X63">
        <f>HYPERLINK("https://klasma.github.io/Logging_0685/kartor/A 37736-2026 karta.png", "A 37736-2026")</f>
        <v/>
      </c>
      <c r="Y63">
        <f>HYPERLINK("https://klasma.github.io/Logging_0685/kartor_geotiff/A 37736-2026 georefererad karta.tif", "A 37736-2026")</f>
        <v/>
      </c>
      <c r="AA63">
        <f>HYPERLINK("https://klasma.github.io/Logging_0685/klagomål/A 37736-2026 FSC-klagomål.docx", "A 37736-2026")</f>
        <v/>
      </c>
      <c r="AB63">
        <f>HYPERLINK("https://klasma.github.io/Logging_0685/klagomålsmail/A 37736-2026 FSC-klagomål mail.docx", "A 37736-2026")</f>
        <v/>
      </c>
      <c r="AC63">
        <f>HYPERLINK("https://klasma.github.io/Logging_0685/tillsyn/A 37736-2026 tillsynsbegäran.docx", "A 37736-2026")</f>
        <v/>
      </c>
      <c r="AD63">
        <f>HYPERLINK("https://klasma.github.io/Logging_0685/tillsynsmail/A 37736-2026 tillsynsbegäran mail.docx", "A 37736-2026")</f>
        <v/>
      </c>
    </row>
    <row r="64" ht="15" customHeight="1">
      <c r="A64" t="inlineStr">
        <is>
          <t>S 2328-2023</t>
        </is>
      </c>
      <c r="B64" t="inlineStr">
        <is>
          <t>samrådsanmälan</t>
        </is>
      </c>
      <c r="C64" t="inlineStr">
        <is>
          <t>Askåterföring</t>
        </is>
      </c>
      <c r="D64" s="1" t="n">
        <v>45106</v>
      </c>
      <c r="E64" s="1" t="n">
        <v>46322</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46322</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46322</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46322</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46322</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46322</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46322</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46322</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46322</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46322</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46322</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1953-2025</t>
        </is>
      </c>
      <c r="B75" t="inlineStr">
        <is>
          <t>avverkningsanmälan</t>
        </is>
      </c>
      <c r="C75" t="inlineStr">
        <is>
          <t>Föryngringsavverkning</t>
        </is>
      </c>
      <c r="D75" s="1" t="n">
        <v>45672</v>
      </c>
      <c r="E75" s="1" t="n">
        <v>46322</v>
      </c>
      <c r="F75" t="inlineStr">
        <is>
          <t>JÖNKÖPINGS LÄN</t>
        </is>
      </c>
      <c r="G75" t="inlineStr">
        <is>
          <t>VETLANDA</t>
        </is>
      </c>
      <c r="I75" t="n">
        <v>2.2</v>
      </c>
      <c r="J75" t="n">
        <v>1</v>
      </c>
      <c r="K75" t="n">
        <v>0</v>
      </c>
      <c r="L75" t="n">
        <v>0</v>
      </c>
      <c r="M75" t="n">
        <v>1</v>
      </c>
      <c r="N75" t="n">
        <v>0</v>
      </c>
      <c r="O75" t="n">
        <v>0</v>
      </c>
      <c r="P75" t="n">
        <v>0</v>
      </c>
      <c r="Q75" t="n">
        <v>1</v>
      </c>
      <c r="R75" t="n">
        <v>1</v>
      </c>
      <c r="S75" t="n">
        <v>1</v>
      </c>
      <c r="T75" t="n">
        <v>1</v>
      </c>
      <c r="U75" t="n">
        <v>0</v>
      </c>
      <c r="V75" s="2" t="inlineStr">
        <is>
          <t>Knärot</t>
        </is>
      </c>
      <c r="W75">
        <f>HYPERLINK("https://klasma.github.io/Logging_0685/artfynd/A 1953-2025 artfynd.xlsx", "A 1953-2025")</f>
        <v/>
      </c>
      <c r="X75">
        <f>HYPERLINK("https://klasma.github.io/Logging_0685/kartor/A 1953-2025 karta.png", "A 1953-2025")</f>
        <v/>
      </c>
      <c r="Y75">
        <f>HYPERLINK("https://klasma.github.io/Logging_0685/kartor_geotiff/A 1953-2025 georefererad karta.tif", "A 1953-2025")</f>
        <v/>
      </c>
      <c r="Z75">
        <f>HYPERLINK("https://klasma.github.io/Logging_0685/knärot/A 1953-2025 karta knärot.png", "A 1953-2025")</f>
        <v/>
      </c>
      <c r="AA75">
        <f>HYPERLINK("https://klasma.github.io/Logging_0685/klagomål/A 1953-2025 FSC-klagomål.docx", "A 1953-2025")</f>
        <v/>
      </c>
      <c r="AB75">
        <f>HYPERLINK("https://klasma.github.io/Logging_0685/klagomålsmail/A 1953-2025 FSC-klagomål mail.docx", "A 1953-2025")</f>
        <v/>
      </c>
      <c r="AC75">
        <f>HYPERLINK("https://klasma.github.io/Logging_0685/tillsyn/A 1953-2025 tillsynsbegäran.docx", "A 1953-2025")</f>
        <v/>
      </c>
      <c r="AD75">
        <f>HYPERLINK("https://klasma.github.io/Logging_0685/tillsynsmail/A 1953-2025 tillsynsbegäran mail.docx", "A 1953-2025")</f>
        <v/>
      </c>
    </row>
    <row r="76" ht="15" customHeight="1">
      <c r="A76" t="inlineStr">
        <is>
          <t>A 49945-2024</t>
        </is>
      </c>
      <c r="B76" t="inlineStr">
        <is>
          <t>avverkningsanmälan</t>
        </is>
      </c>
      <c r="C76" t="inlineStr">
        <is>
          <t>Föryngringsavverkning</t>
        </is>
      </c>
      <c r="D76" s="1" t="n">
        <v>45597</v>
      </c>
      <c r="E76" s="1" t="n">
        <v>46322</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49575-2024</t>
        </is>
      </c>
      <c r="B77" t="inlineStr">
        <is>
          <t>avverkningsanmälan</t>
        </is>
      </c>
      <c r="C77" t="inlineStr">
        <is>
          <t>Föryngringsavverkning</t>
        </is>
      </c>
      <c r="D77" s="1" t="n">
        <v>45596</v>
      </c>
      <c r="E77" s="1" t="n">
        <v>46322</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32193-2025</t>
        </is>
      </c>
      <c r="B78" t="inlineStr">
        <is>
          <t>avverkningsanmälan</t>
        </is>
      </c>
      <c r="C78" t="inlineStr">
        <is>
          <t>Föryngringsavverkning</t>
        </is>
      </c>
      <c r="D78" s="1" t="n">
        <v>45835</v>
      </c>
      <c r="E78" s="1" t="n">
        <v>46322</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42142-2022</t>
        </is>
      </c>
      <c r="B79" t="inlineStr">
        <is>
          <t>avverkningsanmälan</t>
        </is>
      </c>
      <c r="C79" t="inlineStr">
        <is>
          <t>Föryngringsavverkning</t>
        </is>
      </c>
      <c r="D79" s="1" t="n">
        <v>44830</v>
      </c>
      <c r="E79" s="1" t="n">
        <v>46322</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61258-2024</t>
        </is>
      </c>
      <c r="B80" t="inlineStr">
        <is>
          <t>avverkningsanmälan</t>
        </is>
      </c>
      <c r="C80" t="inlineStr">
        <is>
          <t>Föryngringsavverkning</t>
        </is>
      </c>
      <c r="D80" s="1" t="n">
        <v>45645</v>
      </c>
      <c r="E80" s="1" t="n">
        <v>46322</v>
      </c>
      <c r="F80" t="inlineStr">
        <is>
          <t>JÖNKÖPINGS LÄN</t>
        </is>
      </c>
      <c r="G80" t="inlineStr">
        <is>
          <t>VETLANDA</t>
        </is>
      </c>
      <c r="I80" t="n">
        <v>0.9</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HYPERLINK("https://klasma.github.io/Logging_0685/artfynd/A 61258-2024 artfynd.xlsx", "A 61258-2024")</f>
        <v/>
      </c>
      <c r="X80">
        <f>HYPERLINK("https://klasma.github.io/Logging_0685/kartor/A 61258-2024 karta.png", "A 61258-2024")</f>
        <v/>
      </c>
      <c r="Y80">
        <f>HYPERLINK("https://klasma.github.io/Logging_0685/kartor_geotiff/A 61258-2024 georefererad karta.tif", "A 61258-2024")</f>
        <v/>
      </c>
      <c r="AA80">
        <f>HYPERLINK("https://klasma.github.io/Logging_0685/klagomål/A 61258-2024 FSC-klagomål.docx", "A 61258-2024")</f>
        <v/>
      </c>
      <c r="AB80">
        <f>HYPERLINK("https://klasma.github.io/Logging_0685/klagomålsmail/A 61258-2024 FSC-klagomål mail.docx", "A 61258-2024")</f>
        <v/>
      </c>
      <c r="AC80">
        <f>HYPERLINK("https://klasma.github.io/Logging_0685/tillsyn/A 61258-2024 tillsynsbegäran.docx", "A 61258-2024")</f>
        <v/>
      </c>
      <c r="AD80">
        <f>HYPERLINK("https://klasma.github.io/Logging_0685/tillsynsmail/A 61258-2024 tillsynsbegäran mail.docx", "A 61258-2024")</f>
        <v/>
      </c>
    </row>
    <row r="81" ht="15" customHeight="1">
      <c r="A81" t="inlineStr">
        <is>
          <t>A 27224-2026</t>
        </is>
      </c>
      <c r="B81" t="inlineStr">
        <is>
          <t>avverkningsanmälan</t>
        </is>
      </c>
      <c r="C81" t="inlineStr">
        <is>
          <t>Föryngringsavverkning</t>
        </is>
      </c>
      <c r="D81" s="1" t="n">
        <v>46188</v>
      </c>
      <c r="E81" s="1" t="n">
        <v>46322</v>
      </c>
      <c r="F81" t="inlineStr">
        <is>
          <t>JÖNKÖPINGS LÄN</t>
        </is>
      </c>
      <c r="G81" t="inlineStr">
        <is>
          <t>VETLANDA</t>
        </is>
      </c>
      <c r="I81" t="n">
        <v>4.1</v>
      </c>
      <c r="J81" t="n">
        <v>0</v>
      </c>
      <c r="K81" t="n">
        <v>1</v>
      </c>
      <c r="L81" t="n">
        <v>0</v>
      </c>
      <c r="M81" t="n">
        <v>0</v>
      </c>
      <c r="N81" t="n">
        <v>0</v>
      </c>
      <c r="O81" t="n">
        <v>0</v>
      </c>
      <c r="P81" t="n">
        <v>0</v>
      </c>
      <c r="Q81" t="n">
        <v>0</v>
      </c>
      <c r="R81" t="n">
        <v>0</v>
      </c>
      <c r="S81" t="n">
        <v>1</v>
      </c>
      <c r="T81" t="n">
        <v>1</v>
      </c>
      <c r="U81" t="n">
        <v>0</v>
      </c>
      <c r="V81" s="2" t="inlineStr">
        <is>
          <t>Dvärgkällmossa</t>
        </is>
      </c>
      <c r="W81">
        <f>HYPERLINK("https://klasma.github.io/Logging_0685/artfynd/A 27224-2026 artfynd.xlsx", "A 27224-2026")</f>
        <v/>
      </c>
      <c r="X81">
        <f>HYPERLINK("https://klasma.github.io/Logging_0685/kartor/A 27224-2026 karta.png", "A 27224-2026")</f>
        <v/>
      </c>
      <c r="Y81">
        <f>HYPERLINK("https://klasma.github.io/Logging_0685/kartor_geotiff/A 27224-2026 georefererad karta.tif", "A 27224-2026")</f>
        <v/>
      </c>
      <c r="AA81">
        <f>HYPERLINK("https://klasma.github.io/Logging_0685/klagomål/A 27224-2026 FSC-klagomål.docx", "A 27224-2026")</f>
        <v/>
      </c>
      <c r="AB81">
        <f>HYPERLINK("https://klasma.github.io/Logging_0685/klagomålsmail/A 27224-2026 FSC-klagomål mail.docx", "A 27224-2026")</f>
        <v/>
      </c>
      <c r="AC81">
        <f>HYPERLINK("https://klasma.github.io/Logging_0685/tillsyn/A 27224-2026 tillsynsbegäran.docx", "A 27224-2026")</f>
        <v/>
      </c>
      <c r="AD81">
        <f>HYPERLINK("https://klasma.github.io/Logging_0685/tillsynsmail/A 27224-2026 tillsynsbegäran mail.docx", "A 27224-2026")</f>
        <v/>
      </c>
    </row>
    <row r="82" ht="15" customHeight="1">
      <c r="A82" t="inlineStr">
        <is>
          <t>A 6208-2024</t>
        </is>
      </c>
      <c r="B82" t="inlineStr">
        <is>
          <t>avverkningsanmälan</t>
        </is>
      </c>
      <c r="C82" t="inlineStr">
        <is>
          <t>Föryngringsavverkning</t>
        </is>
      </c>
      <c r="D82" s="1" t="n">
        <v>45337</v>
      </c>
      <c r="E82" s="1" t="n">
        <v>46322</v>
      </c>
      <c r="F82" t="inlineStr">
        <is>
          <t>JÖNKÖPINGS LÄN</t>
        </is>
      </c>
      <c r="G82" t="inlineStr">
        <is>
          <t>VETLANDA</t>
        </is>
      </c>
      <c r="I82" t="n">
        <v>5.1</v>
      </c>
      <c r="J82" t="n">
        <v>0</v>
      </c>
      <c r="K82" t="n">
        <v>0</v>
      </c>
      <c r="L82" t="n">
        <v>0</v>
      </c>
      <c r="M82" t="n">
        <v>0</v>
      </c>
      <c r="N82" t="n">
        <v>1</v>
      </c>
      <c r="O82" t="n">
        <v>0</v>
      </c>
      <c r="P82" t="n">
        <v>0</v>
      </c>
      <c r="Q82" t="n">
        <v>1</v>
      </c>
      <c r="R82" t="n">
        <v>1</v>
      </c>
      <c r="S82" t="n">
        <v>1</v>
      </c>
      <c r="T82" t="n">
        <v>1</v>
      </c>
      <c r="U82" t="n">
        <v>0</v>
      </c>
      <c r="V82" s="2" t="inlineStr">
        <is>
          <t>Ask</t>
        </is>
      </c>
      <c r="W82">
        <f>HYPERLINK("https://klasma.github.io/Logging_0685/artfynd/A 6208-2024 artfynd.xlsx", "A 6208-2024")</f>
        <v/>
      </c>
      <c r="X82">
        <f>HYPERLINK("https://klasma.github.io/Logging_0685/kartor/A 6208-2024 karta.png", "A 6208-2024")</f>
        <v/>
      </c>
      <c r="Y82">
        <f>HYPERLINK("https://klasma.github.io/Logging_0685/kartor_geotiff/A 6208-2024 georefererad karta.tif", "A 6208-2024")</f>
        <v/>
      </c>
      <c r="AA82">
        <f>HYPERLINK("https://klasma.github.io/Logging_0685/klagomål/A 6208-2024 FSC-klagomål.docx", "A 6208-2024")</f>
        <v/>
      </c>
      <c r="AB82">
        <f>HYPERLINK("https://klasma.github.io/Logging_0685/klagomålsmail/A 6208-2024 FSC-klagomål mail.docx", "A 6208-2024")</f>
        <v/>
      </c>
      <c r="AC82">
        <f>HYPERLINK("https://klasma.github.io/Logging_0685/tillsyn/A 6208-2024 tillsynsbegäran.docx", "A 6208-2024")</f>
        <v/>
      </c>
      <c r="AD82">
        <f>HYPERLINK("https://klasma.github.io/Logging_0685/tillsynsmail/A 6208-2024 tillsynsbegäran mail.docx", "A 6208-2024")</f>
        <v/>
      </c>
    </row>
    <row r="83" ht="15" customHeight="1">
      <c r="A83" t="inlineStr">
        <is>
          <t>A 42637-2024</t>
        </is>
      </c>
      <c r="B83" t="inlineStr">
        <is>
          <t>avverkningsanmälan</t>
        </is>
      </c>
      <c r="C83" t="inlineStr">
        <is>
          <t>Avverkning för annat ändamål</t>
        </is>
      </c>
      <c r="D83" s="1" t="n">
        <v>45565</v>
      </c>
      <c r="E83" s="1" t="n">
        <v>46322</v>
      </c>
      <c r="F83" t="inlineStr">
        <is>
          <t>JÖNKÖPINGS LÄN</t>
        </is>
      </c>
      <c r="G83" t="inlineStr">
        <is>
          <t>VETLANDA</t>
        </is>
      </c>
      <c r="I83" t="n">
        <v>2</v>
      </c>
      <c r="J83" t="n">
        <v>0</v>
      </c>
      <c r="K83" t="n">
        <v>0</v>
      </c>
      <c r="L83" t="n">
        <v>0</v>
      </c>
      <c r="M83" t="n">
        <v>0</v>
      </c>
      <c r="N83" t="n">
        <v>1</v>
      </c>
      <c r="O83" t="n">
        <v>0</v>
      </c>
      <c r="P83" t="n">
        <v>0</v>
      </c>
      <c r="Q83" t="n">
        <v>1</v>
      </c>
      <c r="R83" t="n">
        <v>1</v>
      </c>
      <c r="S83" t="n">
        <v>1</v>
      </c>
      <c r="T83" t="n">
        <v>8</v>
      </c>
      <c r="U83" t="n">
        <v>0</v>
      </c>
      <c r="V83" s="2" t="inlineStr">
        <is>
          <t>Ask</t>
        </is>
      </c>
      <c r="W83">
        <f>HYPERLINK("https://klasma.github.io/Logging_0685/artfynd/A 42637-2024 artfynd.xlsx", "A 42637-2024")</f>
        <v/>
      </c>
      <c r="X83">
        <f>HYPERLINK("https://klasma.github.io/Logging_0685/kartor/A 42637-2024 karta.png", "A 42637-2024")</f>
        <v/>
      </c>
      <c r="Y83">
        <f>HYPERLINK("https://klasma.github.io/Logging_0685/kartor_geotiff/A 42637-2024 georefererad karta.tif", "A 42637-2024")</f>
        <v/>
      </c>
      <c r="AA83">
        <f>HYPERLINK("https://klasma.github.io/Logging_0685/klagomål/A 42637-2024 FSC-klagomål.docx", "A 42637-2024")</f>
        <v/>
      </c>
      <c r="AB83">
        <f>HYPERLINK("https://klasma.github.io/Logging_0685/klagomålsmail/A 42637-2024 FSC-klagomål mail.docx", "A 42637-2024")</f>
        <v/>
      </c>
      <c r="AC83">
        <f>HYPERLINK("https://klasma.github.io/Logging_0685/tillsyn/A 42637-2024 tillsynsbegäran.docx", "A 42637-2024")</f>
        <v/>
      </c>
      <c r="AD83">
        <f>HYPERLINK("https://klasma.github.io/Logging_0685/tillsynsmail/A 42637-2024 tillsynsbegäran mail.docx", "A 42637-2024")</f>
        <v/>
      </c>
    </row>
    <row r="84" ht="15" customHeight="1">
      <c r="A84" t="inlineStr">
        <is>
          <t>A 61446-2022</t>
        </is>
      </c>
      <c r="B84" t="inlineStr">
        <is>
          <t>avverkningsanmälan</t>
        </is>
      </c>
      <c r="C84" t="inlineStr">
        <is>
          <t>Föryngringsavverkning</t>
        </is>
      </c>
      <c r="D84" s="1" t="n">
        <v>44916</v>
      </c>
      <c r="E84" s="1" t="n">
        <v>46322</v>
      </c>
      <c r="F84" t="inlineStr">
        <is>
          <t>JÖNKÖPINGS LÄN</t>
        </is>
      </c>
      <c r="G84" t="inlineStr">
        <is>
          <t>VETLANDA</t>
        </is>
      </c>
      <c r="I84" t="n">
        <v>8.199999999999999</v>
      </c>
      <c r="J84" t="n">
        <v>0</v>
      </c>
      <c r="K84" t="n">
        <v>0</v>
      </c>
      <c r="L84" t="n">
        <v>0</v>
      </c>
      <c r="M84" t="n">
        <v>1</v>
      </c>
      <c r="N84" t="n">
        <v>0</v>
      </c>
      <c r="O84" t="n">
        <v>0</v>
      </c>
      <c r="P84" t="n">
        <v>0</v>
      </c>
      <c r="Q84" t="n">
        <v>1</v>
      </c>
      <c r="R84" t="n">
        <v>1</v>
      </c>
      <c r="S84" t="n">
        <v>1</v>
      </c>
      <c r="T84" t="n">
        <v>1</v>
      </c>
      <c r="U84" t="n">
        <v>0</v>
      </c>
      <c r="V84" s="2" t="inlineStr">
        <is>
          <t>Krokfibbla</t>
        </is>
      </c>
      <c r="W84">
        <f>HYPERLINK("https://klasma.github.io/Logging_0685/artfynd/A 61446-2022 artfynd.xlsx", "A 61446-2022")</f>
        <v/>
      </c>
      <c r="X84">
        <f>HYPERLINK("https://klasma.github.io/Logging_0685/kartor/A 61446-2022 karta.png", "A 61446-2022")</f>
        <v/>
      </c>
      <c r="Y84">
        <f>HYPERLINK("https://klasma.github.io/Logging_0685/kartor_geotiff/A 61446-2022 georefererad karta.tif", "A 61446-2022")</f>
        <v/>
      </c>
      <c r="AA84">
        <f>HYPERLINK("https://klasma.github.io/Logging_0685/klagomål/A 61446-2022 FSC-klagomål.docx", "A 61446-2022")</f>
        <v/>
      </c>
      <c r="AB84">
        <f>HYPERLINK("https://klasma.github.io/Logging_0685/klagomålsmail/A 61446-2022 FSC-klagomål mail.docx", "A 61446-2022")</f>
        <v/>
      </c>
      <c r="AC84">
        <f>HYPERLINK("https://klasma.github.io/Logging_0685/tillsyn/A 61446-2022 tillsynsbegäran.docx", "A 61446-2022")</f>
        <v/>
      </c>
      <c r="AD84">
        <f>HYPERLINK("https://klasma.github.io/Logging_0685/tillsynsmail/A 61446-2022 tillsynsbegäran mail.docx", "A 61446-2022")</f>
        <v/>
      </c>
    </row>
    <row r="85" ht="15" customHeight="1">
      <c r="A85" t="inlineStr">
        <is>
          <t>A 40417-2024</t>
        </is>
      </c>
      <c r="B85" t="inlineStr">
        <is>
          <t>avverkningsanmälan</t>
        </is>
      </c>
      <c r="C85" t="inlineStr">
        <is>
          <t>Föryngringsavverkning</t>
        </is>
      </c>
      <c r="D85" s="1" t="n">
        <v>45555</v>
      </c>
      <c r="E85" s="1" t="n">
        <v>46322</v>
      </c>
      <c r="F85" t="inlineStr">
        <is>
          <t>JÖNKÖPINGS LÄN</t>
        </is>
      </c>
      <c r="G85" t="inlineStr">
        <is>
          <t>VETLANDA</t>
        </is>
      </c>
      <c r="I85" t="n">
        <v>2.8</v>
      </c>
      <c r="J85" t="n">
        <v>0</v>
      </c>
      <c r="K85" t="n">
        <v>1</v>
      </c>
      <c r="L85" t="n">
        <v>0</v>
      </c>
      <c r="M85" t="n">
        <v>0</v>
      </c>
      <c r="N85" t="n">
        <v>0</v>
      </c>
      <c r="O85" t="n">
        <v>0</v>
      </c>
      <c r="P85" t="n">
        <v>0</v>
      </c>
      <c r="Q85" t="n">
        <v>0</v>
      </c>
      <c r="R85" t="n">
        <v>0</v>
      </c>
      <c r="S85" t="n">
        <v>1</v>
      </c>
      <c r="T85" t="n">
        <v>1</v>
      </c>
      <c r="U85" t="n">
        <v>1</v>
      </c>
      <c r="V85" s="2" t="inlineStr">
        <is>
          <t>Tibast</t>
        </is>
      </c>
      <c r="W85">
        <f>HYPERLINK("https://klasma.github.io/Logging_0685/artfynd/A 40417-2024 artfynd.xlsx", "A 40417-2024")</f>
        <v/>
      </c>
      <c r="X85">
        <f>HYPERLINK("https://klasma.github.io/Logging_0685/kartor/A 40417-2024 karta.png", "A 40417-2024")</f>
        <v/>
      </c>
      <c r="Y85">
        <f>HYPERLINK("https://klasma.github.io/Logging_0685/kartor_geotiff/A 40417-2024 georefererad karta.tif", "A 40417-2024")</f>
        <v/>
      </c>
      <c r="AA85">
        <f>HYPERLINK("https://klasma.github.io/Logging_0685/klagomål/A 40417-2024 FSC-klagomål.docx", "A 40417-2024")</f>
        <v/>
      </c>
      <c r="AB85">
        <f>HYPERLINK("https://klasma.github.io/Logging_0685/klagomålsmail/A 40417-2024 FSC-klagomål mail.docx", "A 40417-2024")</f>
        <v/>
      </c>
      <c r="AC85">
        <f>HYPERLINK("https://klasma.github.io/Logging_0685/tillsyn/A 40417-2024 tillsynsbegäran.docx", "A 40417-2024")</f>
        <v/>
      </c>
      <c r="AD85">
        <f>HYPERLINK("https://klasma.github.io/Logging_0685/tillsynsmail/A 40417-2024 tillsynsbegäran mail.docx", "A 40417-2024")</f>
        <v/>
      </c>
    </row>
    <row r="86" ht="15" customHeight="1">
      <c r="A86" t="inlineStr">
        <is>
          <t>A 8677-2024</t>
        </is>
      </c>
      <c r="B86" t="inlineStr">
        <is>
          <t>avverkningsanmälan</t>
        </is>
      </c>
      <c r="C86" t="inlineStr">
        <is>
          <t>Föryngringsavverkning</t>
        </is>
      </c>
      <c r="D86" s="1" t="n">
        <v>45352</v>
      </c>
      <c r="E86" s="1" t="n">
        <v>46322</v>
      </c>
      <c r="F86" t="inlineStr">
        <is>
          <t>JÖNKÖPINGS LÄN</t>
        </is>
      </c>
      <c r="G86" t="inlineStr">
        <is>
          <t>VETLANDA</t>
        </is>
      </c>
      <c r="I86" t="n">
        <v>2</v>
      </c>
      <c r="J86" t="n">
        <v>0</v>
      </c>
      <c r="K86" t="n">
        <v>0</v>
      </c>
      <c r="L86" t="n">
        <v>0</v>
      </c>
      <c r="M86" t="n">
        <v>0</v>
      </c>
      <c r="N86" t="n">
        <v>1</v>
      </c>
      <c r="O86" t="n">
        <v>0</v>
      </c>
      <c r="P86" t="n">
        <v>0</v>
      </c>
      <c r="Q86" t="n">
        <v>1</v>
      </c>
      <c r="R86" t="n">
        <v>1</v>
      </c>
      <c r="S86" t="n">
        <v>1</v>
      </c>
      <c r="T86" t="n">
        <v>3</v>
      </c>
      <c r="U86" t="n">
        <v>0</v>
      </c>
      <c r="V86" s="2" t="inlineStr">
        <is>
          <t>Ask</t>
        </is>
      </c>
      <c r="W86">
        <f>HYPERLINK("https://klasma.github.io/Logging_0685/artfynd/A 8677-2024 artfynd.xlsx", "A 8677-2024")</f>
        <v/>
      </c>
      <c r="X86">
        <f>HYPERLINK("https://klasma.github.io/Logging_0685/kartor/A 8677-2024 karta.png", "A 8677-2024")</f>
        <v/>
      </c>
      <c r="Y86">
        <f>HYPERLINK("https://klasma.github.io/Logging_0685/kartor_geotiff/A 8677-2024 georefererad karta.tif", "A 8677-2024")</f>
        <v/>
      </c>
      <c r="AA86">
        <f>HYPERLINK("https://klasma.github.io/Logging_0685/klagomål/A 8677-2024 FSC-klagomål.docx", "A 8677-2024")</f>
        <v/>
      </c>
      <c r="AB86">
        <f>HYPERLINK("https://klasma.github.io/Logging_0685/klagomålsmail/A 8677-2024 FSC-klagomål mail.docx", "A 8677-2024")</f>
        <v/>
      </c>
      <c r="AC86">
        <f>HYPERLINK("https://klasma.github.io/Logging_0685/tillsyn/A 8677-2024 tillsynsbegäran.docx", "A 8677-2024")</f>
        <v/>
      </c>
      <c r="AD86">
        <f>HYPERLINK("https://klasma.github.io/Logging_0685/tillsynsmail/A 8677-2024 tillsynsbegäran mail.docx", "A 8677-2024")</f>
        <v/>
      </c>
    </row>
    <row r="87" ht="15" customHeight="1">
      <c r="A87" t="inlineStr">
        <is>
          <t>A 60327-2024</t>
        </is>
      </c>
      <c r="B87" t="inlineStr">
        <is>
          <t>avverkningsanmälan</t>
        </is>
      </c>
      <c r="C87" t="inlineStr">
        <is>
          <t>Föryngringsavverkning</t>
        </is>
      </c>
      <c r="D87" s="1" t="n">
        <v>45643</v>
      </c>
      <c r="E87" s="1" t="n">
        <v>46322</v>
      </c>
      <c r="F87" t="inlineStr">
        <is>
          <t>JÖNKÖPINGS LÄN</t>
        </is>
      </c>
      <c r="G87" t="inlineStr">
        <is>
          <t>VETLANDA</t>
        </is>
      </c>
      <c r="I87" t="n">
        <v>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HYPERLINK("https://klasma.github.io/Logging_0685/artfynd/A 60327-2024 artfynd.xlsx", "A 60327-2024")</f>
        <v/>
      </c>
      <c r="X87">
        <f>HYPERLINK("https://klasma.github.io/Logging_0685/kartor/A 60327-2024 karta.png", "A 60327-2024")</f>
        <v/>
      </c>
      <c r="Y87">
        <f>HYPERLINK("https://klasma.github.io/Logging_0685/kartor_geotiff/A 60327-2024 georefererad karta.tif", "A 60327-2024")</f>
        <v/>
      </c>
      <c r="AA87">
        <f>HYPERLINK("https://klasma.github.io/Logging_0685/klagomål/A 60327-2024 FSC-klagomål.docx", "A 60327-2024")</f>
        <v/>
      </c>
      <c r="AB87">
        <f>HYPERLINK("https://klasma.github.io/Logging_0685/klagomålsmail/A 60327-2024 FSC-klagomål mail.docx", "A 60327-2024")</f>
        <v/>
      </c>
      <c r="AC87">
        <f>HYPERLINK("https://klasma.github.io/Logging_0685/tillsyn/A 60327-2024 tillsynsbegäran.docx", "A 60327-2024")</f>
        <v/>
      </c>
      <c r="AD87">
        <f>HYPERLINK("https://klasma.github.io/Logging_0685/tillsynsmail/A 60327-2024 tillsynsbegäran mail.docx", "A 60327-2024")</f>
        <v/>
      </c>
    </row>
    <row r="88" ht="15" customHeight="1">
      <c r="A88" t="inlineStr">
        <is>
          <t>A 23335-2025</t>
        </is>
      </c>
      <c r="B88" t="inlineStr">
        <is>
          <t>avverkningsanmälan</t>
        </is>
      </c>
      <c r="C88" t="inlineStr">
        <is>
          <t>Föryngringsavverkning</t>
        </is>
      </c>
      <c r="D88" s="1" t="n">
        <v>45791</v>
      </c>
      <c r="E88" s="1" t="n">
        <v>46322</v>
      </c>
      <c r="F88" t="inlineStr">
        <is>
          <t>JÖNKÖPINGS LÄN</t>
        </is>
      </c>
      <c r="G88" t="inlineStr">
        <is>
          <t>VETLANDA</t>
        </is>
      </c>
      <c r="I88" t="n">
        <v>0.5</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HYPERLINK("https://klasma.github.io/Logging_0685/artfynd/A 23335-2025 artfynd.xlsx", "A 23335-2025")</f>
        <v/>
      </c>
      <c r="X88">
        <f>HYPERLINK("https://klasma.github.io/Logging_0685/kartor/A 23335-2025 karta.png", "A 23335-2025")</f>
        <v/>
      </c>
      <c r="Y88">
        <f>HYPERLINK("https://klasma.github.io/Logging_0685/kartor_geotiff/A 23335-2025 georefererad karta.tif", "A 23335-2025")</f>
        <v/>
      </c>
      <c r="AA88">
        <f>HYPERLINK("https://klasma.github.io/Logging_0685/klagomål/A 23335-2025 FSC-klagomål.docx", "A 23335-2025")</f>
        <v/>
      </c>
      <c r="AB88">
        <f>HYPERLINK("https://klasma.github.io/Logging_0685/klagomålsmail/A 23335-2025 FSC-klagomål mail.docx", "A 23335-2025")</f>
        <v/>
      </c>
      <c r="AC88">
        <f>HYPERLINK("https://klasma.github.io/Logging_0685/tillsyn/A 23335-2025 tillsynsbegäran.docx", "A 23335-2025")</f>
        <v/>
      </c>
      <c r="AD88">
        <f>HYPERLINK("https://klasma.github.io/Logging_0685/tillsynsmail/A 23335-2025 tillsynsbegäran mail.docx", "A 23335-2025")</f>
        <v/>
      </c>
    </row>
    <row r="89" ht="15" customHeight="1">
      <c r="A89" t="inlineStr">
        <is>
          <t>A 32318-2022</t>
        </is>
      </c>
      <c r="B89" t="inlineStr">
        <is>
          <t>avverkningsanmälan</t>
        </is>
      </c>
      <c r="C89" t="inlineStr">
        <is>
          <t>Föryngringsavverkning</t>
        </is>
      </c>
      <c r="D89" s="1" t="n">
        <v>44781</v>
      </c>
      <c r="E89" s="1" t="n">
        <v>46322</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15666-2023</t>
        </is>
      </c>
      <c r="B90" t="inlineStr">
        <is>
          <t>avverkningsanmälan</t>
        </is>
      </c>
      <c r="C90" t="inlineStr">
        <is>
          <t>Föryngringsavverkning</t>
        </is>
      </c>
      <c r="D90" s="1" t="n">
        <v>45021</v>
      </c>
      <c r="E90" s="1" t="n">
        <v>46322</v>
      </c>
      <c r="F90" t="inlineStr">
        <is>
          <t>JÖNKÖPINGS LÄN</t>
        </is>
      </c>
      <c r="G90" t="inlineStr">
        <is>
          <t>VETLANDA</t>
        </is>
      </c>
      <c r="I90" t="n">
        <v>3</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HYPERLINK("https://klasma.github.io/Logging_0685/artfynd/A 15666-2023 artfynd.xlsx", "A 15666-2023")</f>
        <v/>
      </c>
      <c r="X90">
        <f>HYPERLINK("https://klasma.github.io/Logging_0685/kartor/A 15666-2023 karta.png", "A 15666-2023")</f>
        <v/>
      </c>
      <c r="Y90">
        <f>HYPERLINK("https://klasma.github.io/Logging_0685/kartor_geotiff/A 15666-2023 georefererad karta.tif", "A 15666-2023")</f>
        <v/>
      </c>
      <c r="AA90">
        <f>HYPERLINK("https://klasma.github.io/Logging_0685/klagomål/A 15666-2023 FSC-klagomål.docx", "A 15666-2023")</f>
        <v/>
      </c>
      <c r="AB90">
        <f>HYPERLINK("https://klasma.github.io/Logging_0685/klagomålsmail/A 15666-2023 FSC-klagomål mail.docx", "A 15666-2023")</f>
        <v/>
      </c>
      <c r="AC90">
        <f>HYPERLINK("https://klasma.github.io/Logging_0685/tillsyn/A 15666-2023 tillsynsbegäran.docx", "A 15666-2023")</f>
        <v/>
      </c>
      <c r="AD90">
        <f>HYPERLINK("https://klasma.github.io/Logging_0685/tillsynsmail/A 15666-2023 tillsynsbegäran mail.docx", "A 15666-2023")</f>
        <v/>
      </c>
    </row>
    <row r="91" ht="15" customHeight="1">
      <c r="A91" t="inlineStr">
        <is>
          <t>A 47276-2024</t>
        </is>
      </c>
      <c r="B91" t="inlineStr">
        <is>
          <t>avverkningsanmälan</t>
        </is>
      </c>
      <c r="C91" t="inlineStr">
        <is>
          <t>Föryngringsavverkning</t>
        </is>
      </c>
      <c r="D91" s="1" t="n">
        <v>45586</v>
      </c>
      <c r="E91" s="1" t="n">
        <v>46322</v>
      </c>
      <c r="F91" t="inlineStr">
        <is>
          <t>JÖNKÖPINGS LÄN</t>
        </is>
      </c>
      <c r="G91" t="inlineStr">
        <is>
          <t>VETLANDA</t>
        </is>
      </c>
      <c r="I91" t="n">
        <v>2.6</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HYPERLINK("https://klasma.github.io/Logging_0685/artfynd/A 47276-2024 artfynd.xlsx", "A 47276-2024")</f>
        <v/>
      </c>
      <c r="X91">
        <f>HYPERLINK("https://klasma.github.io/Logging_0685/kartor/A 47276-2024 karta.png", "A 47276-2024")</f>
        <v/>
      </c>
      <c r="Y91">
        <f>HYPERLINK("https://klasma.github.io/Logging_0685/kartor_geotiff/A 47276-2024 georefererad karta.tif", "A 47276-2024")</f>
        <v/>
      </c>
      <c r="AA91">
        <f>HYPERLINK("https://klasma.github.io/Logging_0685/klagomål/A 47276-2024 FSC-klagomål.docx", "A 47276-2024")</f>
        <v/>
      </c>
      <c r="AB91">
        <f>HYPERLINK("https://klasma.github.io/Logging_0685/klagomålsmail/A 47276-2024 FSC-klagomål mail.docx", "A 47276-2024")</f>
        <v/>
      </c>
      <c r="AC91">
        <f>HYPERLINK("https://klasma.github.io/Logging_0685/tillsyn/A 47276-2024 tillsynsbegäran.docx", "A 47276-2024")</f>
        <v/>
      </c>
      <c r="AD91">
        <f>HYPERLINK("https://klasma.github.io/Logging_0685/tillsynsmail/A 47276-2024 tillsynsbegäran mail.docx", "A 47276-2024")</f>
        <v/>
      </c>
    </row>
    <row r="92" ht="15" customHeight="1">
      <c r="A92" t="inlineStr">
        <is>
          <t>A 13587-2025</t>
        </is>
      </c>
      <c r="B92" t="inlineStr">
        <is>
          <t>avverkningsanmälan</t>
        </is>
      </c>
      <c r="C92" t="inlineStr">
        <is>
          <t>Föryngringsavverkning</t>
        </is>
      </c>
      <c r="D92" s="1" t="n">
        <v>45736</v>
      </c>
      <c r="E92" s="1" t="n">
        <v>46322</v>
      </c>
      <c r="F92" t="inlineStr">
        <is>
          <t>JÖNKÖPINGS LÄN</t>
        </is>
      </c>
      <c r="G92" t="inlineStr">
        <is>
          <t>VETLANDA</t>
        </is>
      </c>
      <c r="I92" t="n">
        <v>3.3</v>
      </c>
      <c r="J92" t="n">
        <v>1</v>
      </c>
      <c r="K92" t="n">
        <v>0</v>
      </c>
      <c r="L92" t="n">
        <v>0</v>
      </c>
      <c r="M92" t="n">
        <v>1</v>
      </c>
      <c r="N92" t="n">
        <v>0</v>
      </c>
      <c r="O92" t="n">
        <v>0</v>
      </c>
      <c r="P92" t="n">
        <v>0</v>
      </c>
      <c r="Q92" t="n">
        <v>1</v>
      </c>
      <c r="R92" t="n">
        <v>1</v>
      </c>
      <c r="S92" t="n">
        <v>1</v>
      </c>
      <c r="T92" t="n">
        <v>2</v>
      </c>
      <c r="U92" t="n">
        <v>0</v>
      </c>
      <c r="V92" s="2" t="inlineStr">
        <is>
          <t>Knärot</t>
        </is>
      </c>
      <c r="W92">
        <f>HYPERLINK("https://klasma.github.io/Logging_0685/artfynd/A 13587-2025 artfynd.xlsx", "A 13587-2025")</f>
        <v/>
      </c>
      <c r="X92">
        <f>HYPERLINK("https://klasma.github.io/Logging_0685/kartor/A 13587-2025 karta.png", "A 13587-2025")</f>
        <v/>
      </c>
      <c r="Y92">
        <f>HYPERLINK("https://klasma.github.io/Logging_0685/kartor_geotiff/A 13587-2025 georefererad karta.tif", "A 13587-2025")</f>
        <v/>
      </c>
      <c r="Z92">
        <f>HYPERLINK("https://klasma.github.io/Logging_0685/knärot/A 13587-2025 karta knärot.png", "A 13587-2025")</f>
        <v/>
      </c>
      <c r="AA92">
        <f>HYPERLINK("https://klasma.github.io/Logging_0685/klagomål/A 13587-2025 FSC-klagomål.docx", "A 13587-2025")</f>
        <v/>
      </c>
      <c r="AB92">
        <f>HYPERLINK("https://klasma.github.io/Logging_0685/klagomålsmail/A 13587-2025 FSC-klagomål mail.docx", "A 13587-2025")</f>
        <v/>
      </c>
      <c r="AC92">
        <f>HYPERLINK("https://klasma.github.io/Logging_0685/tillsyn/A 13587-2025 tillsynsbegäran.docx", "A 13587-2025")</f>
        <v/>
      </c>
      <c r="AD92">
        <f>HYPERLINK("https://klasma.github.io/Logging_0685/tillsynsmail/A 13587-2025 tillsynsbegäran mail.docx", "A 13587-2025")</f>
        <v/>
      </c>
    </row>
    <row r="93" ht="15" customHeight="1">
      <c r="A93" t="inlineStr">
        <is>
          <t>A 28655-2022</t>
        </is>
      </c>
      <c r="B93" t="inlineStr">
        <is>
          <t>avverkningsanmälan</t>
        </is>
      </c>
      <c r="C93" t="inlineStr">
        <is>
          <t>Föryngringsavverkning</t>
        </is>
      </c>
      <c r="D93" s="1" t="n">
        <v>44748</v>
      </c>
      <c r="E93" s="1" t="n">
        <v>46322</v>
      </c>
      <c r="F93" t="inlineStr">
        <is>
          <t>JÖNKÖPINGS LÄN</t>
        </is>
      </c>
      <c r="G93" t="inlineStr">
        <is>
          <t>VETLANDA</t>
        </is>
      </c>
      <c r="I93" t="n">
        <v>3.2</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28655-2022 artfynd.xlsx", "A 28655-2022")</f>
        <v/>
      </c>
      <c r="X93">
        <f>HYPERLINK("https://klasma.github.io/Logging_0685/kartor/A 28655-2022 karta.png", "A 28655-2022")</f>
        <v/>
      </c>
      <c r="Y93">
        <f>HYPERLINK("https://klasma.github.io/Logging_0685/kartor_geotiff/A 28655-2022 georefererad karta.tif", "A 28655-2022")</f>
        <v/>
      </c>
      <c r="AA93">
        <f>HYPERLINK("https://klasma.github.io/Logging_0685/klagomål/A 28655-2022 FSC-klagomål.docx", "A 28655-2022")</f>
        <v/>
      </c>
      <c r="AB93">
        <f>HYPERLINK("https://klasma.github.io/Logging_0685/klagomålsmail/A 28655-2022 FSC-klagomål mail.docx", "A 28655-2022")</f>
        <v/>
      </c>
      <c r="AC93">
        <f>HYPERLINK("https://klasma.github.io/Logging_0685/tillsyn/A 28655-2022 tillsynsbegäran.docx", "A 28655-2022")</f>
        <v/>
      </c>
      <c r="AD93">
        <f>HYPERLINK("https://klasma.github.io/Logging_0685/tillsynsmail/A 28655-2022 tillsynsbegäran mail.docx", "A 28655-2022")</f>
        <v/>
      </c>
    </row>
    <row r="94" ht="15" customHeight="1">
      <c r="A94" t="inlineStr">
        <is>
          <t>A 28747-2025</t>
        </is>
      </c>
      <c r="B94" t="inlineStr">
        <is>
          <t>avverkningsanmälan</t>
        </is>
      </c>
      <c r="C94" t="inlineStr">
        <is>
          <t>Föryngringsavverkning</t>
        </is>
      </c>
      <c r="D94" s="1" t="n">
        <v>45820</v>
      </c>
      <c r="E94" s="1" t="n">
        <v>46322</v>
      </c>
      <c r="F94" t="inlineStr">
        <is>
          <t>JÖNKÖPINGS LÄN</t>
        </is>
      </c>
      <c r="G94" t="inlineStr">
        <is>
          <t>VETLANDA</t>
        </is>
      </c>
      <c r="H94" t="inlineStr">
        <is>
          <t>Övriga Aktiebolag</t>
        </is>
      </c>
      <c r="I94" t="n">
        <v>0.5</v>
      </c>
      <c r="J94" t="n">
        <v>0</v>
      </c>
      <c r="K94" t="n">
        <v>1</v>
      </c>
      <c r="L94" t="n">
        <v>0</v>
      </c>
      <c r="M94" t="n">
        <v>0</v>
      </c>
      <c r="N94" t="n">
        <v>0</v>
      </c>
      <c r="O94" t="n">
        <v>0</v>
      </c>
      <c r="P94" t="n">
        <v>0</v>
      </c>
      <c r="Q94" t="n">
        <v>0</v>
      </c>
      <c r="R94" t="n">
        <v>0</v>
      </c>
      <c r="S94" t="n">
        <v>1</v>
      </c>
      <c r="T94" t="n">
        <v>1</v>
      </c>
      <c r="U94" t="n">
        <v>0</v>
      </c>
      <c r="V94" s="2" t="inlineStr">
        <is>
          <t>Brun nållav</t>
        </is>
      </c>
      <c r="W94">
        <f>HYPERLINK("https://klasma.github.io/Logging_0685/artfynd/A 28747-2025 artfynd.xlsx", "A 28747-2025")</f>
        <v/>
      </c>
      <c r="X94">
        <f>HYPERLINK("https://klasma.github.io/Logging_0685/kartor/A 28747-2025 karta.png", "A 28747-2025")</f>
        <v/>
      </c>
      <c r="Y94">
        <f>HYPERLINK("https://klasma.github.io/Logging_0685/kartor_geotiff/A 28747-2025 georefererad karta.tif", "A 28747-2025")</f>
        <v/>
      </c>
      <c r="AA94">
        <f>HYPERLINK("https://klasma.github.io/Logging_0685/klagomål/A 28747-2025 FSC-klagomål.docx", "A 28747-2025")</f>
        <v/>
      </c>
      <c r="AB94">
        <f>HYPERLINK("https://klasma.github.io/Logging_0685/klagomålsmail/A 28747-2025 FSC-klagomål mail.docx", "A 28747-2025")</f>
        <v/>
      </c>
      <c r="AC94">
        <f>HYPERLINK("https://klasma.github.io/Logging_0685/tillsyn/A 28747-2025 tillsynsbegäran.docx", "A 28747-2025")</f>
        <v/>
      </c>
      <c r="AD94">
        <f>HYPERLINK("https://klasma.github.io/Logging_0685/tillsynsmail/A 28747-2025 tillsynsbegäran mail.docx", "A 28747-2025")</f>
        <v/>
      </c>
    </row>
    <row r="95" ht="15" customHeight="1">
      <c r="A95" t="inlineStr">
        <is>
          <t>A 40737-2022</t>
        </is>
      </c>
      <c r="B95" t="inlineStr">
        <is>
          <t>avverkningsanmälan</t>
        </is>
      </c>
      <c r="C95" t="inlineStr">
        <is>
          <t>Föryngringsavverkning</t>
        </is>
      </c>
      <c r="D95" s="1" t="n">
        <v>44824</v>
      </c>
      <c r="E95" s="1" t="n">
        <v>46322</v>
      </c>
      <c r="F95" t="inlineStr">
        <is>
          <t>JÖNKÖPINGS LÄN</t>
        </is>
      </c>
      <c r="G95" t="inlineStr">
        <is>
          <t>VETLANDA</t>
        </is>
      </c>
      <c r="I95" t="n">
        <v>2.9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HYPERLINK("https://klasma.github.io/Logging_0685/artfynd/A 40737-2022 artfynd.xlsx", "A 40737-2022")</f>
        <v/>
      </c>
      <c r="X95">
        <f>HYPERLINK("https://klasma.github.io/Logging_0685/kartor/A 40737-2022 karta.png", "A 40737-2022")</f>
        <v/>
      </c>
      <c r="Y95">
        <f>HYPERLINK("https://klasma.github.io/Logging_0685/kartor_geotiff/A 40737-2022 georefererad karta.tif", "A 40737-2022")</f>
        <v/>
      </c>
      <c r="AA95">
        <f>HYPERLINK("https://klasma.github.io/Logging_0685/klagomål/A 40737-2022 FSC-klagomål.docx", "A 40737-2022")</f>
        <v/>
      </c>
      <c r="AB95">
        <f>HYPERLINK("https://klasma.github.io/Logging_0685/klagomålsmail/A 40737-2022 FSC-klagomål mail.docx", "A 40737-2022")</f>
        <v/>
      </c>
      <c r="AC95">
        <f>HYPERLINK("https://klasma.github.io/Logging_0685/tillsyn/A 40737-2022 tillsynsbegäran.docx", "A 40737-2022")</f>
        <v/>
      </c>
      <c r="AD95">
        <f>HYPERLINK("https://klasma.github.io/Logging_0685/tillsynsmail/A 40737-2022 tillsynsbegäran mail.docx", "A 40737-2022")</f>
        <v/>
      </c>
    </row>
    <row r="96" ht="15" customHeight="1">
      <c r="A96" t="inlineStr">
        <is>
          <t>A 56147-2023</t>
        </is>
      </c>
      <c r="B96" t="inlineStr">
        <is>
          <t>avverkningsanmälan</t>
        </is>
      </c>
      <c r="C96" t="inlineStr">
        <is>
          <t>Föryngringsavverkning</t>
        </is>
      </c>
      <c r="D96" s="1" t="n">
        <v>45240</v>
      </c>
      <c r="E96" s="1" t="n">
        <v>46322</v>
      </c>
      <c r="F96" t="inlineStr">
        <is>
          <t>JÖNKÖPINGS LÄN</t>
        </is>
      </c>
      <c r="G96" t="inlineStr">
        <is>
          <t>VETLANDA</t>
        </is>
      </c>
      <c r="I96" t="n">
        <v>1.2</v>
      </c>
      <c r="J96" t="n">
        <v>0</v>
      </c>
      <c r="K96" t="n">
        <v>1</v>
      </c>
      <c r="L96" t="n">
        <v>0</v>
      </c>
      <c r="M96" t="n">
        <v>0</v>
      </c>
      <c r="N96" t="n">
        <v>0</v>
      </c>
      <c r="O96" t="n">
        <v>0</v>
      </c>
      <c r="P96" t="n">
        <v>0</v>
      </c>
      <c r="Q96" t="n">
        <v>0</v>
      </c>
      <c r="R96" t="n">
        <v>0</v>
      </c>
      <c r="S96" t="n">
        <v>1</v>
      </c>
      <c r="T96" t="n">
        <v>1</v>
      </c>
      <c r="U96" t="n">
        <v>1</v>
      </c>
      <c r="V96" s="2" t="inlineStr">
        <is>
          <t>Gräsull</t>
        </is>
      </c>
      <c r="W96">
        <f>HYPERLINK("https://klasma.github.io/Logging_0685/artfynd/A 56147-2023 artfynd.xlsx", "A 56147-2023")</f>
        <v/>
      </c>
      <c r="X96">
        <f>HYPERLINK("https://klasma.github.io/Logging_0685/kartor/A 56147-2023 karta.png", "A 56147-2023")</f>
        <v/>
      </c>
      <c r="Y96">
        <f>HYPERLINK("https://klasma.github.io/Logging_0685/kartor_geotiff/A 56147-2023 georefererad karta.tif", "A 56147-2023")</f>
        <v/>
      </c>
      <c r="AA96">
        <f>HYPERLINK("https://klasma.github.io/Logging_0685/klagomål/A 56147-2023 FSC-klagomål.docx", "A 56147-2023")</f>
        <v/>
      </c>
      <c r="AB96">
        <f>HYPERLINK("https://klasma.github.io/Logging_0685/klagomålsmail/A 56147-2023 FSC-klagomål mail.docx", "A 56147-2023")</f>
        <v/>
      </c>
      <c r="AC96">
        <f>HYPERLINK("https://klasma.github.io/Logging_0685/tillsyn/A 56147-2023 tillsynsbegäran.docx", "A 56147-2023")</f>
        <v/>
      </c>
      <c r="AD96">
        <f>HYPERLINK("https://klasma.github.io/Logging_0685/tillsynsmail/A 56147-2023 tillsynsbegäran mail.docx", "A 56147-2023")</f>
        <v/>
      </c>
    </row>
    <row r="97" ht="15" customHeight="1">
      <c r="A97" t="inlineStr">
        <is>
          <t>A 32782-2025</t>
        </is>
      </c>
      <c r="B97" t="inlineStr">
        <is>
          <t>avverkningsanmälan</t>
        </is>
      </c>
      <c r="C97" t="inlineStr">
        <is>
          <t>Föryngringsavverkning</t>
        </is>
      </c>
      <c r="D97" s="1" t="n">
        <v>45839</v>
      </c>
      <c r="E97" s="1" t="n">
        <v>46322</v>
      </c>
      <c r="F97" t="inlineStr">
        <is>
          <t>JÖNKÖPINGS LÄN</t>
        </is>
      </c>
      <c r="G97" t="inlineStr">
        <is>
          <t>VETLANDA</t>
        </is>
      </c>
      <c r="I97" t="n">
        <v>2.8</v>
      </c>
      <c r="J97" t="n">
        <v>0</v>
      </c>
      <c r="K97" t="n">
        <v>0</v>
      </c>
      <c r="L97" t="n">
        <v>0</v>
      </c>
      <c r="M97" t="n">
        <v>1</v>
      </c>
      <c r="N97" t="n">
        <v>0</v>
      </c>
      <c r="O97" t="n">
        <v>0</v>
      </c>
      <c r="P97" t="n">
        <v>0</v>
      </c>
      <c r="Q97" t="n">
        <v>1</v>
      </c>
      <c r="R97" t="n">
        <v>1</v>
      </c>
      <c r="S97" t="n">
        <v>1</v>
      </c>
      <c r="T97" t="n">
        <v>1</v>
      </c>
      <c r="U97" t="n">
        <v>0</v>
      </c>
      <c r="V97" s="2" t="inlineStr">
        <is>
          <t>Mörkstiftig hällfibbla</t>
        </is>
      </c>
      <c r="W97">
        <f>HYPERLINK("https://klasma.github.io/Logging_0685/artfynd/A 32782-2025 artfynd.xlsx", "A 32782-2025")</f>
        <v/>
      </c>
      <c r="X97">
        <f>HYPERLINK("https://klasma.github.io/Logging_0685/kartor/A 32782-2025 karta.png", "A 32782-2025")</f>
        <v/>
      </c>
      <c r="Y97">
        <f>HYPERLINK("https://klasma.github.io/Logging_0685/kartor_geotiff/A 32782-2025 georefererad karta.tif", "A 32782-2025")</f>
        <v/>
      </c>
      <c r="AA97">
        <f>HYPERLINK("https://klasma.github.io/Logging_0685/klagomål/A 32782-2025 FSC-klagomål.docx", "A 32782-2025")</f>
        <v/>
      </c>
      <c r="AB97">
        <f>HYPERLINK("https://klasma.github.io/Logging_0685/klagomålsmail/A 32782-2025 FSC-klagomål mail.docx", "A 32782-2025")</f>
        <v/>
      </c>
      <c r="AC97">
        <f>HYPERLINK("https://klasma.github.io/Logging_0685/tillsyn/A 32782-2025 tillsynsbegäran.docx", "A 32782-2025")</f>
        <v/>
      </c>
      <c r="AD97">
        <f>HYPERLINK("https://klasma.github.io/Logging_0685/tillsynsmail/A 32782-2025 tillsynsbegäran mail.docx", "A 32782-2025")</f>
        <v/>
      </c>
    </row>
    <row r="98" ht="15" customHeight="1">
      <c r="A98" t="inlineStr">
        <is>
          <t>A 24905-2022</t>
        </is>
      </c>
      <c r="B98" t="inlineStr">
        <is>
          <t>avverkningsanmälan</t>
        </is>
      </c>
      <c r="C98" t="inlineStr">
        <is>
          <t>Föryngringsavverkning</t>
        </is>
      </c>
      <c r="D98" s="1" t="n">
        <v>44728</v>
      </c>
      <c r="E98" s="1" t="n">
        <v>46322</v>
      </c>
      <c r="F98" t="inlineStr">
        <is>
          <t>JÖNKÖPINGS LÄN</t>
        </is>
      </c>
      <c r="G98" t="inlineStr">
        <is>
          <t>VETLANDA</t>
        </is>
      </c>
      <c r="I98" t="n">
        <v>0.8</v>
      </c>
      <c r="J98" t="n">
        <v>1</v>
      </c>
      <c r="K98" t="n">
        <v>0</v>
      </c>
      <c r="L98" t="n">
        <v>0</v>
      </c>
      <c r="M98" t="n">
        <v>0</v>
      </c>
      <c r="N98" t="n">
        <v>0</v>
      </c>
      <c r="O98" t="n">
        <v>0</v>
      </c>
      <c r="P98" t="n">
        <v>0</v>
      </c>
      <c r="Q98" t="n">
        <v>0</v>
      </c>
      <c r="R98" t="n">
        <v>0</v>
      </c>
      <c r="S98" t="n">
        <v>1</v>
      </c>
      <c r="T98" t="n">
        <v>1</v>
      </c>
      <c r="U98" t="n">
        <v>1</v>
      </c>
      <c r="V98" s="2" t="inlineStr">
        <is>
          <t>Röd glada</t>
        </is>
      </c>
      <c r="W98">
        <f>HYPERLINK("https://klasma.github.io/Logging_0685/artfynd/A 24905-2022 artfynd.xlsx", "A 24905-2022")</f>
        <v/>
      </c>
      <c r="X98">
        <f>HYPERLINK("https://klasma.github.io/Logging_0685/kartor/A 24905-2022 karta.png", "A 24905-2022")</f>
        <v/>
      </c>
      <c r="Y98">
        <f>HYPERLINK("https://klasma.github.io/Logging_0685/kartor_geotiff/A 24905-2022 georefererad karta.tif", "A 24905-2022")</f>
        <v/>
      </c>
      <c r="AA98">
        <f>HYPERLINK("https://klasma.github.io/Logging_0685/klagomål/A 24905-2022 FSC-klagomål.docx", "A 24905-2022")</f>
        <v/>
      </c>
      <c r="AB98">
        <f>HYPERLINK("https://klasma.github.io/Logging_0685/klagomålsmail/A 24905-2022 FSC-klagomål mail.docx", "A 24905-2022")</f>
        <v/>
      </c>
      <c r="AC98">
        <f>HYPERLINK("https://klasma.github.io/Logging_0685/tillsyn/A 24905-2022 tillsynsbegäran.docx", "A 24905-2022")</f>
        <v/>
      </c>
      <c r="AD98">
        <f>HYPERLINK("https://klasma.github.io/Logging_0685/tillsynsmail/A 24905-2022 tillsynsbegäran mail.docx", "A 24905-2022")</f>
        <v/>
      </c>
      <c r="AE98">
        <f>HYPERLINK("https://klasma.github.io/Logging_0685/fåglar/A 24905-2022 prioriterade fågelarter.docx", "A 24905-2022")</f>
        <v/>
      </c>
    </row>
    <row r="99" ht="15" customHeight="1">
      <c r="A99" t="inlineStr">
        <is>
          <t>A 6777-2024</t>
        </is>
      </c>
      <c r="B99" t="inlineStr">
        <is>
          <t>avverkningsanmälan</t>
        </is>
      </c>
      <c r="C99" t="inlineStr">
        <is>
          <t>Föryngringsavverkning</t>
        </is>
      </c>
      <c r="D99" s="1" t="n">
        <v>45342</v>
      </c>
      <c r="E99" s="1" t="n">
        <v>46322</v>
      </c>
      <c r="F99" t="inlineStr">
        <is>
          <t>JÖNKÖPINGS LÄN</t>
        </is>
      </c>
      <c r="G99" t="inlineStr">
        <is>
          <t>VETLANDA</t>
        </is>
      </c>
      <c r="I99" t="n">
        <v>1</v>
      </c>
      <c r="J99" t="n">
        <v>0</v>
      </c>
      <c r="K99" t="n">
        <v>1</v>
      </c>
      <c r="L99" t="n">
        <v>0</v>
      </c>
      <c r="M99" t="n">
        <v>0</v>
      </c>
      <c r="N99" t="n">
        <v>0</v>
      </c>
      <c r="O99" t="n">
        <v>0</v>
      </c>
      <c r="P99" t="n">
        <v>0</v>
      </c>
      <c r="Q99" t="n">
        <v>0</v>
      </c>
      <c r="R99" t="n">
        <v>0</v>
      </c>
      <c r="S99" t="n">
        <v>1</v>
      </c>
      <c r="T99" t="n">
        <v>1</v>
      </c>
      <c r="U99" t="n">
        <v>0</v>
      </c>
      <c r="V99" s="2" t="inlineStr">
        <is>
          <t>Strutbräken</t>
        </is>
      </c>
      <c r="W99">
        <f>HYPERLINK("https://klasma.github.io/Logging_0685/artfynd/A 6777-2024 artfynd.xlsx", "A 6777-2024")</f>
        <v/>
      </c>
      <c r="X99">
        <f>HYPERLINK("https://klasma.github.io/Logging_0685/kartor/A 6777-2024 karta.png", "A 6777-2024")</f>
        <v/>
      </c>
      <c r="Y99">
        <f>HYPERLINK("https://klasma.github.io/Logging_0685/kartor_geotiff/A 6777-2024 georefererad karta.tif", "A 6777-2024")</f>
        <v/>
      </c>
      <c r="AA99">
        <f>HYPERLINK("https://klasma.github.io/Logging_0685/klagomål/A 6777-2024 FSC-klagomål.docx", "A 6777-2024")</f>
        <v/>
      </c>
      <c r="AB99">
        <f>HYPERLINK("https://klasma.github.io/Logging_0685/klagomålsmail/A 6777-2024 FSC-klagomål mail.docx", "A 6777-2024")</f>
        <v/>
      </c>
      <c r="AC99">
        <f>HYPERLINK("https://klasma.github.io/Logging_0685/tillsyn/A 6777-2024 tillsynsbegäran.docx", "A 6777-2024")</f>
        <v/>
      </c>
      <c r="AD99">
        <f>HYPERLINK("https://klasma.github.io/Logging_0685/tillsynsmail/A 6777-2024 tillsynsbegäran mail.docx", "A 6777-2024")</f>
        <v/>
      </c>
    </row>
    <row r="100" ht="15" customHeight="1">
      <c r="A100" t="inlineStr">
        <is>
          <t>A 47071-2024</t>
        </is>
      </c>
      <c r="B100" t="inlineStr">
        <is>
          <t>avverkningsanmälan</t>
        </is>
      </c>
      <c r="C100" t="inlineStr">
        <is>
          <t>Föryngringsavverkning</t>
        </is>
      </c>
      <c r="D100" s="1" t="n">
        <v>45586</v>
      </c>
      <c r="E100" s="1" t="n">
        <v>46322</v>
      </c>
      <c r="F100" t="inlineStr">
        <is>
          <t>JÖNKÖPINGS LÄN</t>
        </is>
      </c>
      <c r="G100" t="inlineStr">
        <is>
          <t>VETLANDA</t>
        </is>
      </c>
      <c r="I100" t="n">
        <v>3.6</v>
      </c>
      <c r="J100" t="n">
        <v>0</v>
      </c>
      <c r="K100" t="n">
        <v>0</v>
      </c>
      <c r="L100" t="n">
        <v>1</v>
      </c>
      <c r="M100" t="n">
        <v>0</v>
      </c>
      <c r="N100" t="n">
        <v>0</v>
      </c>
      <c r="O100" t="n">
        <v>0</v>
      </c>
      <c r="P100" t="n">
        <v>0</v>
      </c>
      <c r="Q100" t="n">
        <v>1</v>
      </c>
      <c r="R100" t="n">
        <v>0</v>
      </c>
      <c r="S100" t="n">
        <v>1</v>
      </c>
      <c r="T100" t="n">
        <v>1</v>
      </c>
      <c r="U100" t="n">
        <v>1</v>
      </c>
      <c r="V100" s="2" t="inlineStr">
        <is>
          <t>Etternässla</t>
        </is>
      </c>
      <c r="W100">
        <f>HYPERLINK("https://klasma.github.io/Logging_0685/artfynd/A 47071-2024 artfynd.xlsx", "A 47071-2024")</f>
        <v/>
      </c>
      <c r="X100">
        <f>HYPERLINK("https://klasma.github.io/Logging_0685/kartor/A 47071-2024 karta.png", "A 47071-2024")</f>
        <v/>
      </c>
      <c r="Y100">
        <f>HYPERLINK("https://klasma.github.io/Logging_0685/kartor_geotiff/A 47071-2024 georefererad karta.tif", "A 47071-2024")</f>
        <v/>
      </c>
      <c r="AA100">
        <f>HYPERLINK("https://klasma.github.io/Logging_0685/klagomål/A 47071-2024 FSC-klagomål.docx", "A 47071-2024")</f>
        <v/>
      </c>
      <c r="AB100">
        <f>HYPERLINK("https://klasma.github.io/Logging_0685/klagomålsmail/A 47071-2024 FSC-klagomål mail.docx", "A 47071-2024")</f>
        <v/>
      </c>
      <c r="AC100">
        <f>HYPERLINK("https://klasma.github.io/Logging_0685/tillsyn/A 47071-2024 tillsynsbegäran.docx", "A 47071-2024")</f>
        <v/>
      </c>
      <c r="AD100">
        <f>HYPERLINK("https://klasma.github.io/Logging_0685/tillsynsmail/A 47071-2024 tillsynsbegäran mail.docx", "A 47071-2024")</f>
        <v/>
      </c>
    </row>
    <row r="101" ht="15" customHeight="1">
      <c r="A101" t="inlineStr">
        <is>
          <t>A 47327-2025</t>
        </is>
      </c>
      <c r="B101" t="inlineStr">
        <is>
          <t>avverkningsanmälan</t>
        </is>
      </c>
      <c r="C101" t="inlineStr">
        <is>
          <t>Föryngringsavverkning</t>
        </is>
      </c>
      <c r="D101" s="1" t="n">
        <v>45930</v>
      </c>
      <c r="E101" s="1" t="n">
        <v>46322</v>
      </c>
      <c r="F101" t="inlineStr">
        <is>
          <t>JÖNKÖPINGS LÄN</t>
        </is>
      </c>
      <c r="G101" t="inlineStr">
        <is>
          <t>VETLANDA</t>
        </is>
      </c>
      <c r="H101" t="inlineStr">
        <is>
          <t>Kyrkan</t>
        </is>
      </c>
      <c r="I101" t="n">
        <v>7.2</v>
      </c>
      <c r="J101" t="n">
        <v>1</v>
      </c>
      <c r="K101" t="n">
        <v>0</v>
      </c>
      <c r="L101" t="n">
        <v>0</v>
      </c>
      <c r="M101" t="n">
        <v>1</v>
      </c>
      <c r="N101" t="n">
        <v>0</v>
      </c>
      <c r="O101" t="n">
        <v>0</v>
      </c>
      <c r="P101" t="n">
        <v>0</v>
      </c>
      <c r="Q101" t="n">
        <v>1</v>
      </c>
      <c r="R101" t="n">
        <v>1</v>
      </c>
      <c r="S101" t="n">
        <v>1</v>
      </c>
      <c r="T101" t="n">
        <v>2</v>
      </c>
      <c r="U101" t="n">
        <v>2</v>
      </c>
      <c r="V101" s="2" t="inlineStr">
        <is>
          <t>Knärot</t>
        </is>
      </c>
      <c r="W101">
        <f>HYPERLINK("https://klasma.github.io/Logging_0685/artfynd/A 47327-2025 artfynd.xlsx", "A 47327-2025")</f>
        <v/>
      </c>
      <c r="X101">
        <f>HYPERLINK("https://klasma.github.io/Logging_0685/kartor/A 47327-2025 karta.png", "A 47327-2025")</f>
        <v/>
      </c>
      <c r="Y101">
        <f>HYPERLINK("https://klasma.github.io/Logging_0685/kartor_geotiff/A 47327-2025 georefererad karta.tif", "A 47327-2025")</f>
        <v/>
      </c>
      <c r="Z101">
        <f>HYPERLINK("https://klasma.github.io/Logging_0685/knärot/A 47327-2025 karta knärot.png", "A 47327-2025")</f>
        <v/>
      </c>
      <c r="AA101">
        <f>HYPERLINK("https://klasma.github.io/Logging_0685/klagomål/A 47327-2025 FSC-klagomål.docx", "A 47327-2025")</f>
        <v/>
      </c>
      <c r="AB101">
        <f>HYPERLINK("https://klasma.github.io/Logging_0685/klagomålsmail/A 47327-2025 FSC-klagomål mail.docx", "A 47327-2025")</f>
        <v/>
      </c>
      <c r="AC101">
        <f>HYPERLINK("https://klasma.github.io/Logging_0685/tillsyn/A 47327-2025 tillsynsbegäran.docx", "A 47327-2025")</f>
        <v/>
      </c>
      <c r="AD101">
        <f>HYPERLINK("https://klasma.github.io/Logging_0685/tillsynsmail/A 47327-2025 tillsynsbegäran mail.docx", "A 47327-2025")</f>
        <v/>
      </c>
    </row>
    <row r="102" ht="15" customHeight="1">
      <c r="A102" t="inlineStr">
        <is>
          <t>A 57111-2023</t>
        </is>
      </c>
      <c r="B102" t="inlineStr">
        <is>
          <t>avverkningsanmälan</t>
        </is>
      </c>
      <c r="C102" t="inlineStr">
        <is>
          <t>Föryngringsavverkning</t>
        </is>
      </c>
      <c r="D102" s="1" t="n">
        <v>45239</v>
      </c>
      <c r="E102" s="1" t="n">
        <v>46322</v>
      </c>
      <c r="F102" t="inlineStr">
        <is>
          <t>JÖNKÖPINGS LÄN</t>
        </is>
      </c>
      <c r="G102" t="inlineStr">
        <is>
          <t>VETLANDA</t>
        </is>
      </c>
      <c r="H102" t="inlineStr">
        <is>
          <t>Kyrkan</t>
        </is>
      </c>
      <c r="I102" t="n">
        <v>2.1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HYPERLINK("https://klasma.github.io/Logging_0685/artfynd/A 57111-2023 artfynd.xlsx", "A 57111-2023")</f>
        <v/>
      </c>
      <c r="X102">
        <f>HYPERLINK("https://klasma.github.io/Logging_0685/kartor/A 57111-2023 karta.png", "A 57111-2023")</f>
        <v/>
      </c>
      <c r="Y102">
        <f>HYPERLINK("https://klasma.github.io/Logging_0685/kartor_geotiff/A 57111-2023 georefererad karta.tif", "A 57111-2023")</f>
        <v/>
      </c>
      <c r="AA102">
        <f>HYPERLINK("https://klasma.github.io/Logging_0685/klagomål/A 57111-2023 FSC-klagomål.docx", "A 57111-2023")</f>
        <v/>
      </c>
      <c r="AB102">
        <f>HYPERLINK("https://klasma.github.io/Logging_0685/klagomålsmail/A 57111-2023 FSC-klagomål mail.docx", "A 57111-2023")</f>
        <v/>
      </c>
      <c r="AC102">
        <f>HYPERLINK("https://klasma.github.io/Logging_0685/tillsyn/A 57111-2023 tillsynsbegäran.docx", "A 57111-2023")</f>
        <v/>
      </c>
      <c r="AD102">
        <f>HYPERLINK("https://klasma.github.io/Logging_0685/tillsynsmail/A 57111-2023 tillsynsbegäran mail.docx", "A 57111-2023")</f>
        <v/>
      </c>
    </row>
    <row r="103" ht="15" customHeight="1">
      <c r="A103" t="inlineStr">
        <is>
          <t>A 9551-2026</t>
        </is>
      </c>
      <c r="B103" t="inlineStr">
        <is>
          <t>avverkningsanmälan</t>
        </is>
      </c>
      <c r="C103" t="inlineStr">
        <is>
          <t>Avverkning för att bevara och utveckla /försöksver</t>
        </is>
      </c>
      <c r="D103" s="1" t="n">
        <v>46071</v>
      </c>
      <c r="E103" s="1" t="n">
        <v>46322</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12223-2023</t>
        </is>
      </c>
      <c r="B104" t="inlineStr">
        <is>
          <t>avverkningsanmälan</t>
        </is>
      </c>
      <c r="C104" t="inlineStr">
        <is>
          <t>Föryngringsavverkning</t>
        </is>
      </c>
      <c r="D104" s="1" t="n">
        <v>44998</v>
      </c>
      <c r="E104" s="1" t="n">
        <v>46322</v>
      </c>
      <c r="F104" t="inlineStr">
        <is>
          <t>JÖNKÖPINGS LÄN</t>
        </is>
      </c>
      <c r="G104" t="inlineStr">
        <is>
          <t>VETLANDA</t>
        </is>
      </c>
      <c r="I104" t="n">
        <v>8.800000000000001</v>
      </c>
      <c r="J104" t="n">
        <v>1</v>
      </c>
      <c r="K104" t="n">
        <v>0</v>
      </c>
      <c r="L104" t="n">
        <v>0</v>
      </c>
      <c r="M104" t="n">
        <v>0</v>
      </c>
      <c r="N104" t="n">
        <v>0</v>
      </c>
      <c r="O104" t="n">
        <v>0</v>
      </c>
      <c r="P104" t="n">
        <v>0</v>
      </c>
      <c r="Q104" t="n">
        <v>0</v>
      </c>
      <c r="R104" t="n">
        <v>0</v>
      </c>
      <c r="S104" t="n">
        <v>1</v>
      </c>
      <c r="T104" t="n">
        <v>1</v>
      </c>
      <c r="U104" t="n">
        <v>1</v>
      </c>
      <c r="V104" s="2" t="inlineStr">
        <is>
          <t>Lopplummer (aggregat)</t>
        </is>
      </c>
      <c r="W104">
        <f>HYPERLINK("https://klasma.github.io/Logging_0685/artfynd/A 12223-2023 artfynd.xlsx", "A 12223-2023")</f>
        <v/>
      </c>
      <c r="X104">
        <f>HYPERLINK("https://klasma.github.io/Logging_0685/kartor/A 12223-2023 karta.png", "A 12223-2023")</f>
        <v/>
      </c>
      <c r="Y104">
        <f>HYPERLINK("https://klasma.github.io/Logging_0685/kartor_geotiff/A 12223-2023 georefererad karta.tif", "A 12223-2023")</f>
        <v/>
      </c>
      <c r="AA104">
        <f>HYPERLINK("https://klasma.github.io/Logging_0685/klagomål/A 12223-2023 FSC-klagomål.docx", "A 12223-2023")</f>
        <v/>
      </c>
      <c r="AB104">
        <f>HYPERLINK("https://klasma.github.io/Logging_0685/klagomålsmail/A 12223-2023 FSC-klagomål mail.docx", "A 12223-2023")</f>
        <v/>
      </c>
      <c r="AC104">
        <f>HYPERLINK("https://klasma.github.io/Logging_0685/tillsyn/A 12223-2023 tillsynsbegäran.docx", "A 12223-2023")</f>
        <v/>
      </c>
      <c r="AD104">
        <f>HYPERLINK("https://klasma.github.io/Logging_0685/tillsynsmail/A 12223-2023 tillsynsbegäran mail.docx", "A 12223-2023")</f>
        <v/>
      </c>
    </row>
    <row r="105" ht="15" customHeight="1">
      <c r="A105" t="inlineStr">
        <is>
          <t>A 53741-2022</t>
        </is>
      </c>
      <c r="B105" t="inlineStr">
        <is>
          <t>avverkningsanmälan</t>
        </is>
      </c>
      <c r="C105" t="inlineStr">
        <is>
          <t>Föryngringsavverkning</t>
        </is>
      </c>
      <c r="D105" s="1" t="n">
        <v>44880</v>
      </c>
      <c r="E105" s="1" t="n">
        <v>46322</v>
      </c>
      <c r="F105" t="inlineStr">
        <is>
          <t>JÖNKÖPINGS LÄN</t>
        </is>
      </c>
      <c r="G105" t="inlineStr">
        <is>
          <t>VETLANDA</t>
        </is>
      </c>
      <c r="I105" t="n">
        <v>2.3</v>
      </c>
      <c r="J105" t="n">
        <v>0</v>
      </c>
      <c r="K105" t="n">
        <v>0</v>
      </c>
      <c r="L105" t="n">
        <v>1</v>
      </c>
      <c r="M105" t="n">
        <v>0</v>
      </c>
      <c r="N105" t="n">
        <v>0</v>
      </c>
      <c r="O105" t="n">
        <v>0</v>
      </c>
      <c r="P105" t="n">
        <v>0</v>
      </c>
      <c r="Q105" t="n">
        <v>1</v>
      </c>
      <c r="R105" t="n">
        <v>0</v>
      </c>
      <c r="S105" t="n">
        <v>1</v>
      </c>
      <c r="T105" t="n">
        <v>1</v>
      </c>
      <c r="U105" t="n">
        <v>1</v>
      </c>
      <c r="V105" s="2" t="inlineStr">
        <is>
          <t>Sommarfibbla</t>
        </is>
      </c>
      <c r="W105">
        <f>HYPERLINK("https://klasma.github.io/Logging_0685/artfynd/A 53741-2022 artfynd.xlsx", "A 53741-2022")</f>
        <v/>
      </c>
      <c r="X105">
        <f>HYPERLINK("https://klasma.github.io/Logging_0685/kartor/A 53741-2022 karta.png", "A 53741-2022")</f>
        <v/>
      </c>
      <c r="Y105">
        <f>HYPERLINK("https://klasma.github.io/Logging_0685/kartor_geotiff/A 53741-2022 georefererad karta.tif", "A 53741-2022")</f>
        <v/>
      </c>
      <c r="AA105">
        <f>HYPERLINK("https://klasma.github.io/Logging_0685/klagomål/A 53741-2022 FSC-klagomål.docx", "A 53741-2022")</f>
        <v/>
      </c>
      <c r="AB105">
        <f>HYPERLINK("https://klasma.github.io/Logging_0685/klagomålsmail/A 53741-2022 FSC-klagomål mail.docx", "A 53741-2022")</f>
        <v/>
      </c>
      <c r="AC105">
        <f>HYPERLINK("https://klasma.github.io/Logging_0685/tillsyn/A 53741-2022 tillsynsbegäran.docx", "A 53741-2022")</f>
        <v/>
      </c>
      <c r="AD105">
        <f>HYPERLINK("https://klasma.github.io/Logging_0685/tillsynsmail/A 53741-2022 tillsynsbegäran mail.docx", "A 53741-2022")</f>
        <v/>
      </c>
    </row>
    <row r="106" ht="15" customHeight="1">
      <c r="A106" t="inlineStr">
        <is>
          <t>A 20542-2025</t>
        </is>
      </c>
      <c r="B106" t="inlineStr">
        <is>
          <t>avverkningsanmälan</t>
        </is>
      </c>
      <c r="C106" t="inlineStr">
        <is>
          <t>Föryngringsavverkning</t>
        </is>
      </c>
      <c r="D106" s="1" t="n">
        <v>45775</v>
      </c>
      <c r="E106" s="1" t="n">
        <v>46322</v>
      </c>
      <c r="F106" t="inlineStr">
        <is>
          <t>JÖNKÖPINGS LÄN</t>
        </is>
      </c>
      <c r="G106" t="inlineStr">
        <is>
          <t>VETLANDA</t>
        </is>
      </c>
      <c r="I106" t="n">
        <v>2</v>
      </c>
      <c r="J106" t="n">
        <v>0</v>
      </c>
      <c r="K106" t="n">
        <v>0</v>
      </c>
      <c r="L106" t="n">
        <v>0</v>
      </c>
      <c r="M106" t="n">
        <v>1</v>
      </c>
      <c r="N106" t="n">
        <v>0</v>
      </c>
      <c r="O106" t="n">
        <v>0</v>
      </c>
      <c r="P106" t="n">
        <v>0</v>
      </c>
      <c r="Q106" t="n">
        <v>1</v>
      </c>
      <c r="R106" t="n">
        <v>1</v>
      </c>
      <c r="S106" t="n">
        <v>1</v>
      </c>
      <c r="T106" t="n">
        <v>1</v>
      </c>
      <c r="U106" t="n">
        <v>0</v>
      </c>
      <c r="V106" s="2" t="inlineStr">
        <is>
          <t>Ryl</t>
        </is>
      </c>
      <c r="W106">
        <f>HYPERLINK("https://klasma.github.io/Logging_0685/artfynd/A 20542-2025 artfynd.xlsx", "A 20542-2025")</f>
        <v/>
      </c>
      <c r="X106">
        <f>HYPERLINK("https://klasma.github.io/Logging_0685/kartor/A 20542-2025 karta.png", "A 20542-2025")</f>
        <v/>
      </c>
      <c r="Y106">
        <f>HYPERLINK("https://klasma.github.io/Logging_0685/kartor_geotiff/A 20542-2025 georefererad karta.tif", "A 20542-2025")</f>
        <v/>
      </c>
      <c r="AA106">
        <f>HYPERLINK("https://klasma.github.io/Logging_0685/klagomål/A 20542-2025 FSC-klagomål.docx", "A 20542-2025")</f>
        <v/>
      </c>
      <c r="AB106">
        <f>HYPERLINK("https://klasma.github.io/Logging_0685/klagomålsmail/A 20542-2025 FSC-klagomål mail.docx", "A 20542-2025")</f>
        <v/>
      </c>
      <c r="AC106">
        <f>HYPERLINK("https://klasma.github.io/Logging_0685/tillsyn/A 20542-2025 tillsynsbegäran.docx", "A 20542-2025")</f>
        <v/>
      </c>
      <c r="AD106">
        <f>HYPERLINK("https://klasma.github.io/Logging_0685/tillsynsmail/A 20542-2025 tillsynsbegäran mail.docx", "A 20542-2025")</f>
        <v/>
      </c>
    </row>
    <row r="107" ht="15" customHeight="1">
      <c r="A107" t="inlineStr">
        <is>
          <t>A 17874-2024</t>
        </is>
      </c>
      <c r="B107" t="inlineStr">
        <is>
          <t>avverkningsanmälan</t>
        </is>
      </c>
      <c r="C107" t="inlineStr">
        <is>
          <t>Föryngringsavverkning</t>
        </is>
      </c>
      <c r="D107" s="1" t="n">
        <v>45419</v>
      </c>
      <c r="E107" s="1" t="n">
        <v>46322</v>
      </c>
      <c r="F107" t="inlineStr">
        <is>
          <t>JÖNKÖPINGS LÄN</t>
        </is>
      </c>
      <c r="G107" t="inlineStr">
        <is>
          <t>VETLANDA</t>
        </is>
      </c>
      <c r="I107" t="n">
        <v>3.8</v>
      </c>
      <c r="J107" t="n">
        <v>0</v>
      </c>
      <c r="K107" t="n">
        <v>1</v>
      </c>
      <c r="L107" t="n">
        <v>0</v>
      </c>
      <c r="M107" t="n">
        <v>0</v>
      </c>
      <c r="N107" t="n">
        <v>0</v>
      </c>
      <c r="O107" t="n">
        <v>0</v>
      </c>
      <c r="P107" t="n">
        <v>0</v>
      </c>
      <c r="Q107" t="n">
        <v>0</v>
      </c>
      <c r="R107" t="n">
        <v>0</v>
      </c>
      <c r="S107" t="n">
        <v>1</v>
      </c>
      <c r="T107" t="n">
        <v>2</v>
      </c>
      <c r="U107" t="n">
        <v>1</v>
      </c>
      <c r="V107" s="2" t="inlineStr">
        <is>
          <t>Dvärghäxört</t>
        </is>
      </c>
      <c r="W107">
        <f>HYPERLINK("https://klasma.github.io/Logging_0685/artfynd/A 17874-2024 artfynd.xlsx", "A 17874-2024")</f>
        <v/>
      </c>
      <c r="X107">
        <f>HYPERLINK("https://klasma.github.io/Logging_0685/kartor/A 17874-2024 karta.png", "A 17874-2024")</f>
        <v/>
      </c>
      <c r="Y107">
        <f>HYPERLINK("https://klasma.github.io/Logging_0685/kartor_geotiff/A 17874-2024 georefererad karta.tif", "A 17874-2024")</f>
        <v/>
      </c>
      <c r="AA107">
        <f>HYPERLINK("https://klasma.github.io/Logging_0685/klagomål/A 17874-2024 FSC-klagomål.docx", "A 17874-2024")</f>
        <v/>
      </c>
      <c r="AB107">
        <f>HYPERLINK("https://klasma.github.io/Logging_0685/klagomålsmail/A 17874-2024 FSC-klagomål mail.docx", "A 17874-2024")</f>
        <v/>
      </c>
      <c r="AC107">
        <f>HYPERLINK("https://klasma.github.io/Logging_0685/tillsyn/A 17874-2024 tillsynsbegäran.docx", "A 17874-2024")</f>
        <v/>
      </c>
      <c r="AD107">
        <f>HYPERLINK("https://klasma.github.io/Logging_0685/tillsynsmail/A 17874-2024 tillsynsbegäran mail.docx", "A 17874-2024")</f>
        <v/>
      </c>
    </row>
    <row r="108" ht="15" customHeight="1">
      <c r="A108" t="inlineStr">
        <is>
          <t>A 37565-2025</t>
        </is>
      </c>
      <c r="B108" t="inlineStr">
        <is>
          <t>avverkningsanmälan</t>
        </is>
      </c>
      <c r="C108" t="inlineStr">
        <is>
          <t>Föryngringsavverkning</t>
        </is>
      </c>
      <c r="D108" s="1" t="n">
        <v>45880</v>
      </c>
      <c r="E108" s="1" t="n">
        <v>46322</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0</v>
      </c>
      <c r="V108" s="2" t="inlineStr">
        <is>
          <t>Ryl</t>
        </is>
      </c>
      <c r="W108">
        <f>HYPERLINK("https://klasma.github.io/Logging_0685/artfynd/A 37565-2025 artfynd.xlsx", "A 37565-2025")</f>
        <v/>
      </c>
      <c r="X108">
        <f>HYPERLINK("https://klasma.github.io/Logging_0685/kartor/A 37565-2025 karta.png", "A 37565-2025")</f>
        <v/>
      </c>
      <c r="Y108">
        <f>HYPERLINK("https://klasma.github.io/Logging_0685/kartor_geotiff/A 37565-2025 georefererad karta.tif", "A 37565-2025")</f>
        <v/>
      </c>
      <c r="AA108">
        <f>HYPERLINK("https://klasma.github.io/Logging_0685/klagomål/A 37565-2025 FSC-klagomål.docx", "A 37565-2025")</f>
        <v/>
      </c>
      <c r="AB108">
        <f>HYPERLINK("https://klasma.github.io/Logging_0685/klagomålsmail/A 37565-2025 FSC-klagomål mail.docx", "A 37565-2025")</f>
        <v/>
      </c>
      <c r="AC108">
        <f>HYPERLINK("https://klasma.github.io/Logging_0685/tillsyn/A 37565-2025 tillsynsbegäran.docx", "A 37565-2025")</f>
        <v/>
      </c>
      <c r="AD108">
        <f>HYPERLINK("https://klasma.github.io/Logging_0685/tillsynsmail/A 37565-2025 tillsynsbegäran mail.docx", "A 37565-2025")</f>
        <v/>
      </c>
    </row>
    <row r="109" ht="15" customHeight="1">
      <c r="A109" t="inlineStr">
        <is>
          <t>A 33690-2026</t>
        </is>
      </c>
      <c r="B109" t="inlineStr">
        <is>
          <t>avverkningsanmälan</t>
        </is>
      </c>
      <c r="C109" t="inlineStr">
        <is>
          <t>Avverkning för annat ändamål</t>
        </is>
      </c>
      <c r="D109" s="1" t="n">
        <v>46248</v>
      </c>
      <c r="E109" s="1" t="n">
        <v>46322</v>
      </c>
      <c r="F109" t="inlineStr">
        <is>
          <t>JÖNKÖPINGS LÄN</t>
        </is>
      </c>
      <c r="G109" t="inlineStr">
        <is>
          <t>VETLANDA</t>
        </is>
      </c>
      <c r="I109" t="n">
        <v>5.4</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HYPERLINK("https://klasma.github.io/Logging_0685/artfynd/A 33690-2026 artfynd.xlsx", "A 33690-2026")</f>
        <v/>
      </c>
      <c r="X109">
        <f>HYPERLINK("https://klasma.github.io/Logging_0685/kartor/A 33690-2026 karta.png", "A 33690-2026")</f>
        <v/>
      </c>
      <c r="Y109">
        <f>HYPERLINK("https://klasma.github.io/Logging_0685/kartor_geotiff/A 33690-2026 georefererad karta.tif", "A 33690-2026")</f>
        <v/>
      </c>
      <c r="AA109">
        <f>HYPERLINK("https://klasma.github.io/Logging_0685/klagomål/A 33690-2026 FSC-klagomål.docx", "A 33690-2026")</f>
        <v/>
      </c>
      <c r="AB109">
        <f>HYPERLINK("https://klasma.github.io/Logging_0685/klagomålsmail/A 33690-2026 FSC-klagomål mail.docx", "A 33690-2026")</f>
        <v/>
      </c>
      <c r="AC109">
        <f>HYPERLINK("https://klasma.github.io/Logging_0685/tillsyn/A 33690-2026 tillsynsbegäran.docx", "A 33690-2026")</f>
        <v/>
      </c>
      <c r="AD109">
        <f>HYPERLINK("https://klasma.github.io/Logging_0685/tillsynsmail/A 33690-2026 tillsynsbegäran mail.docx", "A 33690-2026")</f>
        <v/>
      </c>
    </row>
    <row r="110" ht="15" customHeight="1">
      <c r="A110" t="inlineStr">
        <is>
          <t>A 24945-2023</t>
        </is>
      </c>
      <c r="B110" t="inlineStr">
        <is>
          <t>avverkningsanmälan</t>
        </is>
      </c>
      <c r="C110" t="inlineStr">
        <is>
          <t>Föryngringsavverkning</t>
        </is>
      </c>
      <c r="D110" s="1" t="n">
        <v>45085</v>
      </c>
      <c r="E110" s="1" t="n">
        <v>46322</v>
      </c>
      <c r="F110" t="inlineStr">
        <is>
          <t>JÖNKÖPINGS LÄN</t>
        </is>
      </c>
      <c r="G110" t="inlineStr">
        <is>
          <t>VETLANDA</t>
        </is>
      </c>
      <c r="I110" t="n">
        <v>0.5</v>
      </c>
      <c r="J110" t="n">
        <v>0</v>
      </c>
      <c r="K110" t="n">
        <v>0</v>
      </c>
      <c r="L110" t="n">
        <v>1</v>
      </c>
      <c r="M110" t="n">
        <v>0</v>
      </c>
      <c r="N110" t="n">
        <v>0</v>
      </c>
      <c r="O110" t="n">
        <v>0</v>
      </c>
      <c r="P110" t="n">
        <v>0</v>
      </c>
      <c r="Q110" t="n">
        <v>1</v>
      </c>
      <c r="R110" t="n">
        <v>0</v>
      </c>
      <c r="S110" t="n">
        <v>1</v>
      </c>
      <c r="T110" t="n">
        <v>1</v>
      </c>
      <c r="U110" t="n">
        <v>0</v>
      </c>
      <c r="V110" s="2" t="inlineStr">
        <is>
          <t>Skarp dropptaggsvamp</t>
        </is>
      </c>
      <c r="W110">
        <f>HYPERLINK("https://klasma.github.io/Logging_0685/artfynd/A 24945-2023 artfynd.xlsx", "A 24945-2023")</f>
        <v/>
      </c>
      <c r="X110">
        <f>HYPERLINK("https://klasma.github.io/Logging_0685/kartor/A 24945-2023 karta.png", "A 24945-2023")</f>
        <v/>
      </c>
      <c r="Y110">
        <f>HYPERLINK("https://klasma.github.io/Logging_0685/kartor_geotiff/A 24945-2023 georefererad karta.tif", "A 24945-2023")</f>
        <v/>
      </c>
      <c r="AA110">
        <f>HYPERLINK("https://klasma.github.io/Logging_0685/klagomål/A 24945-2023 FSC-klagomål.docx", "A 24945-2023")</f>
        <v/>
      </c>
      <c r="AB110">
        <f>HYPERLINK("https://klasma.github.io/Logging_0685/klagomålsmail/A 24945-2023 FSC-klagomål mail.docx", "A 24945-2023")</f>
        <v/>
      </c>
      <c r="AC110">
        <f>HYPERLINK("https://klasma.github.io/Logging_0685/tillsyn/A 24945-2023 tillsynsbegäran.docx", "A 24945-2023")</f>
        <v/>
      </c>
      <c r="AD110">
        <f>HYPERLINK("https://klasma.github.io/Logging_0685/tillsynsmail/A 24945-2023 tillsynsbegäran mail.docx", "A 24945-2023")</f>
        <v/>
      </c>
    </row>
    <row r="111" ht="15" customHeight="1">
      <c r="A111" t="inlineStr">
        <is>
          <t>A 16508-2024</t>
        </is>
      </c>
      <c r="B111" t="inlineStr">
        <is>
          <t>avverkningsanmälan</t>
        </is>
      </c>
      <c r="C111" t="inlineStr">
        <is>
          <t>Föryngringsavverkning</t>
        </is>
      </c>
      <c r="D111" s="1" t="n">
        <v>45408</v>
      </c>
      <c r="E111" s="1" t="n">
        <v>46322</v>
      </c>
      <c r="F111" t="inlineStr">
        <is>
          <t>JÖNKÖPINGS LÄN</t>
        </is>
      </c>
      <c r="G111" t="inlineStr">
        <is>
          <t>VETLANDA</t>
        </is>
      </c>
      <c r="I111" t="n">
        <v>4.4</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HYPERLINK("https://klasma.github.io/Logging_0685/artfynd/A 16508-2024 artfynd.xlsx", "A 16508-2024")</f>
        <v/>
      </c>
      <c r="X111">
        <f>HYPERLINK("https://klasma.github.io/Logging_0685/kartor/A 16508-2024 karta.png", "A 16508-2024")</f>
        <v/>
      </c>
      <c r="Y111">
        <f>HYPERLINK("https://klasma.github.io/Logging_0685/kartor_geotiff/A 16508-2024 georefererad karta.tif", "A 16508-2024")</f>
        <v/>
      </c>
      <c r="AA111">
        <f>HYPERLINK("https://klasma.github.io/Logging_0685/klagomål/A 16508-2024 FSC-klagomål.docx", "A 16508-2024")</f>
        <v/>
      </c>
      <c r="AB111">
        <f>HYPERLINK("https://klasma.github.io/Logging_0685/klagomålsmail/A 16508-2024 FSC-klagomål mail.docx", "A 16508-2024")</f>
        <v/>
      </c>
      <c r="AC111">
        <f>HYPERLINK("https://klasma.github.io/Logging_0685/tillsyn/A 16508-2024 tillsynsbegäran.docx", "A 16508-2024")</f>
        <v/>
      </c>
      <c r="AD111">
        <f>HYPERLINK("https://klasma.github.io/Logging_0685/tillsynsmail/A 16508-2024 tillsynsbegäran mail.docx", "A 16508-2024")</f>
        <v/>
      </c>
    </row>
    <row r="112" ht="15" customHeight="1">
      <c r="A112" t="inlineStr">
        <is>
          <t>A 39857-2022</t>
        </is>
      </c>
      <c r="B112" t="inlineStr">
        <is>
          <t>avverkningsanmälan</t>
        </is>
      </c>
      <c r="C112" t="inlineStr">
        <is>
          <t>Föryngringsavverkning</t>
        </is>
      </c>
      <c r="D112" s="1" t="n">
        <v>44819</v>
      </c>
      <c r="E112" s="1" t="n">
        <v>46322</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t="n">
        <v>0</v>
      </c>
      <c r="V112" s="2" t="inlineStr">
        <is>
          <t>Grönpyrola</t>
        </is>
      </c>
      <c r="W112">
        <f>HYPERLINK("https://klasma.github.io/Logging_0685/artfynd/A 39857-2022 artfynd.xlsx", "A 39857-2022")</f>
        <v/>
      </c>
      <c r="X112">
        <f>HYPERLINK("https://klasma.github.io/Logging_0685/kartor/A 39857-2022 karta.png", "A 39857-2022")</f>
        <v/>
      </c>
      <c r="Y112">
        <f>HYPERLINK("https://klasma.github.io/Logging_0685/kartor_geotiff/A 39857-2022 georefererad karta.tif", "A 39857-2022")</f>
        <v/>
      </c>
      <c r="AA112">
        <f>HYPERLINK("https://klasma.github.io/Logging_0685/klagomål/A 39857-2022 FSC-klagomål.docx", "A 39857-2022")</f>
        <v/>
      </c>
      <c r="AB112">
        <f>HYPERLINK("https://klasma.github.io/Logging_0685/klagomålsmail/A 39857-2022 FSC-klagomål mail.docx", "A 39857-2022")</f>
        <v/>
      </c>
      <c r="AC112">
        <f>HYPERLINK("https://klasma.github.io/Logging_0685/tillsyn/A 39857-2022 tillsynsbegäran.docx", "A 39857-2022")</f>
        <v/>
      </c>
      <c r="AD112">
        <f>HYPERLINK("https://klasma.github.io/Logging_0685/tillsynsmail/A 39857-2022 tillsynsbegäran mail.docx", "A 39857-2022")</f>
        <v/>
      </c>
    </row>
    <row r="113" ht="15" customHeight="1">
      <c r="A113" t="inlineStr">
        <is>
          <t>A 32142-2023</t>
        </is>
      </c>
      <c r="B113" t="inlineStr">
        <is>
          <t>avverkningsanmälan</t>
        </is>
      </c>
      <c r="C113" t="inlineStr">
        <is>
          <t>Föryngringsavverkning</t>
        </is>
      </c>
      <c r="D113" s="1" t="n">
        <v>45119</v>
      </c>
      <c r="E113" s="1" t="n">
        <v>46322</v>
      </c>
      <c r="F113" t="inlineStr">
        <is>
          <t>JÖNKÖPINGS LÄN</t>
        </is>
      </c>
      <c r="G113" t="inlineStr">
        <is>
          <t>VETLANDA</t>
        </is>
      </c>
      <c r="I113" t="n">
        <v>1.2</v>
      </c>
      <c r="J113" t="n">
        <v>0</v>
      </c>
      <c r="K113" t="n">
        <v>0</v>
      </c>
      <c r="L113" t="n">
        <v>0</v>
      </c>
      <c r="M113" t="n">
        <v>1</v>
      </c>
      <c r="N113" t="n">
        <v>0</v>
      </c>
      <c r="O113" t="n">
        <v>0</v>
      </c>
      <c r="P113" t="n">
        <v>0</v>
      </c>
      <c r="Q113" t="n">
        <v>1</v>
      </c>
      <c r="R113" t="n">
        <v>1</v>
      </c>
      <c r="S113" t="n">
        <v>1</v>
      </c>
      <c r="T113" t="n">
        <v>1</v>
      </c>
      <c r="U113" t="n">
        <v>0</v>
      </c>
      <c r="V113" s="2" t="inlineStr">
        <is>
          <t>Slåttergubbe</t>
        </is>
      </c>
      <c r="W113">
        <f>HYPERLINK("https://klasma.github.io/Logging_0685/artfynd/A 32142-2023 artfynd.xlsx", "A 32142-2023")</f>
        <v/>
      </c>
      <c r="X113">
        <f>HYPERLINK("https://klasma.github.io/Logging_0685/kartor/A 32142-2023 karta.png", "A 32142-2023")</f>
        <v/>
      </c>
      <c r="Y113">
        <f>HYPERLINK("https://klasma.github.io/Logging_0685/kartor_geotiff/A 32142-2023 georefererad karta.tif", "A 32142-2023")</f>
        <v/>
      </c>
      <c r="AA113">
        <f>HYPERLINK("https://klasma.github.io/Logging_0685/klagomål/A 32142-2023 FSC-klagomål.docx", "A 32142-2023")</f>
        <v/>
      </c>
      <c r="AB113">
        <f>HYPERLINK("https://klasma.github.io/Logging_0685/klagomålsmail/A 32142-2023 FSC-klagomål mail.docx", "A 32142-2023")</f>
        <v/>
      </c>
      <c r="AC113">
        <f>HYPERLINK("https://klasma.github.io/Logging_0685/tillsyn/A 32142-2023 tillsynsbegäran.docx", "A 32142-2023")</f>
        <v/>
      </c>
      <c r="AD113">
        <f>HYPERLINK("https://klasma.github.io/Logging_0685/tillsynsmail/A 32142-2023 tillsynsbegäran mail.docx", "A 32142-2023")</f>
        <v/>
      </c>
    </row>
    <row r="114" ht="15" customHeight="1">
      <c r="A114" t="inlineStr">
        <is>
          <t>A 14083-2023</t>
        </is>
      </c>
      <c r="B114" t="inlineStr">
        <is>
          <t>avverkningsanmälan</t>
        </is>
      </c>
      <c r="C114" t="inlineStr">
        <is>
          <t>Föryngringsavverkning</t>
        </is>
      </c>
      <c r="D114" s="1" t="n">
        <v>45009</v>
      </c>
      <c r="E114" s="1" t="n">
        <v>46322</v>
      </c>
      <c r="F114" t="inlineStr">
        <is>
          <t>JÖNKÖPINGS LÄN</t>
        </is>
      </c>
      <c r="G114" t="inlineStr">
        <is>
          <t>VETLANDA</t>
        </is>
      </c>
      <c r="I114" t="n">
        <v>2.2</v>
      </c>
      <c r="J114" t="n">
        <v>0</v>
      </c>
      <c r="K114" t="n">
        <v>0</v>
      </c>
      <c r="L114" t="n">
        <v>1</v>
      </c>
      <c r="M114" t="n">
        <v>0</v>
      </c>
      <c r="N114" t="n">
        <v>0</v>
      </c>
      <c r="O114" t="n">
        <v>0</v>
      </c>
      <c r="P114" t="n">
        <v>0</v>
      </c>
      <c r="Q114" t="n">
        <v>1</v>
      </c>
      <c r="R114" t="n">
        <v>0</v>
      </c>
      <c r="S114" t="n">
        <v>1</v>
      </c>
      <c r="T114" t="n">
        <v>1</v>
      </c>
      <c r="U114" t="n">
        <v>1</v>
      </c>
      <c r="V114" s="2" t="inlineStr">
        <is>
          <t>Spindelört</t>
        </is>
      </c>
      <c r="W114">
        <f>HYPERLINK("https://klasma.github.io/Logging_0685/artfynd/A 14083-2023 artfynd.xlsx", "A 14083-2023")</f>
        <v/>
      </c>
      <c r="X114">
        <f>HYPERLINK("https://klasma.github.io/Logging_0685/kartor/A 14083-2023 karta.png", "A 14083-2023")</f>
        <v/>
      </c>
      <c r="Y114">
        <f>HYPERLINK("https://klasma.github.io/Logging_0685/kartor_geotiff/A 14083-2023 georefererad karta.tif", "A 14083-2023")</f>
        <v/>
      </c>
      <c r="AA114">
        <f>HYPERLINK("https://klasma.github.io/Logging_0685/klagomål/A 14083-2023 FSC-klagomål.docx", "A 14083-2023")</f>
        <v/>
      </c>
      <c r="AB114">
        <f>HYPERLINK("https://klasma.github.io/Logging_0685/klagomålsmail/A 14083-2023 FSC-klagomål mail.docx", "A 14083-2023")</f>
        <v/>
      </c>
      <c r="AC114">
        <f>HYPERLINK("https://klasma.github.io/Logging_0685/tillsyn/A 14083-2023 tillsynsbegäran.docx", "A 14083-2023")</f>
        <v/>
      </c>
      <c r="AD114">
        <f>HYPERLINK("https://klasma.github.io/Logging_0685/tillsynsmail/A 14083-2023 tillsynsbegäran mail.docx", "A 14083-2023")</f>
        <v/>
      </c>
    </row>
    <row r="115" ht="15" customHeight="1">
      <c r="A115" t="inlineStr">
        <is>
          <t>A 60971-2023</t>
        </is>
      </c>
      <c r="B115" t="inlineStr">
        <is>
          <t>avverkningsanmälan</t>
        </is>
      </c>
      <c r="C115" t="inlineStr">
        <is>
          <t>Föryngringsavverkning</t>
        </is>
      </c>
      <c r="D115" s="1" t="n">
        <v>45261</v>
      </c>
      <c r="E115" s="1" t="n">
        <v>46322</v>
      </c>
      <c r="F115" t="inlineStr">
        <is>
          <t>JÖNKÖPINGS LÄN</t>
        </is>
      </c>
      <c r="G115" t="inlineStr">
        <is>
          <t>VETLANDA</t>
        </is>
      </c>
      <c r="I115" t="n">
        <v>0.5</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HYPERLINK("https://klasma.github.io/Logging_0685/artfynd/A 60971-2023 artfynd.xlsx", "A 60971-2023")</f>
        <v/>
      </c>
      <c r="X115">
        <f>HYPERLINK("https://klasma.github.io/Logging_0685/kartor/A 60971-2023 karta.png", "A 60971-2023")</f>
        <v/>
      </c>
      <c r="Y115">
        <f>HYPERLINK("https://klasma.github.io/Logging_0685/kartor_geotiff/A 60971-2023 georefererad karta.tif", "A 60971-2023")</f>
        <v/>
      </c>
      <c r="AA115">
        <f>HYPERLINK("https://klasma.github.io/Logging_0685/klagomål/A 60971-2023 FSC-klagomål.docx", "A 60971-2023")</f>
        <v/>
      </c>
      <c r="AB115">
        <f>HYPERLINK("https://klasma.github.io/Logging_0685/klagomålsmail/A 60971-2023 FSC-klagomål mail.docx", "A 60971-2023")</f>
        <v/>
      </c>
      <c r="AC115">
        <f>HYPERLINK("https://klasma.github.io/Logging_0685/tillsyn/A 60971-2023 tillsynsbegäran.docx", "A 60971-2023")</f>
        <v/>
      </c>
      <c r="AD115">
        <f>HYPERLINK("https://klasma.github.io/Logging_0685/tillsynsmail/A 60971-2023 tillsynsbegäran mail.docx", "A 60971-2023")</f>
        <v/>
      </c>
    </row>
    <row r="116" ht="15" customHeight="1">
      <c r="A116" t="inlineStr">
        <is>
          <t>A 12349-2024</t>
        </is>
      </c>
      <c r="B116" t="inlineStr">
        <is>
          <t>avverkningsanmälan</t>
        </is>
      </c>
      <c r="C116" t="inlineStr">
        <is>
          <t>Avverkning för annat ändamål</t>
        </is>
      </c>
      <c r="D116" s="1" t="n">
        <v>45378</v>
      </c>
      <c r="E116" s="1" t="n">
        <v>46322</v>
      </c>
      <c r="F116" t="inlineStr">
        <is>
          <t>JÖNKÖPINGS LÄN</t>
        </is>
      </c>
      <c r="G116" t="inlineStr">
        <is>
          <t>VETLANDA</t>
        </is>
      </c>
      <c r="I116" t="n">
        <v>1.6</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12349-2024 artfynd.xlsx", "A 12349-2024")</f>
        <v/>
      </c>
      <c r="X116">
        <f>HYPERLINK("https://klasma.github.io/Logging_0685/kartor/A 12349-2024 karta.png", "A 12349-2024")</f>
        <v/>
      </c>
      <c r="Y116">
        <f>HYPERLINK("https://klasma.github.io/Logging_0685/kartor_geotiff/A 12349-2024 georefererad karta.tif", "A 12349-2024")</f>
        <v/>
      </c>
      <c r="AA116">
        <f>HYPERLINK("https://klasma.github.io/Logging_0685/klagomål/A 12349-2024 FSC-klagomål.docx", "A 12349-2024")</f>
        <v/>
      </c>
      <c r="AB116">
        <f>HYPERLINK("https://klasma.github.io/Logging_0685/klagomålsmail/A 12349-2024 FSC-klagomål mail.docx", "A 12349-2024")</f>
        <v/>
      </c>
      <c r="AC116">
        <f>HYPERLINK("https://klasma.github.io/Logging_0685/tillsyn/A 12349-2024 tillsynsbegäran.docx", "A 12349-2024")</f>
        <v/>
      </c>
      <c r="AD116">
        <f>HYPERLINK("https://klasma.github.io/Logging_0685/tillsynsmail/A 12349-2024 tillsynsbegäran mail.docx", "A 12349-2024")</f>
        <v/>
      </c>
    </row>
    <row r="117" ht="15" customHeight="1">
      <c r="A117" t="inlineStr">
        <is>
          <t>A 40900-2026</t>
        </is>
      </c>
      <c r="B117" t="inlineStr">
        <is>
          <t>avverkningsanmälan</t>
        </is>
      </c>
      <c r="C117" t="inlineStr">
        <is>
          <t>Föryngringsavverkning</t>
        </is>
      </c>
      <c r="D117" s="1" t="n">
        <v>46297</v>
      </c>
      <c r="E117" s="1" t="n">
        <v>46322</v>
      </c>
      <c r="F117" t="inlineStr">
        <is>
          <t>JÖNKÖPINGS LÄN</t>
        </is>
      </c>
      <c r="G117" t="inlineStr">
        <is>
          <t>VETLANDA</t>
        </is>
      </c>
      <c r="I117" t="n">
        <v>1.4</v>
      </c>
      <c r="J117" t="n">
        <v>0</v>
      </c>
      <c r="K117" t="n">
        <v>0</v>
      </c>
      <c r="L117" t="n">
        <v>0</v>
      </c>
      <c r="M117" t="n">
        <v>0</v>
      </c>
      <c r="N117" t="n">
        <v>1</v>
      </c>
      <c r="O117" t="n">
        <v>0</v>
      </c>
      <c r="P117" t="n">
        <v>0</v>
      </c>
      <c r="Q117" t="n">
        <v>1</v>
      </c>
      <c r="R117" t="n">
        <v>1</v>
      </c>
      <c r="S117" t="n">
        <v>1</v>
      </c>
      <c r="T117" t="n">
        <v>5</v>
      </c>
      <c r="U117" t="n">
        <v>0</v>
      </c>
      <c r="V117" s="2" t="inlineStr">
        <is>
          <t>Ask</t>
        </is>
      </c>
      <c r="W117">
        <f>HYPERLINK("https://klasma.github.io/Logging_0685/artfynd/A 40900-2026 artfynd.xlsx", "A 40900-2026")</f>
        <v/>
      </c>
      <c r="X117">
        <f>HYPERLINK("https://klasma.github.io/Logging_0685/kartor/A 40900-2026 karta.png", "A 40900-2026")</f>
        <v/>
      </c>
      <c r="Y117">
        <f>HYPERLINK("https://klasma.github.io/Logging_0685/kartor_geotiff/A 40900-2026 georefererad karta.tif", "A 40900-2026")</f>
        <v/>
      </c>
      <c r="AA117">
        <f>HYPERLINK("https://klasma.github.io/Logging_0685/klagomål/A 40900-2026 FSC-klagomål.docx", "A 40900-2026")</f>
        <v/>
      </c>
      <c r="AB117">
        <f>HYPERLINK("https://klasma.github.io/Logging_0685/klagomålsmail/A 40900-2026 FSC-klagomål mail.docx", "A 40900-2026")</f>
        <v/>
      </c>
      <c r="AC117">
        <f>HYPERLINK("https://klasma.github.io/Logging_0685/tillsyn/A 40900-2026 tillsynsbegäran.docx", "A 40900-2026")</f>
        <v/>
      </c>
      <c r="AD117">
        <f>HYPERLINK("https://klasma.github.io/Logging_0685/tillsynsmail/A 40900-2026 tillsynsbegäran mail.docx", "A 40900-2026")</f>
        <v/>
      </c>
    </row>
    <row r="118" ht="15" customHeight="1">
      <c r="A118" t="inlineStr">
        <is>
          <t>A 8932-2026</t>
        </is>
      </c>
      <c r="B118" t="inlineStr">
        <is>
          <t>avverkningsanmälan</t>
        </is>
      </c>
      <c r="C118" t="inlineStr">
        <is>
          <t>Föryngringsavverkning</t>
        </is>
      </c>
      <c r="D118" s="1" t="n">
        <v>46069</v>
      </c>
      <c r="E118" s="1" t="n">
        <v>46322</v>
      </c>
      <c r="F118" t="inlineStr">
        <is>
          <t>JÖNKÖPINGS LÄN</t>
        </is>
      </c>
      <c r="G118" t="inlineStr">
        <is>
          <t>VETLANDA</t>
        </is>
      </c>
      <c r="I118" t="n">
        <v>2.2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HYPERLINK("https://klasma.github.io/Logging_0685/artfynd/A 8932-2026 artfynd.xlsx", "A 8932-2026")</f>
        <v/>
      </c>
      <c r="X118">
        <f>HYPERLINK("https://klasma.github.io/Logging_0685/kartor/A 8932-2026 karta.png", "A 8932-2026")</f>
        <v/>
      </c>
      <c r="Y118">
        <f>HYPERLINK("https://klasma.github.io/Logging_0685/kartor_geotiff/A 8932-2026 georefererad karta.tif", "A 8932-2026")</f>
        <v/>
      </c>
      <c r="AA118">
        <f>HYPERLINK("https://klasma.github.io/Logging_0685/klagomål/A 8932-2026 FSC-klagomål.docx", "A 8932-2026")</f>
        <v/>
      </c>
      <c r="AB118">
        <f>HYPERLINK("https://klasma.github.io/Logging_0685/klagomålsmail/A 8932-2026 FSC-klagomål mail.docx", "A 8932-2026")</f>
        <v/>
      </c>
      <c r="AC118">
        <f>HYPERLINK("https://klasma.github.io/Logging_0685/tillsyn/A 8932-2026 tillsynsbegäran.docx", "A 8932-2026")</f>
        <v/>
      </c>
      <c r="AD118">
        <f>HYPERLINK("https://klasma.github.io/Logging_0685/tillsynsmail/A 8932-2026 tillsynsbegäran mail.docx", "A 8932-2026")</f>
        <v/>
      </c>
    </row>
    <row r="119" ht="15" customHeight="1">
      <c r="A119" t="inlineStr">
        <is>
          <t>A 42185-2025</t>
        </is>
      </c>
      <c r="B119" t="inlineStr">
        <is>
          <t>avverkningsanmälan</t>
        </is>
      </c>
      <c r="C119" t="inlineStr">
        <is>
          <t>Föryngringsavverkning</t>
        </is>
      </c>
      <c r="D119" s="1" t="n">
        <v>45904</v>
      </c>
      <c r="E119" s="1" t="n">
        <v>46322</v>
      </c>
      <c r="F119" t="inlineStr">
        <is>
          <t>JÖNKÖPINGS LÄN</t>
        </is>
      </c>
      <c r="G119" t="inlineStr">
        <is>
          <t>VETLANDA</t>
        </is>
      </c>
      <c r="I119" t="n">
        <v>4</v>
      </c>
      <c r="J119" t="n">
        <v>0</v>
      </c>
      <c r="K119" t="n">
        <v>0</v>
      </c>
      <c r="L119" t="n">
        <v>1</v>
      </c>
      <c r="M119" t="n">
        <v>0</v>
      </c>
      <c r="N119" t="n">
        <v>0</v>
      </c>
      <c r="O119" t="n">
        <v>0</v>
      </c>
      <c r="P119" t="n">
        <v>0</v>
      </c>
      <c r="Q119" t="n">
        <v>1</v>
      </c>
      <c r="R119" t="n">
        <v>0</v>
      </c>
      <c r="S119" t="n">
        <v>1</v>
      </c>
      <c r="T119" t="n">
        <v>1</v>
      </c>
      <c r="U119" t="n">
        <v>0</v>
      </c>
      <c r="V119" s="2" t="inlineStr">
        <is>
          <t>Sydspärgel</t>
        </is>
      </c>
      <c r="W119">
        <f>HYPERLINK("https://klasma.github.io/Logging_0685/artfynd/A 42185-2025 artfynd.xlsx", "A 42185-2025")</f>
        <v/>
      </c>
      <c r="X119">
        <f>HYPERLINK("https://klasma.github.io/Logging_0685/kartor/A 42185-2025 karta.png", "A 42185-2025")</f>
        <v/>
      </c>
      <c r="Y119">
        <f>HYPERLINK("https://klasma.github.io/Logging_0685/kartor_geotiff/A 42185-2025 georefererad karta.tif", "A 42185-2025")</f>
        <v/>
      </c>
      <c r="AA119">
        <f>HYPERLINK("https://klasma.github.io/Logging_0685/klagomål/A 42185-2025 FSC-klagomål.docx", "A 42185-2025")</f>
        <v/>
      </c>
      <c r="AB119">
        <f>HYPERLINK("https://klasma.github.io/Logging_0685/klagomålsmail/A 42185-2025 FSC-klagomål mail.docx", "A 42185-2025")</f>
        <v/>
      </c>
      <c r="AC119">
        <f>HYPERLINK("https://klasma.github.io/Logging_0685/tillsyn/A 42185-2025 tillsynsbegäran.docx", "A 42185-2025")</f>
        <v/>
      </c>
      <c r="AD119">
        <f>HYPERLINK("https://klasma.github.io/Logging_0685/tillsynsmail/A 42185-2025 tillsynsbegäran mail.docx", "A 42185-2025")</f>
        <v/>
      </c>
    </row>
    <row r="120" ht="15" customHeight="1">
      <c r="A120" t="inlineStr">
        <is>
          <t>A 29027-2023</t>
        </is>
      </c>
      <c r="B120" t="inlineStr">
        <is>
          <t>avverkningsanmälan</t>
        </is>
      </c>
      <c r="C120" t="inlineStr">
        <is>
          <t>Föryngringsavverkning</t>
        </is>
      </c>
      <c r="D120" s="1" t="n">
        <v>45104</v>
      </c>
      <c r="E120" s="1" t="n">
        <v>46322</v>
      </c>
      <c r="F120" t="inlineStr">
        <is>
          <t>JÖNKÖPINGS LÄN</t>
        </is>
      </c>
      <c r="G120" t="inlineStr">
        <is>
          <t>VETLANDA</t>
        </is>
      </c>
      <c r="I120" t="n">
        <v>10.1</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HYPERLINK("https://klasma.github.io/Logging_0685/artfynd/A 29027-2023 artfynd.xlsx", "A 29027-2023")</f>
        <v/>
      </c>
      <c r="X120">
        <f>HYPERLINK("https://klasma.github.io/Logging_0685/kartor/A 29027-2023 karta.png", "A 29027-2023")</f>
        <v/>
      </c>
      <c r="Y120">
        <f>HYPERLINK("https://klasma.github.io/Logging_0685/kartor_geotiff/A 29027-2023 georefererad karta.tif", "A 29027-2023")</f>
        <v/>
      </c>
      <c r="Z120">
        <f>HYPERLINK("https://klasma.github.io/Logging_0685/knärot/A 29027-2023 karta knärot.png", "A 29027-2023")</f>
        <v/>
      </c>
      <c r="AA120">
        <f>HYPERLINK("https://klasma.github.io/Logging_0685/klagomål/A 29027-2023 FSC-klagomål.docx", "A 29027-2023")</f>
        <v/>
      </c>
      <c r="AB120">
        <f>HYPERLINK("https://klasma.github.io/Logging_0685/klagomålsmail/A 29027-2023 FSC-klagomål mail.docx", "A 29027-2023")</f>
        <v/>
      </c>
      <c r="AC120">
        <f>HYPERLINK("https://klasma.github.io/Logging_0685/tillsyn/A 29027-2023 tillsynsbegäran.docx", "A 29027-2023")</f>
        <v/>
      </c>
      <c r="AD120">
        <f>HYPERLINK("https://klasma.github.io/Logging_0685/tillsynsmail/A 29027-2023 tillsynsbegäran mail.docx", "A 29027-2023")</f>
        <v/>
      </c>
    </row>
    <row r="121" ht="15" customHeight="1">
      <c r="A121" t="inlineStr">
        <is>
          <t>A 38887-2022</t>
        </is>
      </c>
      <c r="B121" t="inlineStr">
        <is>
          <t>avverkningsanmälan</t>
        </is>
      </c>
      <c r="C121" t="inlineStr">
        <is>
          <t>Föryngringsavverkning</t>
        </is>
      </c>
      <c r="D121" s="1" t="n">
        <v>44816</v>
      </c>
      <c r="E121" s="1" t="n">
        <v>46322</v>
      </c>
      <c r="F121" t="inlineStr">
        <is>
          <t>JÖNKÖPINGS LÄN</t>
        </is>
      </c>
      <c r="G121" t="inlineStr">
        <is>
          <t>VETLANDA</t>
        </is>
      </c>
      <c r="I121" t="n">
        <v>1</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HYPERLINK("https://klasma.github.io/Logging_0685/artfynd/A 38887-2022 artfynd.xlsx", "A 38887-2022")</f>
        <v/>
      </c>
      <c r="X121">
        <f>HYPERLINK("https://klasma.github.io/Logging_0685/kartor/A 38887-2022 karta.png", "A 38887-2022")</f>
        <v/>
      </c>
      <c r="Y121">
        <f>HYPERLINK("https://klasma.github.io/Logging_0685/kartor_geotiff/A 38887-2022 georefererad karta.tif", "A 38887-2022")</f>
        <v/>
      </c>
      <c r="AA121">
        <f>HYPERLINK("https://klasma.github.io/Logging_0685/klagomål/A 38887-2022 FSC-klagomål.docx", "A 38887-2022")</f>
        <v/>
      </c>
      <c r="AB121">
        <f>HYPERLINK("https://klasma.github.io/Logging_0685/klagomålsmail/A 38887-2022 FSC-klagomål mail.docx", "A 38887-2022")</f>
        <v/>
      </c>
      <c r="AC121">
        <f>HYPERLINK("https://klasma.github.io/Logging_0685/tillsyn/A 38887-2022 tillsynsbegäran.docx", "A 38887-2022")</f>
        <v/>
      </c>
      <c r="AD121">
        <f>HYPERLINK("https://klasma.github.io/Logging_0685/tillsynsmail/A 38887-2022 tillsynsbegäran mail.docx", "A 38887-2022")</f>
        <v/>
      </c>
    </row>
    <row r="122" ht="15" customHeight="1">
      <c r="A122" t="inlineStr">
        <is>
          <t>A 35657-2024</t>
        </is>
      </c>
      <c r="B122" t="inlineStr">
        <is>
          <t>avverkningsanmälan</t>
        </is>
      </c>
      <c r="C122" t="inlineStr">
        <is>
          <t>Föryngringsavverkning</t>
        </is>
      </c>
      <c r="D122" s="1" t="n">
        <v>45532</v>
      </c>
      <c r="E122" s="1" t="n">
        <v>46322</v>
      </c>
      <c r="F122" t="inlineStr">
        <is>
          <t>JÖNKÖPINGS LÄN</t>
        </is>
      </c>
      <c r="G122" t="inlineStr">
        <is>
          <t>VETLANDA</t>
        </is>
      </c>
      <c r="I122" t="n">
        <v>2.6</v>
      </c>
      <c r="J122" t="n">
        <v>0</v>
      </c>
      <c r="K122" t="n">
        <v>0</v>
      </c>
      <c r="L122" t="n">
        <v>1</v>
      </c>
      <c r="M122" t="n">
        <v>0</v>
      </c>
      <c r="N122" t="n">
        <v>0</v>
      </c>
      <c r="O122" t="n">
        <v>0</v>
      </c>
      <c r="P122" t="n">
        <v>0</v>
      </c>
      <c r="Q122" t="n">
        <v>1</v>
      </c>
      <c r="R122" t="n">
        <v>0</v>
      </c>
      <c r="S122" t="n">
        <v>1</v>
      </c>
      <c r="T122" t="n">
        <v>1</v>
      </c>
      <c r="U122" t="n">
        <v>1</v>
      </c>
      <c r="V122" s="2" t="inlineStr">
        <is>
          <t>Åkerkål</t>
        </is>
      </c>
      <c r="W122">
        <f>HYPERLINK("https://klasma.github.io/Logging_0685/artfynd/A 35657-2024 artfynd.xlsx", "A 35657-2024")</f>
        <v/>
      </c>
      <c r="X122">
        <f>HYPERLINK("https://klasma.github.io/Logging_0685/kartor/A 35657-2024 karta.png", "A 35657-2024")</f>
        <v/>
      </c>
      <c r="Y122">
        <f>HYPERLINK("https://klasma.github.io/Logging_0685/kartor_geotiff/A 35657-2024 georefererad karta.tif", "A 35657-2024")</f>
        <v/>
      </c>
      <c r="AA122">
        <f>HYPERLINK("https://klasma.github.io/Logging_0685/klagomål/A 35657-2024 FSC-klagomål.docx", "A 35657-2024")</f>
        <v/>
      </c>
      <c r="AB122">
        <f>HYPERLINK("https://klasma.github.io/Logging_0685/klagomålsmail/A 35657-2024 FSC-klagomål mail.docx", "A 35657-2024")</f>
        <v/>
      </c>
      <c r="AC122">
        <f>HYPERLINK("https://klasma.github.io/Logging_0685/tillsyn/A 35657-2024 tillsynsbegäran.docx", "A 35657-2024")</f>
        <v/>
      </c>
      <c r="AD122">
        <f>HYPERLINK("https://klasma.github.io/Logging_0685/tillsynsmail/A 35657-2024 tillsynsbegäran mail.docx", "A 35657-2024")</f>
        <v/>
      </c>
    </row>
    <row r="123" ht="15" customHeight="1">
      <c r="A123" t="inlineStr">
        <is>
          <t>A 43100-2022</t>
        </is>
      </c>
      <c r="B123" t="inlineStr">
        <is>
          <t>avverkningsanmälan</t>
        </is>
      </c>
      <c r="C123" t="inlineStr">
        <is>
          <t>Föryngringsavverkning</t>
        </is>
      </c>
      <c r="D123" s="1" t="n">
        <v>44833</v>
      </c>
      <c r="E123" s="1" t="n">
        <v>46322</v>
      </c>
      <c r="F123" t="inlineStr">
        <is>
          <t>JÖNKÖPINGS LÄN</t>
        </is>
      </c>
      <c r="G123" t="inlineStr">
        <is>
          <t>VETLANDA</t>
        </is>
      </c>
      <c r="I123" t="n">
        <v>1</v>
      </c>
      <c r="J123" t="n">
        <v>0</v>
      </c>
      <c r="K123" t="n">
        <v>1</v>
      </c>
      <c r="L123" t="n">
        <v>0</v>
      </c>
      <c r="M123" t="n">
        <v>0</v>
      </c>
      <c r="N123" t="n">
        <v>0</v>
      </c>
      <c r="O123" t="n">
        <v>0</v>
      </c>
      <c r="P123" t="n">
        <v>0</v>
      </c>
      <c r="Q123" t="n">
        <v>0</v>
      </c>
      <c r="R123" t="n">
        <v>0</v>
      </c>
      <c r="S123" t="n">
        <v>1</v>
      </c>
      <c r="T123" t="n">
        <v>1</v>
      </c>
      <c r="U123" t="n">
        <v>0</v>
      </c>
      <c r="V123" s="2" t="inlineStr">
        <is>
          <t>Trubbfjädermossa</t>
        </is>
      </c>
      <c r="W123">
        <f>HYPERLINK("https://klasma.github.io/Logging_0685/artfynd/A 43100-2022 artfynd.xlsx", "A 43100-2022")</f>
        <v/>
      </c>
      <c r="X123">
        <f>HYPERLINK("https://klasma.github.io/Logging_0685/kartor/A 43100-2022 karta.png", "A 43100-2022")</f>
        <v/>
      </c>
      <c r="Y123">
        <f>HYPERLINK("https://klasma.github.io/Logging_0685/kartor_geotiff/A 43100-2022 georefererad karta.tif", "A 43100-2022")</f>
        <v/>
      </c>
      <c r="AA123">
        <f>HYPERLINK("https://klasma.github.io/Logging_0685/klagomål/A 43100-2022 FSC-klagomål.docx", "A 43100-2022")</f>
        <v/>
      </c>
      <c r="AB123">
        <f>HYPERLINK("https://klasma.github.io/Logging_0685/klagomålsmail/A 43100-2022 FSC-klagomål mail.docx", "A 43100-2022")</f>
        <v/>
      </c>
      <c r="AC123">
        <f>HYPERLINK("https://klasma.github.io/Logging_0685/tillsyn/A 43100-2022 tillsynsbegäran.docx", "A 43100-2022")</f>
        <v/>
      </c>
      <c r="AD123">
        <f>HYPERLINK("https://klasma.github.io/Logging_0685/tillsynsmail/A 43100-2022 tillsynsbegäran mail.docx", "A 43100-2022")</f>
        <v/>
      </c>
    </row>
    <row r="124" ht="15" customHeight="1">
      <c r="A124" t="inlineStr">
        <is>
          <t>A 43951-2026</t>
        </is>
      </c>
      <c r="B124" t="inlineStr">
        <is>
          <t>avverkningsanmälan</t>
        </is>
      </c>
      <c r="C124" t="inlineStr">
        <is>
          <t>Föryngringsavverkning</t>
        </is>
      </c>
      <c r="D124" s="1" t="n">
        <v>46317</v>
      </c>
      <c r="E124" s="1" t="n">
        <v>46322</v>
      </c>
      <c r="F124" t="inlineStr">
        <is>
          <t>JÖNKÖPINGS LÄN</t>
        </is>
      </c>
      <c r="G124" t="inlineStr">
        <is>
          <t>VETLANDA</t>
        </is>
      </c>
      <c r="H124" t="inlineStr">
        <is>
          <t>Övriga Aktiebolag</t>
        </is>
      </c>
      <c r="I124" t="n">
        <v>1.9</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HYPERLINK("https://klasma.github.io/Logging_0685/artfynd/A 43951-2026 artfynd.xlsx", "A 43951-2026")</f>
        <v/>
      </c>
      <c r="X124">
        <f>HYPERLINK("https://klasma.github.io/Logging_0685/kartor/A 43951-2026 karta.png", "A 43951-2026")</f>
        <v/>
      </c>
      <c r="Y124">
        <f>HYPERLINK("https://klasma.github.io/Logging_0685/kartor_geotiff/A 43951-2026 georefererad karta.tif", "A 43951-2026")</f>
        <v/>
      </c>
      <c r="AA124">
        <f>HYPERLINK("https://klasma.github.io/Logging_0685/klagomål/A 43951-2026 FSC-klagomål.docx", "A 43951-2026")</f>
        <v/>
      </c>
      <c r="AB124">
        <f>HYPERLINK("https://klasma.github.io/Logging_0685/klagomålsmail/A 43951-2026 FSC-klagomål mail.docx", "A 43951-2026")</f>
        <v/>
      </c>
      <c r="AC124">
        <f>HYPERLINK("https://klasma.github.io/Logging_0685/tillsyn/A 43951-2026 tillsynsbegäran.docx", "A 43951-2026")</f>
        <v/>
      </c>
      <c r="AD124">
        <f>HYPERLINK("https://klasma.github.io/Logging_0685/tillsynsmail/A 43951-2026 tillsynsbegäran mail.docx", "A 43951-2026")</f>
        <v/>
      </c>
    </row>
    <row r="125" ht="15" customHeight="1">
      <c r="A125" t="inlineStr">
        <is>
          <t>A 43787-2026</t>
        </is>
      </c>
      <c r="B125" t="inlineStr">
        <is>
          <t>avverkningsanmälan</t>
        </is>
      </c>
      <c r="C125" t="inlineStr">
        <is>
          <t>Föryngringsavverkning</t>
        </is>
      </c>
      <c r="D125" s="1" t="n">
        <v>46316</v>
      </c>
      <c r="E125" s="1" t="n">
        <v>46322</v>
      </c>
      <c r="F125" t="inlineStr">
        <is>
          <t>JÖNKÖPINGS LÄN</t>
        </is>
      </c>
      <c r="G125" t="inlineStr">
        <is>
          <t>VETLANDA</t>
        </is>
      </c>
      <c r="I125" t="n">
        <v>0.9</v>
      </c>
      <c r="J125" t="n">
        <v>0</v>
      </c>
      <c r="K125" t="n">
        <v>0</v>
      </c>
      <c r="L125" t="n">
        <v>0</v>
      </c>
      <c r="M125" t="n">
        <v>0</v>
      </c>
      <c r="N125" t="n">
        <v>1</v>
      </c>
      <c r="O125" t="n">
        <v>0</v>
      </c>
      <c r="P125" t="n">
        <v>0</v>
      </c>
      <c r="Q125" t="n">
        <v>1</v>
      </c>
      <c r="R125" t="n">
        <v>1</v>
      </c>
      <c r="S125" t="n">
        <v>1</v>
      </c>
      <c r="T125" t="n">
        <v>4</v>
      </c>
      <c r="U125" t="n">
        <v>0</v>
      </c>
      <c r="V125" s="2" t="inlineStr">
        <is>
          <t>Ask</t>
        </is>
      </c>
      <c r="W125">
        <f>HYPERLINK("https://klasma.github.io/Logging_0685/artfynd/A 43787-2026 artfynd.xlsx", "A 43787-2026")</f>
        <v/>
      </c>
      <c r="X125">
        <f>HYPERLINK("https://klasma.github.io/Logging_0685/kartor/A 43787-2026 karta.png", "A 43787-2026")</f>
        <v/>
      </c>
      <c r="Y125">
        <f>HYPERLINK("https://klasma.github.io/Logging_0685/kartor_geotiff/A 43787-2026 georefererad karta.tif", "A 43787-2026")</f>
        <v/>
      </c>
      <c r="AA125">
        <f>HYPERLINK("https://klasma.github.io/Logging_0685/klagomål/A 43787-2026 FSC-klagomål.docx", "A 43787-2026")</f>
        <v/>
      </c>
      <c r="AB125">
        <f>HYPERLINK("https://klasma.github.io/Logging_0685/klagomålsmail/A 43787-2026 FSC-klagomål mail.docx", "A 43787-2026")</f>
        <v/>
      </c>
      <c r="AC125">
        <f>HYPERLINK("https://klasma.github.io/Logging_0685/tillsyn/A 43787-2026 tillsynsbegäran.docx", "A 43787-2026")</f>
        <v/>
      </c>
      <c r="AD125">
        <f>HYPERLINK("https://klasma.github.io/Logging_0685/tillsynsmail/A 43787-2026 tillsynsbegäran mail.docx", "A 43787-2026")</f>
        <v/>
      </c>
    </row>
    <row r="126" ht="15" customHeight="1">
      <c r="A126" t="inlineStr">
        <is>
          <t>S 4653-2024</t>
        </is>
      </c>
      <c r="B126" t="inlineStr">
        <is>
          <t>samrådsanmälan</t>
        </is>
      </c>
      <c r="C126" t="inlineStr">
        <is>
          <t>Askåterföring</t>
        </is>
      </c>
      <c r="D126" s="1" t="n">
        <v>45604</v>
      </c>
      <c r="E126" s="1" t="n">
        <v>46322</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46322</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46322</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46322</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48212-2022</t>
        </is>
      </c>
      <c r="B130" t="inlineStr">
        <is>
          <t>avverkningsanmälan</t>
        </is>
      </c>
      <c r="C130" t="inlineStr">
        <is>
          <t>Föryngringsavverkning</t>
        </is>
      </c>
      <c r="D130" s="1" t="n">
        <v>44858</v>
      </c>
      <c r="E130" s="1" t="n">
        <v>46322</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46322</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46322</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46322</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46322</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46322</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46322</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46322</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46322</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46322</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46322</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46322</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46322</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46322</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46322</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46322</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46322</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46322</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46322</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46322</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46322</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46322</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46322</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46322</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46322</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46322</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46322</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46322</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46322</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46322</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46322</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46322</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46322</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46322</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46322</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46322</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46322</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46322</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46322</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46322</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46322</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46322</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46322</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46322</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46322</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46322</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46322</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46322</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46322</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46322</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46322</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46322</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46322</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46322</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46322</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46322</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5103-2022</t>
        </is>
      </c>
      <c r="B186" t="inlineStr">
        <is>
          <t>avverkningsanmälan</t>
        </is>
      </c>
      <c r="C186" t="inlineStr">
        <is>
          <t>Föryngringsavverkning</t>
        </is>
      </c>
      <c r="D186" s="1" t="n">
        <v>44593</v>
      </c>
      <c r="E186" s="1" t="n">
        <v>46322</v>
      </c>
      <c r="F186" t="inlineStr">
        <is>
          <t>JÖNKÖPINGS LÄN</t>
        </is>
      </c>
      <c r="G186" t="inlineStr">
        <is>
          <t>VETLANDA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30836-2022</t>
        </is>
      </c>
      <c r="B187" t="inlineStr">
        <is>
          <t>avverkningsanmälan</t>
        </is>
      </c>
      <c r="C187" t="inlineStr">
        <is>
          <t>Föryngringsavverkning</t>
        </is>
      </c>
      <c r="D187" s="1" t="n">
        <v>44743</v>
      </c>
      <c r="E187" s="1" t="n">
        <v>46322</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46322</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46322</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46322</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63879-2021</t>
        </is>
      </c>
      <c r="B191" t="inlineStr">
        <is>
          <t>avverkningsanmälan</t>
        </is>
      </c>
      <c r="C191" t="inlineStr">
        <is>
          <t>Föryngringsavverkning</t>
        </is>
      </c>
      <c r="D191" s="1" t="n">
        <v>44509</v>
      </c>
      <c r="E191" s="1" t="n">
        <v>46322</v>
      </c>
      <c r="F191" t="inlineStr">
        <is>
          <t>JÖNKÖPINGS LÄN</t>
        </is>
      </c>
      <c r="G191" t="inlineStr">
        <is>
          <t>VETLANDA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46322</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4820-2022</t>
        </is>
      </c>
      <c r="B193" t="inlineStr">
        <is>
          <t>avverkningsanmälan</t>
        </is>
      </c>
      <c r="C193" t="inlineStr">
        <is>
          <t>Föryngringsavverkning</t>
        </is>
      </c>
      <c r="D193" s="1" t="n">
        <v>44592</v>
      </c>
      <c r="E193" s="1" t="n">
        <v>46322</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46322</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1267-2022</t>
        </is>
      </c>
      <c r="B195" t="inlineStr">
        <is>
          <t>avverkningsanmälan</t>
        </is>
      </c>
      <c r="C195" t="inlineStr">
        <is>
          <t>Föryngringsavverkning</t>
        </is>
      </c>
      <c r="D195" s="1" t="n">
        <v>44572</v>
      </c>
      <c r="E195" s="1" t="n">
        <v>46322</v>
      </c>
      <c r="F195" t="inlineStr">
        <is>
          <t>JÖNKÖPINGS LÄN</t>
        </is>
      </c>
      <c r="G195" t="inlineStr">
        <is>
          <t>VETLANDA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44790-2022</t>
        </is>
      </c>
      <c r="B196" t="inlineStr">
        <is>
          <t>avverkningsanmälan</t>
        </is>
      </c>
      <c r="C196" t="inlineStr">
        <is>
          <t>Föryngringsavverkning</t>
        </is>
      </c>
      <c r="D196" s="1" t="n">
        <v>44841</v>
      </c>
      <c r="E196" s="1" t="n">
        <v>46322</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55595-2022</t>
        </is>
      </c>
      <c r="B197" t="inlineStr">
        <is>
          <t>avverkningsanmälan</t>
        </is>
      </c>
      <c r="C197" t="inlineStr">
        <is>
          <t>Föryngringsavverkning</t>
        </is>
      </c>
      <c r="D197" s="1" t="n">
        <v>44888</v>
      </c>
      <c r="E197" s="1" t="n">
        <v>46322</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3836-2022</t>
        </is>
      </c>
      <c r="B198" t="inlineStr">
        <is>
          <t>avverkningsanmälan</t>
        </is>
      </c>
      <c r="C198" t="inlineStr">
        <is>
          <t>Föryngringsavverkning</t>
        </is>
      </c>
      <c r="D198" s="1" t="n">
        <v>44587</v>
      </c>
      <c r="E198" s="1" t="n">
        <v>46322</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14511-2022</t>
        </is>
      </c>
      <c r="B199" t="inlineStr">
        <is>
          <t>avverkningsanmälan</t>
        </is>
      </c>
      <c r="C199" t="inlineStr">
        <is>
          <t>Föryngringsavverkning</t>
        </is>
      </c>
      <c r="D199" s="1" t="n">
        <v>44655</v>
      </c>
      <c r="E199" s="1" t="n">
        <v>46322</v>
      </c>
      <c r="F199" t="inlineStr">
        <is>
          <t>JÖNKÖPINGS LÄN</t>
        </is>
      </c>
      <c r="G199" t="inlineStr">
        <is>
          <t>VETLANDA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46322</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61894-2021</t>
        </is>
      </c>
      <c r="B201" t="inlineStr">
        <is>
          <t>avverkningsanmälan</t>
        </is>
      </c>
      <c r="C201" t="inlineStr">
        <is>
          <t>Föryngringsavverkning</t>
        </is>
      </c>
      <c r="D201" s="1" t="n">
        <v>44502</v>
      </c>
      <c r="E201" s="1" t="n">
        <v>46322</v>
      </c>
      <c r="F201" t="inlineStr">
        <is>
          <t>JÖNKÖPINGS LÄN</t>
        </is>
      </c>
      <c r="G201" t="inlineStr">
        <is>
          <t>VETLANDA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4842-2022</t>
        </is>
      </c>
      <c r="B202" t="inlineStr">
        <is>
          <t>avverkningsanmälan</t>
        </is>
      </c>
      <c r="C202" t="inlineStr">
        <is>
          <t>Föryngringsavverkning</t>
        </is>
      </c>
      <c r="D202" s="1" t="n">
        <v>44592</v>
      </c>
      <c r="E202" s="1" t="n">
        <v>46322</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98-2022</t>
        </is>
      </c>
      <c r="B203" t="inlineStr">
        <is>
          <t>avverkningsanmälan</t>
        </is>
      </c>
      <c r="C203" t="inlineStr">
        <is>
          <t>Föryngringsavverkning</t>
        </is>
      </c>
      <c r="D203" s="1" t="n">
        <v>44564</v>
      </c>
      <c r="E203" s="1" t="n">
        <v>46322</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46322</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46322</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46322</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32369-2022</t>
        </is>
      </c>
      <c r="B207" t="inlineStr">
        <is>
          <t>avverkningsanmälan</t>
        </is>
      </c>
      <c r="C207" t="inlineStr">
        <is>
          <t>Föryngringsavverkning</t>
        </is>
      </c>
      <c r="D207" s="1" t="n">
        <v>44781</v>
      </c>
      <c r="E207" s="1" t="n">
        <v>46322</v>
      </c>
      <c r="F207" t="inlineStr">
        <is>
          <t>JÖNKÖPINGS LÄN</t>
        </is>
      </c>
      <c r="G207" t="inlineStr">
        <is>
          <t>VETLANDA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46322</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46322</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46322</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34395-2022</t>
        </is>
      </c>
      <c r="B211" t="inlineStr">
        <is>
          <t>avverkningsanmälan</t>
        </is>
      </c>
      <c r="C211" t="inlineStr">
        <is>
          <t>Föryngringsavverkning</t>
        </is>
      </c>
      <c r="D211" s="1" t="n">
        <v>44792</v>
      </c>
      <c r="E211" s="1" t="n">
        <v>46322</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50252-2023</t>
        </is>
      </c>
      <c r="B212" t="inlineStr">
        <is>
          <t>avverkningsanmälan</t>
        </is>
      </c>
      <c r="C212" t="inlineStr">
        <is>
          <t>Föryngringsavverkning</t>
        </is>
      </c>
      <c r="D212" s="1" t="n">
        <v>45216</v>
      </c>
      <c r="E212" s="1" t="n">
        <v>46322</v>
      </c>
      <c r="F212" t="inlineStr">
        <is>
          <t>JÖNKÖPINGS LÄN</t>
        </is>
      </c>
      <c r="G212" t="inlineStr">
        <is>
          <t>VETLANDA</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14990-2022</t>
        </is>
      </c>
      <c r="B213" t="inlineStr">
        <is>
          <t>avverkningsanmälan</t>
        </is>
      </c>
      <c r="C213" t="inlineStr">
        <is>
          <t>Avverkning för annat ändamål</t>
        </is>
      </c>
      <c r="D213" s="1" t="n">
        <v>44657</v>
      </c>
      <c r="E213" s="1" t="n">
        <v>46322</v>
      </c>
      <c r="F213" t="inlineStr">
        <is>
          <t>JÖNKÖPINGS LÄN</t>
        </is>
      </c>
      <c r="G213" t="inlineStr">
        <is>
          <t>VETLANDA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39013-2025</t>
        </is>
      </c>
      <c r="B214" t="inlineStr">
        <is>
          <t>avverkningsanmälan</t>
        </is>
      </c>
      <c r="C214" t="inlineStr">
        <is>
          <t>Föryngringsavverkning</t>
        </is>
      </c>
      <c r="D214" s="1" t="n">
        <v>45888</v>
      </c>
      <c r="E214" s="1" t="n">
        <v>46322</v>
      </c>
      <c r="F214" t="inlineStr">
        <is>
          <t>JÖNKÖPINGS LÄN</t>
        </is>
      </c>
      <c r="G214" t="inlineStr">
        <is>
          <t>VETLANDA</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39017-2025</t>
        </is>
      </c>
      <c r="B215" t="inlineStr">
        <is>
          <t>avverkningsanmälan</t>
        </is>
      </c>
      <c r="C215" t="inlineStr">
        <is>
          <t>Föryngringsavverkning</t>
        </is>
      </c>
      <c r="D215" s="1" t="n">
        <v>45888</v>
      </c>
      <c r="E215" s="1" t="n">
        <v>46322</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37645-2024</t>
        </is>
      </c>
      <c r="B216" t="inlineStr">
        <is>
          <t>avverkningsanmälan</t>
        </is>
      </c>
      <c r="C216" t="inlineStr">
        <is>
          <t>Föryngringsavverkning</t>
        </is>
      </c>
      <c r="D216" s="1" t="n">
        <v>45541</v>
      </c>
      <c r="E216" s="1" t="n">
        <v>46322</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2810-2025</t>
        </is>
      </c>
      <c r="B217" t="inlineStr">
        <is>
          <t>avverkningsanmälan</t>
        </is>
      </c>
      <c r="C217" t="inlineStr">
        <is>
          <t>Föryngringsavverkning</t>
        </is>
      </c>
      <c r="D217" s="1" t="n">
        <v>45677</v>
      </c>
      <c r="E217" s="1" t="n">
        <v>46322</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41667-2022</t>
        </is>
      </c>
      <c r="B218" t="inlineStr">
        <is>
          <t>avverkningsanmälan</t>
        </is>
      </c>
      <c r="C218" t="inlineStr">
        <is>
          <t>Föryngringsavverkning</t>
        </is>
      </c>
      <c r="D218" s="1" t="n">
        <v>44827</v>
      </c>
      <c r="E218" s="1" t="n">
        <v>46322</v>
      </c>
      <c r="F218" t="inlineStr">
        <is>
          <t>JÖNKÖPINGS LÄN</t>
        </is>
      </c>
      <c r="G218" t="inlineStr">
        <is>
          <t>VETLANDA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39340-2025</t>
        </is>
      </c>
      <c r="B219" t="inlineStr">
        <is>
          <t>avverkningsanmälan</t>
        </is>
      </c>
      <c r="C219" t="inlineStr">
        <is>
          <t>Föryngringsavverkning</t>
        </is>
      </c>
      <c r="D219" s="1" t="n">
        <v>45889</v>
      </c>
      <c r="E219" s="1" t="n">
        <v>46322</v>
      </c>
      <c r="F219" t="inlineStr">
        <is>
          <t>JÖNKÖPINGS LÄN</t>
        </is>
      </c>
      <c r="G219" t="inlineStr">
        <is>
          <t>VETLANDA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22308-2025</t>
        </is>
      </c>
      <c r="B220" t="inlineStr">
        <is>
          <t>avverkningsanmälan</t>
        </is>
      </c>
      <c r="C220" t="inlineStr">
        <is>
          <t>Föryngringsavverkning</t>
        </is>
      </c>
      <c r="D220" s="1" t="n">
        <v>45786</v>
      </c>
      <c r="E220" s="1" t="n">
        <v>46322</v>
      </c>
      <c r="F220" t="inlineStr">
        <is>
          <t>JÖNKÖPINGS LÄN</t>
        </is>
      </c>
      <c r="G220" t="inlineStr">
        <is>
          <t>VETLANDA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39330-2025</t>
        </is>
      </c>
      <c r="B221" t="inlineStr">
        <is>
          <t>avverkningsanmälan</t>
        </is>
      </c>
      <c r="C221" t="inlineStr">
        <is>
          <t>Föryngringsavverkning</t>
        </is>
      </c>
      <c r="D221" s="1" t="n">
        <v>45888</v>
      </c>
      <c r="E221" s="1" t="n">
        <v>46322</v>
      </c>
      <c r="F221" t="inlineStr">
        <is>
          <t>JÖNKÖPINGS LÄN</t>
        </is>
      </c>
      <c r="G221" t="inlineStr">
        <is>
          <t>VETLANDA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14610-2025</t>
        </is>
      </c>
      <c r="B222" t="inlineStr">
        <is>
          <t>avverkningsanmälan</t>
        </is>
      </c>
      <c r="C222" t="inlineStr">
        <is>
          <t>Föryngringsavverkning</t>
        </is>
      </c>
      <c r="D222" s="1" t="n">
        <v>45742</v>
      </c>
      <c r="E222" s="1" t="n">
        <v>46322</v>
      </c>
      <c r="F222" t="inlineStr">
        <is>
          <t>JÖNKÖPINGS LÄN</t>
        </is>
      </c>
      <c r="G222" t="inlineStr">
        <is>
          <t>VETLANDA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39264-2025</t>
        </is>
      </c>
      <c r="B223" t="inlineStr">
        <is>
          <t>avverkningsanmälan</t>
        </is>
      </c>
      <c r="C223" t="inlineStr">
        <is>
          <t>Föryngringsavverkning</t>
        </is>
      </c>
      <c r="D223" s="1" t="n">
        <v>45889</v>
      </c>
      <c r="E223" s="1" t="n">
        <v>46322</v>
      </c>
      <c r="F223" t="inlineStr">
        <is>
          <t>JÖNKÖPINGS LÄN</t>
        </is>
      </c>
      <c r="G223" t="inlineStr">
        <is>
          <t>VETLANDA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39316-2025</t>
        </is>
      </c>
      <c r="B224" t="inlineStr">
        <is>
          <t>avverkningsanmälan</t>
        </is>
      </c>
      <c r="C224" t="inlineStr">
        <is>
          <t>Föryngringsavverkning</t>
        </is>
      </c>
      <c r="D224" s="1" t="n">
        <v>45888</v>
      </c>
      <c r="E224" s="1" t="n">
        <v>46322</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9497-2024</t>
        </is>
      </c>
      <c r="B225" t="inlineStr">
        <is>
          <t>avverkningsanmälan</t>
        </is>
      </c>
      <c r="C225" t="inlineStr">
        <is>
          <t>Föryngringsavverkning</t>
        </is>
      </c>
      <c r="D225" s="1" t="n">
        <v>45359</v>
      </c>
      <c r="E225" s="1" t="n">
        <v>46322</v>
      </c>
      <c r="F225" t="inlineStr">
        <is>
          <t>JÖNKÖPINGS LÄN</t>
        </is>
      </c>
      <c r="G225" t="inlineStr">
        <is>
          <t>VETLANDA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39011-2025</t>
        </is>
      </c>
      <c r="B226" t="inlineStr">
        <is>
          <t>avverkningsanmälan</t>
        </is>
      </c>
      <c r="C226" t="inlineStr">
        <is>
          <t>Föryngringsavverkning</t>
        </is>
      </c>
      <c r="D226" s="1" t="n">
        <v>45888</v>
      </c>
      <c r="E226" s="1" t="n">
        <v>46322</v>
      </c>
      <c r="F226" t="inlineStr">
        <is>
          <t>JÖNKÖPINGS LÄN</t>
        </is>
      </c>
      <c r="G226" t="inlineStr">
        <is>
          <t>VETLANDA</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39275-2025</t>
        </is>
      </c>
      <c r="B227" t="inlineStr">
        <is>
          <t>avverkningsanmälan</t>
        </is>
      </c>
      <c r="C227" t="inlineStr">
        <is>
          <t>Föryngringsavverkning</t>
        </is>
      </c>
      <c r="D227" s="1" t="n">
        <v>45888</v>
      </c>
      <c r="E227" s="1" t="n">
        <v>46322</v>
      </c>
      <c r="F227" t="inlineStr">
        <is>
          <t>JÖNKÖPINGS LÄN</t>
        </is>
      </c>
      <c r="G227" t="inlineStr">
        <is>
          <t>VETLANDA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30042-2025</t>
        </is>
      </c>
      <c r="B228" t="inlineStr">
        <is>
          <t>avverkningsanmälan</t>
        </is>
      </c>
      <c r="C228" t="inlineStr">
        <is>
          <t>Föryngringsavverkning</t>
        </is>
      </c>
      <c r="D228" s="1" t="n">
        <v>45826</v>
      </c>
      <c r="E228" s="1" t="n">
        <v>46322</v>
      </c>
      <c r="F228" t="inlineStr">
        <is>
          <t>JÖNKÖPINGS LÄN</t>
        </is>
      </c>
      <c r="G228" t="inlineStr">
        <is>
          <t>VETLANDA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39398-2025</t>
        </is>
      </c>
      <c r="B229" t="inlineStr">
        <is>
          <t>avverkningsanmälan</t>
        </is>
      </c>
      <c r="C229" t="inlineStr">
        <is>
          <t>Föryngringsavverkning</t>
        </is>
      </c>
      <c r="D229" s="1" t="n">
        <v>45889</v>
      </c>
      <c r="E229" s="1" t="n">
        <v>46322</v>
      </c>
      <c r="F229" t="inlineStr">
        <is>
          <t>JÖNKÖPINGS LÄN</t>
        </is>
      </c>
      <c r="G229" t="inlineStr">
        <is>
          <t>VETLANDA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14609-2025</t>
        </is>
      </c>
      <c r="B230" t="inlineStr">
        <is>
          <t>avverkningsanmälan</t>
        </is>
      </c>
      <c r="C230" t="inlineStr">
        <is>
          <t>Föryngringsavverkning</t>
        </is>
      </c>
      <c r="D230" s="1" t="n">
        <v>45742</v>
      </c>
      <c r="E230" s="1" t="n">
        <v>46322</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19557-2025</t>
        </is>
      </c>
      <c r="B231" t="inlineStr">
        <is>
          <t>avverkningsanmälan</t>
        </is>
      </c>
      <c r="C231" t="inlineStr">
        <is>
          <t>Föryngringsavverkning</t>
        </is>
      </c>
      <c r="D231" s="1" t="n">
        <v>45770</v>
      </c>
      <c r="E231" s="1" t="n">
        <v>46322</v>
      </c>
      <c r="F231" t="inlineStr">
        <is>
          <t>JÖNKÖPINGS LÄN</t>
        </is>
      </c>
      <c r="G231" t="inlineStr">
        <is>
          <t>VETLANDA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41877-2024</t>
        </is>
      </c>
      <c r="B232" t="inlineStr">
        <is>
          <t>avverkningsanmälan</t>
        </is>
      </c>
      <c r="C232" t="inlineStr">
        <is>
          <t>Föryngringsavverkning</t>
        </is>
      </c>
      <c r="D232" s="1" t="n">
        <v>45561</v>
      </c>
      <c r="E232" s="1" t="n">
        <v>46322</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58572-2023</t>
        </is>
      </c>
      <c r="B233" t="inlineStr">
        <is>
          <t>avverkningsanmälan</t>
        </is>
      </c>
      <c r="C233" t="inlineStr">
        <is>
          <t>Föryngringsavverkning</t>
        </is>
      </c>
      <c r="D233" s="1" t="n">
        <v>45251</v>
      </c>
      <c r="E233" s="1" t="n">
        <v>46322</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6594-2024</t>
        </is>
      </c>
      <c r="B234" t="inlineStr">
        <is>
          <t>avverkningsanmälan</t>
        </is>
      </c>
      <c r="C234" t="inlineStr">
        <is>
          <t>Föryngringsavverkning</t>
        </is>
      </c>
      <c r="D234" s="1" t="n">
        <v>45341</v>
      </c>
      <c r="E234" s="1" t="n">
        <v>46322</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62056-2023</t>
        </is>
      </c>
      <c r="B235" t="inlineStr">
        <is>
          <t>avverkningsanmälan</t>
        </is>
      </c>
      <c r="C235" t="inlineStr">
        <is>
          <t>Föryngringsavverkning</t>
        </is>
      </c>
      <c r="D235" s="1" t="n">
        <v>45265</v>
      </c>
      <c r="E235" s="1" t="n">
        <v>46322</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62234-2023</t>
        </is>
      </c>
      <c r="B236" t="inlineStr">
        <is>
          <t>avverkningsanmälan</t>
        </is>
      </c>
      <c r="C236" t="inlineStr">
        <is>
          <t>Föryngringsavverkning</t>
        </is>
      </c>
      <c r="D236" s="1" t="n">
        <v>45267</v>
      </c>
      <c r="E236" s="1" t="n">
        <v>46322</v>
      </c>
      <c r="F236" t="inlineStr">
        <is>
          <t>JÖNKÖPINGS LÄN</t>
        </is>
      </c>
      <c r="G236" t="inlineStr">
        <is>
          <t>VETLANDA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53796-2022</t>
        </is>
      </c>
      <c r="B237" t="inlineStr">
        <is>
          <t>avverkningsanmälan</t>
        </is>
      </c>
      <c r="C237" t="inlineStr">
        <is>
          <t>Föryngringsavverkning</t>
        </is>
      </c>
      <c r="D237" s="1" t="n">
        <v>44880</v>
      </c>
      <c r="E237" s="1" t="n">
        <v>46322</v>
      </c>
      <c r="F237" t="inlineStr">
        <is>
          <t>JÖNKÖPINGS LÄN</t>
        </is>
      </c>
      <c r="G237" t="inlineStr">
        <is>
          <t>VETLANDA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43698-2024</t>
        </is>
      </c>
      <c r="B238" t="inlineStr">
        <is>
          <t>avverkningsanmälan</t>
        </is>
      </c>
      <c r="C238" t="inlineStr">
        <is>
          <t>Föryngringsavverkning</t>
        </is>
      </c>
      <c r="D238" s="1" t="n">
        <v>45569</v>
      </c>
      <c r="E238" s="1" t="n">
        <v>46322</v>
      </c>
      <c r="F238" t="inlineStr">
        <is>
          <t>JÖNKÖPINGS LÄN</t>
        </is>
      </c>
      <c r="G238" t="inlineStr">
        <is>
          <t>VETLANDA</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58542-2022</t>
        </is>
      </c>
      <c r="B239" t="inlineStr">
        <is>
          <t>avverkningsanmälan</t>
        </is>
      </c>
      <c r="C239" t="inlineStr">
        <is>
          <t>Föryngringsavverkning</t>
        </is>
      </c>
      <c r="D239" s="1" t="n">
        <v>44902</v>
      </c>
      <c r="E239" s="1" t="n">
        <v>46322</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32864-2025</t>
        </is>
      </c>
      <c r="B240" t="inlineStr">
        <is>
          <t>avverkningsanmälan</t>
        </is>
      </c>
      <c r="C240" t="inlineStr">
        <is>
          <t>Föryngringsavverkning</t>
        </is>
      </c>
      <c r="D240" s="1" t="n">
        <v>45839</v>
      </c>
      <c r="E240" s="1" t="n">
        <v>46322</v>
      </c>
      <c r="F240" t="inlineStr">
        <is>
          <t>JÖNKÖPINGS LÄN</t>
        </is>
      </c>
      <c r="G240" t="inlineStr">
        <is>
          <t>VETLANDA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32807-2025</t>
        </is>
      </c>
      <c r="B241" t="inlineStr">
        <is>
          <t>avverkningsanmälan</t>
        </is>
      </c>
      <c r="C241" t="inlineStr">
        <is>
          <t>Föryngringsavverkning</t>
        </is>
      </c>
      <c r="D241" s="1" t="n">
        <v>45839</v>
      </c>
      <c r="E241" s="1" t="n">
        <v>46322</v>
      </c>
      <c r="F241" t="inlineStr">
        <is>
          <t>JÖNKÖPINGS LÄN</t>
        </is>
      </c>
      <c r="G241" t="inlineStr">
        <is>
          <t>VETLANDA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8207-2024</t>
        </is>
      </c>
      <c r="B242" t="inlineStr">
        <is>
          <t>avverkningsanmälan</t>
        </is>
      </c>
      <c r="C242" t="inlineStr">
        <is>
          <t>Föryngringsavverkning</t>
        </is>
      </c>
      <c r="D242" s="1" t="n">
        <v>45351</v>
      </c>
      <c r="E242" s="1" t="n">
        <v>46322</v>
      </c>
      <c r="F242" t="inlineStr">
        <is>
          <t>JÖNKÖPINGS LÄN</t>
        </is>
      </c>
      <c r="G242" t="inlineStr">
        <is>
          <t>VETLANDA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50878-2024</t>
        </is>
      </c>
      <c r="B243" t="inlineStr">
        <is>
          <t>avverkningsanmälan</t>
        </is>
      </c>
      <c r="C243" t="inlineStr">
        <is>
          <t>Avverkning för annat ändamål</t>
        </is>
      </c>
      <c r="D243" s="1" t="n">
        <v>45602</v>
      </c>
      <c r="E243" s="1" t="n">
        <v>46322</v>
      </c>
      <c r="F243" t="inlineStr">
        <is>
          <t>JÖNKÖPINGS LÄN</t>
        </is>
      </c>
      <c r="G243" t="inlineStr">
        <is>
          <t>VETLANDA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55955-2024</t>
        </is>
      </c>
      <c r="B244" t="inlineStr">
        <is>
          <t>avverkningsanmälan</t>
        </is>
      </c>
      <c r="C244" t="inlineStr">
        <is>
          <t>Föryngringsavverkning</t>
        </is>
      </c>
      <c r="D244" s="1" t="n">
        <v>45623</v>
      </c>
      <c r="E244" s="1" t="n">
        <v>46322</v>
      </c>
      <c r="F244" t="inlineStr">
        <is>
          <t>JÖNKÖPINGS LÄN</t>
        </is>
      </c>
      <c r="G244" t="inlineStr">
        <is>
          <t>VETLANDA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44994-2024</t>
        </is>
      </c>
      <c r="B245" t="inlineStr">
        <is>
          <t>avverkningsanmälan</t>
        </is>
      </c>
      <c r="C245" t="inlineStr">
        <is>
          <t>Föryngringsavverkning</t>
        </is>
      </c>
      <c r="D245" s="1" t="n">
        <v>45575</v>
      </c>
      <c r="E245" s="1" t="n">
        <v>46322</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47113-2023</t>
        </is>
      </c>
      <c r="B246" t="inlineStr">
        <is>
          <t>avverkningsanmälan</t>
        </is>
      </c>
      <c r="C246" t="inlineStr">
        <is>
          <t>Föryngringsavverkning</t>
        </is>
      </c>
      <c r="D246" s="1" t="n">
        <v>45201</v>
      </c>
      <c r="E246" s="1" t="n">
        <v>46322</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11816-2024</t>
        </is>
      </c>
      <c r="B247" t="inlineStr">
        <is>
          <t>avverkningsanmälan</t>
        </is>
      </c>
      <c r="C247" t="inlineStr">
        <is>
          <t>Föryngringsavverkning</t>
        </is>
      </c>
      <c r="D247" s="1" t="n">
        <v>45376</v>
      </c>
      <c r="E247" s="1" t="n">
        <v>46322</v>
      </c>
      <c r="F247" t="inlineStr">
        <is>
          <t>JÖNKÖPINGS LÄN</t>
        </is>
      </c>
      <c r="G247" t="inlineStr">
        <is>
          <t>VETLANDA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6896-2023</t>
        </is>
      </c>
      <c r="B248" t="inlineStr">
        <is>
          <t>avverkningsanmälan</t>
        </is>
      </c>
      <c r="C248" t="inlineStr">
        <is>
          <t>Föryngringsavverkning</t>
        </is>
      </c>
      <c r="D248" s="1" t="n">
        <v>44967</v>
      </c>
      <c r="E248" s="1" t="n">
        <v>46322</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6897-2023</t>
        </is>
      </c>
      <c r="B249" t="inlineStr">
        <is>
          <t>avverkningsanmälan</t>
        </is>
      </c>
      <c r="C249" t="inlineStr">
        <is>
          <t>Föryngringsavverkning</t>
        </is>
      </c>
      <c r="D249" s="1" t="n">
        <v>44967</v>
      </c>
      <c r="E249" s="1" t="n">
        <v>46322</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34394-2022</t>
        </is>
      </c>
      <c r="B250" t="inlineStr">
        <is>
          <t>avverkningsanmälan</t>
        </is>
      </c>
      <c r="C250" t="inlineStr">
        <is>
          <t>Föryngringsavverkning</t>
        </is>
      </c>
      <c r="D250" s="1" t="n">
        <v>44792</v>
      </c>
      <c r="E250" s="1" t="n">
        <v>46322</v>
      </c>
      <c r="F250" t="inlineStr">
        <is>
          <t>JÖNKÖPINGS LÄN</t>
        </is>
      </c>
      <c r="G250" t="inlineStr">
        <is>
          <t>VETLANDA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4706-2022</t>
        </is>
      </c>
      <c r="B251" t="inlineStr">
        <is>
          <t>avverkningsanmälan</t>
        </is>
      </c>
      <c r="C251" t="inlineStr">
        <is>
          <t>Föryngringsavverkning</t>
        </is>
      </c>
      <c r="D251" s="1" t="n">
        <v>44592</v>
      </c>
      <c r="E251" s="1" t="n">
        <v>46322</v>
      </c>
      <c r="F251" t="inlineStr">
        <is>
          <t>JÖNKÖPINGS LÄN</t>
        </is>
      </c>
      <c r="G251" t="inlineStr">
        <is>
          <t>VETLANDA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37676-2022</t>
        </is>
      </c>
      <c r="B252" t="inlineStr">
        <is>
          <t>avverkningsanmälan</t>
        </is>
      </c>
      <c r="C252" t="inlineStr">
        <is>
          <t>Föryngringsavverkning</t>
        </is>
      </c>
      <c r="D252" s="1" t="n">
        <v>44810</v>
      </c>
      <c r="E252" s="1" t="n">
        <v>46322</v>
      </c>
      <c r="F252" t="inlineStr">
        <is>
          <t>JÖNKÖPINGS LÄN</t>
        </is>
      </c>
      <c r="G252" t="inlineStr">
        <is>
          <t>VETLANDA</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48885-2023</t>
        </is>
      </c>
      <c r="B253" t="inlineStr">
        <is>
          <t>avverkningsanmälan</t>
        </is>
      </c>
      <c r="C253" t="inlineStr">
        <is>
          <t>Föryngringsavverkning</t>
        </is>
      </c>
      <c r="D253" s="1" t="n">
        <v>45209</v>
      </c>
      <c r="E253" s="1" t="n">
        <v>46322</v>
      </c>
      <c r="F253" t="inlineStr">
        <is>
          <t>JÖNKÖPINGS LÄN</t>
        </is>
      </c>
      <c r="G253" t="inlineStr">
        <is>
          <t>VETLANDA</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2465-2025</t>
        </is>
      </c>
      <c r="B254" t="inlineStr">
        <is>
          <t>avverkningsanmälan</t>
        </is>
      </c>
      <c r="C254" t="inlineStr">
        <is>
          <t>Föryngringsavverkning</t>
        </is>
      </c>
      <c r="D254" s="1" t="n">
        <v>45674</v>
      </c>
      <c r="E254" s="1" t="n">
        <v>46322</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43158-2023</t>
        </is>
      </c>
      <c r="B255" t="inlineStr">
        <is>
          <t>avverkningsanmälan</t>
        </is>
      </c>
      <c r="C255" t="inlineStr">
        <is>
          <t>Föryngringsavverkning</t>
        </is>
      </c>
      <c r="D255" s="1" t="n">
        <v>45183</v>
      </c>
      <c r="E255" s="1" t="n">
        <v>46322</v>
      </c>
      <c r="F255" t="inlineStr">
        <is>
          <t>JÖNKÖPINGS LÄN</t>
        </is>
      </c>
      <c r="G255" t="inlineStr">
        <is>
          <t>VETLANDA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49411-2024</t>
        </is>
      </c>
      <c r="B256" t="inlineStr">
        <is>
          <t>avverkningsanmälan</t>
        </is>
      </c>
      <c r="C256" t="inlineStr">
        <is>
          <t>Föryngringsavverkning</t>
        </is>
      </c>
      <c r="D256" s="1" t="n">
        <v>45595</v>
      </c>
      <c r="E256" s="1" t="n">
        <v>46322</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41291-2025</t>
        </is>
      </c>
      <c r="B257" t="inlineStr">
        <is>
          <t>avverkningsanmälan</t>
        </is>
      </c>
      <c r="C257" t="inlineStr">
        <is>
          <t>Avverkning för annat ändamål</t>
        </is>
      </c>
      <c r="D257" s="1" t="n">
        <v>45898</v>
      </c>
      <c r="E257" s="1" t="n">
        <v>46322</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12270-2023</t>
        </is>
      </c>
      <c r="B258" t="inlineStr">
        <is>
          <t>avverkningsanmälan</t>
        </is>
      </c>
      <c r="C258" t="inlineStr">
        <is>
          <t>Föryngringsavverkning</t>
        </is>
      </c>
      <c r="D258" s="1" t="n">
        <v>44998</v>
      </c>
      <c r="E258" s="1" t="n">
        <v>46322</v>
      </c>
      <c r="F258" t="inlineStr">
        <is>
          <t>JÖNKÖPINGS LÄN</t>
        </is>
      </c>
      <c r="G258" t="inlineStr">
        <is>
          <t>VETLANDA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45010-2024</t>
        </is>
      </c>
      <c r="B259" t="inlineStr">
        <is>
          <t>avverkningsanmälan</t>
        </is>
      </c>
      <c r="C259" t="inlineStr">
        <is>
          <t>Föryngringsavverkning</t>
        </is>
      </c>
      <c r="D259" s="1" t="n">
        <v>45575</v>
      </c>
      <c r="E259" s="1" t="n">
        <v>46322</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28587-2025</t>
        </is>
      </c>
      <c r="B260" t="inlineStr">
        <is>
          <t>avverkningsanmälan</t>
        </is>
      </c>
      <c r="C260" t="inlineStr">
        <is>
          <t>Föryngringsavverkning</t>
        </is>
      </c>
      <c r="D260" s="1" t="n">
        <v>45819</v>
      </c>
      <c r="E260" s="1" t="n">
        <v>46322</v>
      </c>
      <c r="F260" t="inlineStr">
        <is>
          <t>JÖNKÖPINGS LÄN</t>
        </is>
      </c>
      <c r="G260" t="inlineStr">
        <is>
          <t>VETLANDA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13815-2025</t>
        </is>
      </c>
      <c r="B261" t="inlineStr">
        <is>
          <t>avverkningsanmälan</t>
        </is>
      </c>
      <c r="C261" t="inlineStr">
        <is>
          <t>Föryngringsavverkning</t>
        </is>
      </c>
      <c r="D261" s="1" t="n">
        <v>45737</v>
      </c>
      <c r="E261" s="1" t="n">
        <v>46322</v>
      </c>
      <c r="F261" t="inlineStr">
        <is>
          <t>JÖNKÖPINGS LÄN</t>
        </is>
      </c>
      <c r="G261" t="inlineStr">
        <is>
          <t>VETLANDA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47389-2024</t>
        </is>
      </c>
      <c r="B262" t="inlineStr">
        <is>
          <t>avverkningsanmälan</t>
        </is>
      </c>
      <c r="C262" t="inlineStr">
        <is>
          <t>Föryngringsavverkning</t>
        </is>
      </c>
      <c r="D262" s="1" t="n">
        <v>45587</v>
      </c>
      <c r="E262" s="1" t="n">
        <v>46322</v>
      </c>
      <c r="F262" t="inlineStr">
        <is>
          <t>JÖNKÖPINGS LÄN</t>
        </is>
      </c>
      <c r="G262" t="inlineStr">
        <is>
          <t>VETLANDA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58768-2022</t>
        </is>
      </c>
      <c r="B263" t="inlineStr">
        <is>
          <t>avverkningsanmälan</t>
        </is>
      </c>
      <c r="C263" t="inlineStr">
        <is>
          <t>Föryngringsavverkning</t>
        </is>
      </c>
      <c r="D263" s="1" t="n">
        <v>44903</v>
      </c>
      <c r="E263" s="1" t="n">
        <v>46322</v>
      </c>
      <c r="F263" t="inlineStr">
        <is>
          <t>JÖNKÖPINGS LÄN</t>
        </is>
      </c>
      <c r="G263" t="inlineStr">
        <is>
          <t>VETLANDA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21267-2023</t>
        </is>
      </c>
      <c r="B264" t="inlineStr">
        <is>
          <t>avverkningsanmälan</t>
        </is>
      </c>
      <c r="C264" t="inlineStr">
        <is>
          <t>Föryngringsavverkning</t>
        </is>
      </c>
      <c r="D264" s="1" t="n">
        <v>45062</v>
      </c>
      <c r="E264" s="1" t="n">
        <v>46322</v>
      </c>
      <c r="F264" t="inlineStr">
        <is>
          <t>JÖNKÖPINGS LÄN</t>
        </is>
      </c>
      <c r="G264" t="inlineStr">
        <is>
          <t>VETLANDA</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27001-2026</t>
        </is>
      </c>
      <c r="B265" t="inlineStr">
        <is>
          <t>avverkningsanmälan</t>
        </is>
      </c>
      <c r="C265" t="inlineStr">
        <is>
          <t>Föryngringsavverkning</t>
        </is>
      </c>
      <c r="D265" s="1" t="n">
        <v>46185</v>
      </c>
      <c r="E265" s="1" t="n">
        <v>46322</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41421-2023</t>
        </is>
      </c>
      <c r="B266" t="inlineStr">
        <is>
          <t>avverkningsanmälan</t>
        </is>
      </c>
      <c r="C266" t="inlineStr">
        <is>
          <t>Föryngringsavverkning</t>
        </is>
      </c>
      <c r="D266" s="1" t="n">
        <v>45175</v>
      </c>
      <c r="E266" s="1" t="n">
        <v>46322</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41700-2025</t>
        </is>
      </c>
      <c r="B267" t="inlineStr">
        <is>
          <t>avverkningsanmälan</t>
        </is>
      </c>
      <c r="C267" t="inlineStr">
        <is>
          <t>Föryngringsavverkning</t>
        </is>
      </c>
      <c r="D267" s="1" t="n">
        <v>45902</v>
      </c>
      <c r="E267" s="1" t="n">
        <v>46322</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45945-2024</t>
        </is>
      </c>
      <c r="B268" t="inlineStr">
        <is>
          <t>avverkningsanmälan</t>
        </is>
      </c>
      <c r="C268" t="inlineStr">
        <is>
          <t>Föryngringsavverkning</t>
        </is>
      </c>
      <c r="D268" s="1" t="n">
        <v>45580</v>
      </c>
      <c r="E268" s="1" t="n">
        <v>46322</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53952-2023</t>
        </is>
      </c>
      <c r="B269" t="inlineStr">
        <is>
          <t>avverkningsanmälan</t>
        </is>
      </c>
      <c r="C269" t="inlineStr">
        <is>
          <t>Föryngringsavverkning</t>
        </is>
      </c>
      <c r="D269" s="1" t="n">
        <v>45231</v>
      </c>
      <c r="E269" s="1" t="n">
        <v>46322</v>
      </c>
      <c r="F269" t="inlineStr">
        <is>
          <t>JÖNKÖPINGS LÄN</t>
        </is>
      </c>
      <c r="G269" t="inlineStr">
        <is>
          <t>VETLANDA</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6582-2025</t>
        </is>
      </c>
      <c r="B270" t="inlineStr">
        <is>
          <t>avverkningsanmälan</t>
        </is>
      </c>
      <c r="C270" t="inlineStr">
        <is>
          <t>Föryngringsavverkning</t>
        </is>
      </c>
      <c r="D270" s="1" t="n">
        <v>45699</v>
      </c>
      <c r="E270" s="1" t="n">
        <v>46322</v>
      </c>
      <c r="F270" t="inlineStr">
        <is>
          <t>JÖNKÖPINGS LÄN</t>
        </is>
      </c>
      <c r="G270" t="inlineStr">
        <is>
          <t>VETLANDA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13813-2025</t>
        </is>
      </c>
      <c r="B271" t="inlineStr">
        <is>
          <t>avverkningsanmälan</t>
        </is>
      </c>
      <c r="C271" t="inlineStr">
        <is>
          <t>Föryngringsavverkning</t>
        </is>
      </c>
      <c r="D271" s="1" t="n">
        <v>45737</v>
      </c>
      <c r="E271" s="1" t="n">
        <v>46322</v>
      </c>
      <c r="F271" t="inlineStr">
        <is>
          <t>JÖNKÖPINGS LÄN</t>
        </is>
      </c>
      <c r="G271" t="inlineStr">
        <is>
          <t>VETLANDA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404-2025</t>
        </is>
      </c>
      <c r="B272" t="inlineStr">
        <is>
          <t>avverkningsanmälan</t>
        </is>
      </c>
      <c r="C272" t="inlineStr">
        <is>
          <t>Föryngringsavverkning</t>
        </is>
      </c>
      <c r="D272" s="1" t="n">
        <v>45663</v>
      </c>
      <c r="E272" s="1" t="n">
        <v>46322</v>
      </c>
      <c r="F272" t="inlineStr">
        <is>
          <t>JÖNKÖPINGS LÄN</t>
        </is>
      </c>
      <c r="G272" t="inlineStr">
        <is>
          <t>VETLANDA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48217-2023</t>
        </is>
      </c>
      <c r="B273" t="inlineStr">
        <is>
          <t>avverkningsanmälan</t>
        </is>
      </c>
      <c r="C273" t="inlineStr">
        <is>
          <t>Föryngringsavverkning</t>
        </is>
      </c>
      <c r="D273" s="1" t="n">
        <v>45205</v>
      </c>
      <c r="E273" s="1" t="n">
        <v>46322</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19844-2025</t>
        </is>
      </c>
      <c r="B274" t="inlineStr">
        <is>
          <t>avverkningsanmälan</t>
        </is>
      </c>
      <c r="C274" t="inlineStr">
        <is>
          <t>Avverkning för att bevara och utveckla /försöksver</t>
        </is>
      </c>
      <c r="D274" s="1" t="n">
        <v>45771</v>
      </c>
      <c r="E274" s="1" t="n">
        <v>46322</v>
      </c>
      <c r="F274" t="inlineStr">
        <is>
          <t>JÖNKÖPINGS LÄN</t>
        </is>
      </c>
      <c r="G274" t="inlineStr">
        <is>
          <t>VETLANDA</t>
        </is>
      </c>
      <c r="H274" t="inlineStr">
        <is>
          <t>Sveaskog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19845-2025</t>
        </is>
      </c>
      <c r="B275" t="inlineStr">
        <is>
          <t>avverkningsanmälan</t>
        </is>
      </c>
      <c r="C275" t="inlineStr">
        <is>
          <t>Avverkning för att bevara och utveckla /försöksver</t>
        </is>
      </c>
      <c r="D275" s="1" t="n">
        <v>45771</v>
      </c>
      <c r="E275" s="1" t="n">
        <v>46322</v>
      </c>
      <c r="F275" t="inlineStr">
        <is>
          <t>JÖNKÖPINGS LÄN</t>
        </is>
      </c>
      <c r="G275" t="inlineStr">
        <is>
          <t>VETLANDA</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20537-2023</t>
        </is>
      </c>
      <c r="B276" t="inlineStr">
        <is>
          <t>avverkningsanmälan</t>
        </is>
      </c>
      <c r="C276" t="inlineStr">
        <is>
          <t>Avverkning för annat ändamål</t>
        </is>
      </c>
      <c r="D276" s="1" t="n">
        <v>45057</v>
      </c>
      <c r="E276" s="1" t="n">
        <v>46322</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523-2023</t>
        </is>
      </c>
      <c r="B277" t="inlineStr">
        <is>
          <t>avverkningsanmälan</t>
        </is>
      </c>
      <c r="C277" t="inlineStr">
        <is>
          <t>Föryngringsavverkning</t>
        </is>
      </c>
      <c r="D277" s="1" t="n">
        <v>44930</v>
      </c>
      <c r="E277" s="1" t="n">
        <v>46322</v>
      </c>
      <c r="F277" t="inlineStr">
        <is>
          <t>JÖNKÖPINGS LÄN</t>
        </is>
      </c>
      <c r="G277" t="inlineStr">
        <is>
          <t>VETLANDA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8253-2023</t>
        </is>
      </c>
      <c r="B278" t="inlineStr">
        <is>
          <t>avverkningsanmälan</t>
        </is>
      </c>
      <c r="C278" t="inlineStr">
        <is>
          <t>Föryngringsavverkning</t>
        </is>
      </c>
      <c r="D278" s="1" t="n">
        <v>44971</v>
      </c>
      <c r="E278" s="1" t="n">
        <v>46322</v>
      </c>
      <c r="F278" t="inlineStr">
        <is>
          <t>JÖNKÖPINGS LÄN</t>
        </is>
      </c>
      <c r="G278" t="inlineStr">
        <is>
          <t>VETLANDA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1363-2023</t>
        </is>
      </c>
      <c r="B279" t="inlineStr">
        <is>
          <t>avverkningsanmälan</t>
        </is>
      </c>
      <c r="C279" t="inlineStr">
        <is>
          <t>Föryngringsavverkning</t>
        </is>
      </c>
      <c r="D279" s="1" t="n">
        <v>44936</v>
      </c>
      <c r="E279" s="1" t="n">
        <v>46322</v>
      </c>
      <c r="F279" t="inlineStr">
        <is>
          <t>JÖNKÖPINGS LÄN</t>
        </is>
      </c>
      <c r="G279" t="inlineStr">
        <is>
          <t>VETLANDA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50756-2024</t>
        </is>
      </c>
      <c r="B280" t="inlineStr">
        <is>
          <t>avverkningsanmälan</t>
        </is>
      </c>
      <c r="C280" t="inlineStr">
        <is>
          <t>Föryngringsavverkning</t>
        </is>
      </c>
      <c r="D280" s="1" t="n">
        <v>45602</v>
      </c>
      <c r="E280" s="1" t="n">
        <v>46322</v>
      </c>
      <c r="F280" t="inlineStr">
        <is>
          <t>JÖNKÖPINGS LÄN</t>
        </is>
      </c>
      <c r="G280" t="inlineStr">
        <is>
          <t>VETLANDA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61391-2023</t>
        </is>
      </c>
      <c r="B281" t="inlineStr">
        <is>
          <t>avverkningsanmälan</t>
        </is>
      </c>
      <c r="C281" t="inlineStr">
        <is>
          <t>Föryngringsavverkning</t>
        </is>
      </c>
      <c r="D281" s="1" t="n">
        <v>45264</v>
      </c>
      <c r="E281" s="1" t="n">
        <v>46322</v>
      </c>
      <c r="F281" t="inlineStr">
        <is>
          <t>JÖNKÖPINGS LÄN</t>
        </is>
      </c>
      <c r="G281" t="inlineStr">
        <is>
          <t>VETLANDA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63789-2023</t>
        </is>
      </c>
      <c r="B282" t="inlineStr">
        <is>
          <t>avverkningsanmälan</t>
        </is>
      </c>
      <c r="C282" t="inlineStr">
        <is>
          <t>Föryngringsavverkning</t>
        </is>
      </c>
      <c r="D282" s="1" t="n">
        <v>45278</v>
      </c>
      <c r="E282" s="1" t="n">
        <v>46322</v>
      </c>
      <c r="F282" t="inlineStr">
        <is>
          <t>JÖNKÖPINGS LÄN</t>
        </is>
      </c>
      <c r="G282" t="inlineStr">
        <is>
          <t>VETLANDA</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26431-2023</t>
        </is>
      </c>
      <c r="B283" t="inlineStr">
        <is>
          <t>avverkningsanmälan</t>
        </is>
      </c>
      <c r="C283" t="inlineStr">
        <is>
          <t>Föryngringsavverkning</t>
        </is>
      </c>
      <c r="D283" s="1" t="n">
        <v>45092</v>
      </c>
      <c r="E283" s="1" t="n">
        <v>46322</v>
      </c>
      <c r="F283" t="inlineStr">
        <is>
          <t>JÖNKÖPINGS LÄN</t>
        </is>
      </c>
      <c r="G283" t="inlineStr">
        <is>
          <t>VETLANDA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43558-2025</t>
        </is>
      </c>
      <c r="B284" t="inlineStr">
        <is>
          <t>avverkningsanmälan</t>
        </is>
      </c>
      <c r="C284" t="inlineStr">
        <is>
          <t>Föryngringsavverkning</t>
        </is>
      </c>
      <c r="D284" s="1" t="n">
        <v>45911</v>
      </c>
      <c r="E284" s="1" t="n">
        <v>46322</v>
      </c>
      <c r="F284" t="inlineStr">
        <is>
          <t>JÖNKÖPINGS LÄN</t>
        </is>
      </c>
      <c r="G284" t="inlineStr">
        <is>
          <t>VETLANDA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43554-2025</t>
        </is>
      </c>
      <c r="B285" t="inlineStr">
        <is>
          <t>avverkningsanmälan</t>
        </is>
      </c>
      <c r="C285" t="inlineStr">
        <is>
          <t>Föryngringsavverkning</t>
        </is>
      </c>
      <c r="D285" s="1" t="n">
        <v>45911</v>
      </c>
      <c r="E285" s="1" t="n">
        <v>46322</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2497-2025</t>
        </is>
      </c>
      <c r="B286" t="inlineStr">
        <is>
          <t>avverkningsanmälan</t>
        </is>
      </c>
      <c r="C286" t="inlineStr">
        <is>
          <t>Föryngringsavverkning</t>
        </is>
      </c>
      <c r="D286" s="1" t="n">
        <v>45674</v>
      </c>
      <c r="E286" s="1" t="n">
        <v>46322</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44351-2023</t>
        </is>
      </c>
      <c r="B287" t="inlineStr">
        <is>
          <t>avverkningsanmälan</t>
        </is>
      </c>
      <c r="C287" t="inlineStr">
        <is>
          <t>Föryngringsavverkning</t>
        </is>
      </c>
      <c r="D287" s="1" t="n">
        <v>45188</v>
      </c>
      <c r="E287" s="1" t="n">
        <v>46322</v>
      </c>
      <c r="F287" t="inlineStr">
        <is>
          <t>JÖNKÖPINGS LÄN</t>
        </is>
      </c>
      <c r="G287" t="inlineStr">
        <is>
          <t>VETLANDA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60536-2023</t>
        </is>
      </c>
      <c r="B288" t="inlineStr">
        <is>
          <t>avverkningsanmälan</t>
        </is>
      </c>
      <c r="C288" t="inlineStr">
        <is>
          <t>Föryngringsavverkning</t>
        </is>
      </c>
      <c r="D288" s="1" t="n">
        <v>45259</v>
      </c>
      <c r="E288" s="1" t="n">
        <v>46322</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3183-2022</t>
        </is>
      </c>
      <c r="B289" t="inlineStr">
        <is>
          <t>avverkningsanmälan</t>
        </is>
      </c>
      <c r="C289" t="inlineStr">
        <is>
          <t>Föryngringsavverkning</t>
        </is>
      </c>
      <c r="D289" s="1" t="n">
        <v>44582</v>
      </c>
      <c r="E289" s="1" t="n">
        <v>46322</v>
      </c>
      <c r="F289" t="inlineStr">
        <is>
          <t>JÖNKÖPINGS LÄN</t>
        </is>
      </c>
      <c r="G289" t="inlineStr">
        <is>
          <t>VETLANDA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27139-2026</t>
        </is>
      </c>
      <c r="B290" t="inlineStr">
        <is>
          <t>avverkningsanmälan</t>
        </is>
      </c>
      <c r="C290" t="inlineStr">
        <is>
          <t>Föryngringsavverkning</t>
        </is>
      </c>
      <c r="D290" s="1" t="n">
        <v>46188</v>
      </c>
      <c r="E290" s="1" t="n">
        <v>46322</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42439-2022</t>
        </is>
      </c>
      <c r="B291" t="inlineStr">
        <is>
          <t>avverkningsanmälan</t>
        </is>
      </c>
      <c r="C291" t="inlineStr">
        <is>
          <t>Föryngringsavverkning</t>
        </is>
      </c>
      <c r="D291" s="1" t="n">
        <v>44831</v>
      </c>
      <c r="E291" s="1" t="n">
        <v>46322</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28774-2024</t>
        </is>
      </c>
      <c r="B292" t="inlineStr">
        <is>
          <t>avverkningsanmälan</t>
        </is>
      </c>
      <c r="C292" t="inlineStr">
        <is>
          <t>Föryngringsavverkning</t>
        </is>
      </c>
      <c r="D292" s="1" t="n">
        <v>45478</v>
      </c>
      <c r="E292" s="1" t="n">
        <v>46322</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19431-2025</t>
        </is>
      </c>
      <c r="B293" t="inlineStr">
        <is>
          <t>avverkningsanmälan</t>
        </is>
      </c>
      <c r="C293" t="inlineStr">
        <is>
          <t>Avverkning för att bevara och utveckla /försöksver</t>
        </is>
      </c>
      <c r="D293" s="1" t="n">
        <v>45769</v>
      </c>
      <c r="E293" s="1" t="n">
        <v>46322</v>
      </c>
      <c r="F293" t="inlineStr">
        <is>
          <t>JÖNKÖPINGS LÄN</t>
        </is>
      </c>
      <c r="G293" t="inlineStr">
        <is>
          <t>VETLANDA</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39110-2023</t>
        </is>
      </c>
      <c r="B294" t="inlineStr">
        <is>
          <t>avverkningsanmälan</t>
        </is>
      </c>
      <c r="C294" t="inlineStr">
        <is>
          <t>Föryngringsavverkning</t>
        </is>
      </c>
      <c r="D294" s="1" t="n">
        <v>45164</v>
      </c>
      <c r="E294" s="1" t="n">
        <v>46322</v>
      </c>
      <c r="F294" t="inlineStr">
        <is>
          <t>JÖNKÖPINGS LÄN</t>
        </is>
      </c>
      <c r="G294" t="inlineStr">
        <is>
          <t>VETLANDA</t>
        </is>
      </c>
      <c r="I294" t="n">
        <v>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1704-2024</t>
        </is>
      </c>
      <c r="B295" t="inlineStr">
        <is>
          <t>avverkningsanmälan</t>
        </is>
      </c>
      <c r="C295" t="inlineStr">
        <is>
          <t>Föryngringsavverkning</t>
        </is>
      </c>
      <c r="D295" s="1" t="n">
        <v>45307</v>
      </c>
      <c r="E295" s="1" t="n">
        <v>46322</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22536-2023</t>
        </is>
      </c>
      <c r="B296" t="inlineStr">
        <is>
          <t>avverkningsanmälan</t>
        </is>
      </c>
      <c r="C296" t="inlineStr">
        <is>
          <t>Föryngringsavverkning</t>
        </is>
      </c>
      <c r="D296" s="1" t="n">
        <v>45071</v>
      </c>
      <c r="E296" s="1" t="n">
        <v>46322</v>
      </c>
      <c r="F296" t="inlineStr">
        <is>
          <t>JÖNKÖPINGS LÄN</t>
        </is>
      </c>
      <c r="G296" t="inlineStr">
        <is>
          <t>VETLANDA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2202-2024</t>
        </is>
      </c>
      <c r="B297" t="inlineStr">
        <is>
          <t>avverkningsanmälan</t>
        </is>
      </c>
      <c r="C297" t="inlineStr">
        <is>
          <t>Avverkning för annat ändamål</t>
        </is>
      </c>
      <c r="D297" s="1" t="n">
        <v>45309</v>
      </c>
      <c r="E297" s="1" t="n">
        <v>46322</v>
      </c>
      <c r="F297" t="inlineStr">
        <is>
          <t>JÖNKÖPINGS LÄN</t>
        </is>
      </c>
      <c r="G297" t="inlineStr">
        <is>
          <t>VETLANDA</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2203-2024</t>
        </is>
      </c>
      <c r="B298" t="inlineStr">
        <is>
          <t>avverkningsanmälan</t>
        </is>
      </c>
      <c r="C298" t="inlineStr">
        <is>
          <t>Avverkning för annat ändamål</t>
        </is>
      </c>
      <c r="D298" s="1" t="n">
        <v>45309</v>
      </c>
      <c r="E298" s="1" t="n">
        <v>46322</v>
      </c>
      <c r="F298" t="inlineStr">
        <is>
          <t>JÖNKÖPINGS LÄN</t>
        </is>
      </c>
      <c r="G298" t="inlineStr">
        <is>
          <t>VETLANDA</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42880-2023</t>
        </is>
      </c>
      <c r="B299" t="inlineStr">
        <is>
          <t>avverkningsanmälan</t>
        </is>
      </c>
      <c r="C299" t="inlineStr">
        <is>
          <t>Avverkning för att bevara och utveckla /försöksver</t>
        </is>
      </c>
      <c r="D299" s="1" t="n">
        <v>45182</v>
      </c>
      <c r="E299" s="1" t="n">
        <v>46322</v>
      </c>
      <c r="F299" t="inlineStr">
        <is>
          <t>JÖNKÖPINGS LÄN</t>
        </is>
      </c>
      <c r="G299" t="inlineStr">
        <is>
          <t>VETLANDA</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69203-2021</t>
        </is>
      </c>
      <c r="B300" t="inlineStr">
        <is>
          <t>avverkningsanmälan</t>
        </is>
      </c>
      <c r="C300" t="inlineStr">
        <is>
          <t>Föryngringsavverkning</t>
        </is>
      </c>
      <c r="D300" s="1" t="n">
        <v>44530</v>
      </c>
      <c r="E300" s="1" t="n">
        <v>46322</v>
      </c>
      <c r="F300" t="inlineStr">
        <is>
          <t>JÖNKÖPINGS LÄN</t>
        </is>
      </c>
      <c r="G300" t="inlineStr">
        <is>
          <t>VETLANDA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45419-2025</t>
        </is>
      </c>
      <c r="B301" t="inlineStr">
        <is>
          <t>avverkningsanmälan</t>
        </is>
      </c>
      <c r="C301" t="inlineStr">
        <is>
          <t>Föryngringsavverkning</t>
        </is>
      </c>
      <c r="D301" s="1" t="n">
        <v>45922</v>
      </c>
      <c r="E301" s="1" t="n">
        <v>46322</v>
      </c>
      <c r="F301" t="inlineStr">
        <is>
          <t>JÖNKÖPINGS LÄN</t>
        </is>
      </c>
      <c r="G301" t="inlineStr">
        <is>
          <t>VETLANDA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7938-2024</t>
        </is>
      </c>
      <c r="B302" t="inlineStr">
        <is>
          <t>avverkningsanmälan</t>
        </is>
      </c>
      <c r="C302" t="inlineStr">
        <is>
          <t>Föryngringsavverkning</t>
        </is>
      </c>
      <c r="D302" s="1" t="n">
        <v>45350</v>
      </c>
      <c r="E302" s="1" t="n">
        <v>46322</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34069-2023</t>
        </is>
      </c>
      <c r="B303" t="inlineStr">
        <is>
          <t>avverkningsanmälan</t>
        </is>
      </c>
      <c r="C303" t="inlineStr">
        <is>
          <t>Föryngringsavverkning</t>
        </is>
      </c>
      <c r="D303" s="1" t="n">
        <v>45135</v>
      </c>
      <c r="E303" s="1" t="n">
        <v>46322</v>
      </c>
      <c r="F303" t="inlineStr">
        <is>
          <t>JÖNKÖPINGS LÄN</t>
        </is>
      </c>
      <c r="G303" t="inlineStr">
        <is>
          <t>VETLANDA</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46261-2025</t>
        </is>
      </c>
      <c r="B304" t="inlineStr">
        <is>
          <t>avverkningsanmälan</t>
        </is>
      </c>
      <c r="C304" t="inlineStr">
        <is>
          <t>Föryngringsavverkning</t>
        </is>
      </c>
      <c r="D304" s="1" t="n">
        <v>45925</v>
      </c>
      <c r="E304" s="1" t="n">
        <v>46322</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47065-2022</t>
        </is>
      </c>
      <c r="B305" t="inlineStr">
        <is>
          <t>avverkningsanmälan</t>
        </is>
      </c>
      <c r="C305" t="inlineStr">
        <is>
          <t>Föryngringsavverkning</t>
        </is>
      </c>
      <c r="D305" s="1" t="n">
        <v>44851</v>
      </c>
      <c r="E305" s="1" t="n">
        <v>46322</v>
      </c>
      <c r="F305" t="inlineStr">
        <is>
          <t>JÖNKÖPINGS LÄN</t>
        </is>
      </c>
      <c r="G305" t="inlineStr">
        <is>
          <t>VETLANDA</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4941-2024</t>
        </is>
      </c>
      <c r="B306" t="inlineStr">
        <is>
          <t>avverkningsanmälan</t>
        </is>
      </c>
      <c r="C306" t="inlineStr">
        <is>
          <t>Föryngringsavverkning</t>
        </is>
      </c>
      <c r="D306" s="1" t="n">
        <v>45329</v>
      </c>
      <c r="E306" s="1" t="n">
        <v>46322</v>
      </c>
      <c r="F306" t="inlineStr">
        <is>
          <t>JÖNKÖPINGS LÄN</t>
        </is>
      </c>
      <c r="G306" t="inlineStr">
        <is>
          <t>VETLANDA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53209-2023</t>
        </is>
      </c>
      <c r="B307" t="inlineStr">
        <is>
          <t>avverkningsanmälan</t>
        </is>
      </c>
      <c r="C307" t="inlineStr">
        <is>
          <t>Föryngringsavverkning</t>
        </is>
      </c>
      <c r="D307" s="1" t="n">
        <v>45229</v>
      </c>
      <c r="E307" s="1" t="n">
        <v>46322</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20193-2023</t>
        </is>
      </c>
      <c r="B308" t="inlineStr">
        <is>
          <t>avverkningsanmälan</t>
        </is>
      </c>
      <c r="C308" t="inlineStr">
        <is>
          <t>Föryngringsavverkning</t>
        </is>
      </c>
      <c r="D308" s="1" t="n">
        <v>45055</v>
      </c>
      <c r="E308" s="1" t="n">
        <v>46322</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6240-2022</t>
        </is>
      </c>
      <c r="B309" t="inlineStr">
        <is>
          <t>avverkningsanmälan</t>
        </is>
      </c>
      <c r="C309" t="inlineStr">
        <is>
          <t>Föryngringsavverkning</t>
        </is>
      </c>
      <c r="D309" s="1" t="n">
        <v>44600</v>
      </c>
      <c r="E309" s="1" t="n">
        <v>46322</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53308-2023</t>
        </is>
      </c>
      <c r="B310" t="inlineStr">
        <is>
          <t>avverkningsanmälan</t>
        </is>
      </c>
      <c r="C310" t="inlineStr">
        <is>
          <t>Föryngringsavverkning</t>
        </is>
      </c>
      <c r="D310" s="1" t="n">
        <v>45222</v>
      </c>
      <c r="E310" s="1" t="n">
        <v>46322</v>
      </c>
      <c r="F310" t="inlineStr">
        <is>
          <t>JÖNKÖPINGS LÄN</t>
        </is>
      </c>
      <c r="G310" t="inlineStr">
        <is>
          <t>VETLANDA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30522-2024</t>
        </is>
      </c>
      <c r="B311" t="inlineStr">
        <is>
          <t>avverkningsanmälan</t>
        </is>
      </c>
      <c r="C311" t="inlineStr">
        <is>
          <t>Föryngringsavverkning</t>
        </is>
      </c>
      <c r="D311" s="1" t="n">
        <v>45492</v>
      </c>
      <c r="E311" s="1" t="n">
        <v>46322</v>
      </c>
      <c r="F311" t="inlineStr">
        <is>
          <t>JÖNKÖPINGS LÄN</t>
        </is>
      </c>
      <c r="G311" t="inlineStr">
        <is>
          <t>VETLANDA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4033-2024</t>
        </is>
      </c>
      <c r="B312" t="inlineStr">
        <is>
          <t>avverkningsanmälan</t>
        </is>
      </c>
      <c r="C312" t="inlineStr">
        <is>
          <t>Föryngringsavverkning</t>
        </is>
      </c>
      <c r="D312" s="1" t="n">
        <v>45323</v>
      </c>
      <c r="E312" s="1" t="n">
        <v>46322</v>
      </c>
      <c r="F312" t="inlineStr">
        <is>
          <t>JÖNKÖPINGS LÄN</t>
        </is>
      </c>
      <c r="G312" t="inlineStr">
        <is>
          <t>VETLANDA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21824-2022</t>
        </is>
      </c>
      <c r="B313" t="inlineStr">
        <is>
          <t>avverkningsanmälan</t>
        </is>
      </c>
      <c r="C313" t="inlineStr">
        <is>
          <t>Föryngringsavverkning</t>
        </is>
      </c>
      <c r="D313" s="1" t="n">
        <v>44710</v>
      </c>
      <c r="E313" s="1" t="n">
        <v>46322</v>
      </c>
      <c r="F313" t="inlineStr">
        <is>
          <t>JÖNKÖPINGS LÄN</t>
        </is>
      </c>
      <c r="G313" t="inlineStr">
        <is>
          <t>VETLANDA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16082-2024</t>
        </is>
      </c>
      <c r="B314" t="inlineStr">
        <is>
          <t>avverkningsanmälan</t>
        </is>
      </c>
      <c r="C314" t="inlineStr">
        <is>
          <t>Föryngringsavverkning</t>
        </is>
      </c>
      <c r="D314" s="1" t="n">
        <v>45406</v>
      </c>
      <c r="E314" s="1" t="n">
        <v>46322</v>
      </c>
      <c r="F314" t="inlineStr">
        <is>
          <t>JÖNKÖPINGS LÄN</t>
        </is>
      </c>
      <c r="G314" t="inlineStr">
        <is>
          <t>VETLANDA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18665-2025</t>
        </is>
      </c>
      <c r="B315" t="inlineStr">
        <is>
          <t>avverkningsanmälan</t>
        </is>
      </c>
      <c r="C315" t="inlineStr">
        <is>
          <t>Föryngringsavverkning</t>
        </is>
      </c>
      <c r="D315" s="1" t="n">
        <v>45763</v>
      </c>
      <c r="E315" s="1" t="n">
        <v>46322</v>
      </c>
      <c r="F315" t="inlineStr">
        <is>
          <t>JÖNKÖPINGS LÄN</t>
        </is>
      </c>
      <c r="G315" t="inlineStr">
        <is>
          <t>VETLANDA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30501-2022</t>
        </is>
      </c>
      <c r="B316" t="inlineStr">
        <is>
          <t>avverkningsanmälan</t>
        </is>
      </c>
      <c r="C316" t="inlineStr">
        <is>
          <t>Föryngringsavverkning</t>
        </is>
      </c>
      <c r="D316" s="1" t="n">
        <v>44762</v>
      </c>
      <c r="E316" s="1" t="n">
        <v>46322</v>
      </c>
      <c r="F316" t="inlineStr">
        <is>
          <t>JÖNKÖPINGS LÄN</t>
        </is>
      </c>
      <c r="G316" t="inlineStr">
        <is>
          <t>VETLANDA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12700-2024</t>
        </is>
      </c>
      <c r="B317" t="inlineStr">
        <is>
          <t>avverkningsanmälan</t>
        </is>
      </c>
      <c r="C317" t="inlineStr">
        <is>
          <t>Föryngringsavverkning</t>
        </is>
      </c>
      <c r="D317" s="1" t="n">
        <v>45384</v>
      </c>
      <c r="E317" s="1" t="n">
        <v>46322</v>
      </c>
      <c r="F317" t="inlineStr">
        <is>
          <t>JÖNKÖPINGS LÄN</t>
        </is>
      </c>
      <c r="G317" t="inlineStr">
        <is>
          <t>VETLANDA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409-2024</t>
        </is>
      </c>
      <c r="B318" t="inlineStr">
        <is>
          <t>avverkningsanmälan</t>
        </is>
      </c>
      <c r="C318" t="inlineStr">
        <is>
          <t>Avverkning för annat ändamål</t>
        </is>
      </c>
      <c r="D318" s="1" t="n">
        <v>45296</v>
      </c>
      <c r="E318" s="1" t="n">
        <v>46322</v>
      </c>
      <c r="F318" t="inlineStr">
        <is>
          <t>JÖNKÖPINGS LÄN</t>
        </is>
      </c>
      <c r="G318" t="inlineStr">
        <is>
          <t>VETLANDA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28404-2022</t>
        </is>
      </c>
      <c r="B319" t="inlineStr">
        <is>
          <t>avverkningsanmälan</t>
        </is>
      </c>
      <c r="C319" t="inlineStr">
        <is>
          <t>Föryngringsavverkning</t>
        </is>
      </c>
      <c r="D319" s="1" t="n">
        <v>44747</v>
      </c>
      <c r="E319" s="1" t="n">
        <v>46322</v>
      </c>
      <c r="F319" t="inlineStr">
        <is>
          <t>JÖNKÖPINGS LÄN</t>
        </is>
      </c>
      <c r="G319" t="inlineStr">
        <is>
          <t>VETLANDA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18507-2025</t>
        </is>
      </c>
      <c r="B320" t="inlineStr">
        <is>
          <t>avverkningsanmälan</t>
        </is>
      </c>
      <c r="C320" t="inlineStr">
        <is>
          <t>Föryngringsavverkning</t>
        </is>
      </c>
      <c r="D320" s="1" t="n">
        <v>45763</v>
      </c>
      <c r="E320" s="1" t="n">
        <v>46322</v>
      </c>
      <c r="F320" t="inlineStr">
        <is>
          <t>JÖNKÖPINGS LÄN</t>
        </is>
      </c>
      <c r="G320" t="inlineStr">
        <is>
          <t>VETLANDA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18509-2025</t>
        </is>
      </c>
      <c r="B321" t="inlineStr">
        <is>
          <t>avverkningsanmälan</t>
        </is>
      </c>
      <c r="C321" t="inlineStr">
        <is>
          <t>Föryngringsavverkning</t>
        </is>
      </c>
      <c r="D321" s="1" t="n">
        <v>45763</v>
      </c>
      <c r="E321" s="1" t="n">
        <v>46322</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18518-2025</t>
        </is>
      </c>
      <c r="B322" t="inlineStr">
        <is>
          <t>avverkningsanmälan</t>
        </is>
      </c>
      <c r="C322" t="inlineStr">
        <is>
          <t>Föryngringsavverkning</t>
        </is>
      </c>
      <c r="D322" s="1" t="n">
        <v>45763</v>
      </c>
      <c r="E322" s="1" t="n">
        <v>46322</v>
      </c>
      <c r="F322" t="inlineStr">
        <is>
          <t>JÖNKÖPINGS LÄN</t>
        </is>
      </c>
      <c r="G322" t="inlineStr">
        <is>
          <t>VETLANDA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16774-2023</t>
        </is>
      </c>
      <c r="B323" t="inlineStr">
        <is>
          <t>avverkningsanmälan</t>
        </is>
      </c>
      <c r="C323" t="inlineStr">
        <is>
          <t>Föryngringsavverkning</t>
        </is>
      </c>
      <c r="D323" s="1" t="n">
        <v>45031</v>
      </c>
      <c r="E323" s="1" t="n">
        <v>46322</v>
      </c>
      <c r="F323" t="inlineStr">
        <is>
          <t>JÖNKÖPINGS LÄN</t>
        </is>
      </c>
      <c r="G323" t="inlineStr">
        <is>
          <t>VETLANDA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3536-2023</t>
        </is>
      </c>
      <c r="B324" t="inlineStr">
        <is>
          <t>avverkningsanmälan</t>
        </is>
      </c>
      <c r="C324" t="inlineStr">
        <is>
          <t>Föryngringsavverkning</t>
        </is>
      </c>
      <c r="D324" s="1" t="n">
        <v>44946</v>
      </c>
      <c r="E324" s="1" t="n">
        <v>46322</v>
      </c>
      <c r="F324" t="inlineStr">
        <is>
          <t>JÖNKÖPINGS LÄN</t>
        </is>
      </c>
      <c r="G324" t="inlineStr">
        <is>
          <t>VETLANDA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10175-2023</t>
        </is>
      </c>
      <c r="B325" t="inlineStr">
        <is>
          <t>avverkningsanmälan</t>
        </is>
      </c>
      <c r="C325" t="inlineStr">
        <is>
          <t>Föryngringsavverkning</t>
        </is>
      </c>
      <c r="D325" s="1" t="n">
        <v>44986</v>
      </c>
      <c r="E325" s="1" t="n">
        <v>46322</v>
      </c>
      <c r="F325" t="inlineStr">
        <is>
          <t>JÖNKÖPINGS LÄN</t>
        </is>
      </c>
      <c r="G325" t="inlineStr">
        <is>
          <t>VETLANDA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25124-2024</t>
        </is>
      </c>
      <c r="B326" t="inlineStr">
        <is>
          <t>avverkningsanmälan</t>
        </is>
      </c>
      <c r="C326" t="inlineStr">
        <is>
          <t>Föryngringsavverkning</t>
        </is>
      </c>
      <c r="D326" s="1" t="n">
        <v>45462</v>
      </c>
      <c r="E326" s="1" t="n">
        <v>46322</v>
      </c>
      <c r="F326" t="inlineStr">
        <is>
          <t>JÖNKÖPINGS LÄN</t>
        </is>
      </c>
      <c r="G326" t="inlineStr">
        <is>
          <t>VETLANDA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48595-2025</t>
        </is>
      </c>
      <c r="B327" t="inlineStr">
        <is>
          <t>avverkningsanmälan</t>
        </is>
      </c>
      <c r="C327" t="inlineStr">
        <is>
          <t>Föryngringsavverkning</t>
        </is>
      </c>
      <c r="D327" s="1" t="n">
        <v>45936</v>
      </c>
      <c r="E327" s="1" t="n">
        <v>46322</v>
      </c>
      <c r="F327" t="inlineStr">
        <is>
          <t>JÖNKÖPINGS LÄN</t>
        </is>
      </c>
      <c r="G327" t="inlineStr">
        <is>
          <t>VETLANDA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53551-2022</t>
        </is>
      </c>
      <c r="B328" t="inlineStr">
        <is>
          <t>avverkningsanmälan</t>
        </is>
      </c>
      <c r="C328" t="inlineStr">
        <is>
          <t>Föryngringsavverkning</t>
        </is>
      </c>
      <c r="D328" s="1" t="n">
        <v>44879</v>
      </c>
      <c r="E328" s="1" t="n">
        <v>46322</v>
      </c>
      <c r="F328" t="inlineStr">
        <is>
          <t>JÖNKÖPINGS LÄN</t>
        </is>
      </c>
      <c r="G328" t="inlineStr">
        <is>
          <t>VETLANDA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10170-2025</t>
        </is>
      </c>
      <c r="B329" t="inlineStr">
        <is>
          <t>avverkningsanmälan</t>
        </is>
      </c>
      <c r="C329" t="inlineStr">
        <is>
          <t>Föryngringsavverkning</t>
        </is>
      </c>
      <c r="D329" s="1" t="n">
        <v>45719</v>
      </c>
      <c r="E329" s="1" t="n">
        <v>46322</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27406-2023</t>
        </is>
      </c>
      <c r="B330" t="inlineStr">
        <is>
          <t>avverkningsanmälan</t>
        </is>
      </c>
      <c r="C330" t="inlineStr">
        <is>
          <t>Föryngringsavverkning</t>
        </is>
      </c>
      <c r="D330" s="1" t="n">
        <v>45097</v>
      </c>
      <c r="E330" s="1" t="n">
        <v>46322</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27449-2023</t>
        </is>
      </c>
      <c r="B331" t="inlineStr">
        <is>
          <t>avverkningsanmälan</t>
        </is>
      </c>
      <c r="C331" t="inlineStr">
        <is>
          <t>Föryngringsavverkning</t>
        </is>
      </c>
      <c r="D331" s="1" t="n">
        <v>45097</v>
      </c>
      <c r="E331" s="1" t="n">
        <v>46322</v>
      </c>
      <c r="F331" t="inlineStr">
        <is>
          <t>JÖNKÖPINGS LÄN</t>
        </is>
      </c>
      <c r="G331" t="inlineStr">
        <is>
          <t>VETLANDA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37255-2024</t>
        </is>
      </c>
      <c r="B332" t="inlineStr">
        <is>
          <t>avverkningsanmälan</t>
        </is>
      </c>
      <c r="C332" t="inlineStr">
        <is>
          <t>Föryngringsavverkning</t>
        </is>
      </c>
      <c r="D332" s="1" t="n">
        <v>45540</v>
      </c>
      <c r="E332" s="1" t="n">
        <v>46322</v>
      </c>
      <c r="F332" t="inlineStr">
        <is>
          <t>JÖNKÖPINGS LÄN</t>
        </is>
      </c>
      <c r="G332" t="inlineStr">
        <is>
          <t>VETLANDA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33935-2023</t>
        </is>
      </c>
      <c r="B333" t="inlineStr">
        <is>
          <t>avverkningsanmälan</t>
        </is>
      </c>
      <c r="C333" t="inlineStr">
        <is>
          <t>Föryngringsavverkning</t>
        </is>
      </c>
      <c r="D333" s="1" t="n">
        <v>45134</v>
      </c>
      <c r="E333" s="1" t="n">
        <v>46322</v>
      </c>
      <c r="F333" t="inlineStr">
        <is>
          <t>JÖNKÖPINGS LÄN</t>
        </is>
      </c>
      <c r="G333" t="inlineStr">
        <is>
          <t>VETLANDA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5804-2024</t>
        </is>
      </c>
      <c r="B334" t="inlineStr">
        <is>
          <t>avverkningsanmälan</t>
        </is>
      </c>
      <c r="C334" t="inlineStr">
        <is>
          <t>Avverkning för annat ändamål</t>
        </is>
      </c>
      <c r="D334" s="1" t="n">
        <v>45335</v>
      </c>
      <c r="E334" s="1" t="n">
        <v>46322</v>
      </c>
      <c r="F334" t="inlineStr">
        <is>
          <t>JÖNKÖPINGS LÄN</t>
        </is>
      </c>
      <c r="G334" t="inlineStr">
        <is>
          <t>VETLANDA</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12666-2024</t>
        </is>
      </c>
      <c r="B335" t="inlineStr">
        <is>
          <t>avverkningsanmälan</t>
        </is>
      </c>
      <c r="C335" t="inlineStr">
        <is>
          <t>Föryngringsavverkning</t>
        </is>
      </c>
      <c r="D335" s="1" t="n">
        <v>45384</v>
      </c>
      <c r="E335" s="1" t="n">
        <v>46322</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3116-2024</t>
        </is>
      </c>
      <c r="B336" t="inlineStr">
        <is>
          <t>avverkningsanmälan</t>
        </is>
      </c>
      <c r="C336" t="inlineStr">
        <is>
          <t>Föryngringsavverkning</t>
        </is>
      </c>
      <c r="D336" s="1" t="n">
        <v>45316</v>
      </c>
      <c r="E336" s="1" t="n">
        <v>46322</v>
      </c>
      <c r="F336" t="inlineStr">
        <is>
          <t>JÖNKÖPINGS LÄN</t>
        </is>
      </c>
      <c r="G336" t="inlineStr">
        <is>
          <t>VETLANDA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20154-2024</t>
        </is>
      </c>
      <c r="B337" t="inlineStr">
        <is>
          <t>avverkningsanmälan</t>
        </is>
      </c>
      <c r="C337" t="inlineStr">
        <is>
          <t>Föryngringsavverkning</t>
        </is>
      </c>
      <c r="D337" s="1" t="n">
        <v>45434</v>
      </c>
      <c r="E337" s="1" t="n">
        <v>46322</v>
      </c>
      <c r="F337" t="inlineStr">
        <is>
          <t>JÖNKÖPINGS LÄN</t>
        </is>
      </c>
      <c r="G337" t="inlineStr">
        <is>
          <t>VETLANDA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20827-2024</t>
        </is>
      </c>
      <c r="B338" t="inlineStr">
        <is>
          <t>avverkningsanmälan</t>
        </is>
      </c>
      <c r="C338" t="inlineStr">
        <is>
          <t>Föryngringsavverkning</t>
        </is>
      </c>
      <c r="D338" s="1" t="n">
        <v>45439</v>
      </c>
      <c r="E338" s="1" t="n">
        <v>46322</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61076-2024</t>
        </is>
      </c>
      <c r="B339" t="inlineStr">
        <is>
          <t>avverkningsanmälan</t>
        </is>
      </c>
      <c r="C339" t="inlineStr">
        <is>
          <t>Föryngringsavverkning</t>
        </is>
      </c>
      <c r="D339" s="1" t="n">
        <v>45645</v>
      </c>
      <c r="E339" s="1" t="n">
        <v>46322</v>
      </c>
      <c r="F339" t="inlineStr">
        <is>
          <t>JÖNKÖPINGS LÄN</t>
        </is>
      </c>
      <c r="G339" t="inlineStr">
        <is>
          <t>VETLANDA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17227-2024</t>
        </is>
      </c>
      <c r="B340" t="inlineStr">
        <is>
          <t>avverkningsanmälan</t>
        </is>
      </c>
      <c r="C340" t="inlineStr">
        <is>
          <t>Föryngringsavverkning</t>
        </is>
      </c>
      <c r="D340" s="1" t="n">
        <v>45414</v>
      </c>
      <c r="E340" s="1" t="n">
        <v>46322</v>
      </c>
      <c r="F340" t="inlineStr">
        <is>
          <t>JÖNKÖPINGS LÄN</t>
        </is>
      </c>
      <c r="G340" t="inlineStr">
        <is>
          <t>VETLANDA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51906-2024</t>
        </is>
      </c>
      <c r="B341" t="inlineStr">
        <is>
          <t>avverkningsanmälan</t>
        </is>
      </c>
      <c r="C341" t="inlineStr">
        <is>
          <t>Föryngringsavverkning</t>
        </is>
      </c>
      <c r="D341" s="1" t="n">
        <v>45607</v>
      </c>
      <c r="E341" s="1" t="n">
        <v>46322</v>
      </c>
      <c r="F341" t="inlineStr">
        <is>
          <t>JÖNKÖPINGS LÄN</t>
        </is>
      </c>
      <c r="G341" t="inlineStr">
        <is>
          <t>VETLANDA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39621-2022</t>
        </is>
      </c>
      <c r="B342" t="inlineStr">
        <is>
          <t>avverkningsanmälan</t>
        </is>
      </c>
      <c r="C342" t="inlineStr">
        <is>
          <t>Föryngringsavverkning</t>
        </is>
      </c>
      <c r="D342" s="1" t="n">
        <v>44818</v>
      </c>
      <c r="E342" s="1" t="n">
        <v>46322</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2221-2025</t>
        </is>
      </c>
      <c r="B343" t="inlineStr">
        <is>
          <t>avverkningsanmälan</t>
        </is>
      </c>
      <c r="C343" t="inlineStr">
        <is>
          <t>Föryngringsavverkning</t>
        </is>
      </c>
      <c r="D343" s="1" t="n">
        <v>45673</v>
      </c>
      <c r="E343" s="1" t="n">
        <v>46322</v>
      </c>
      <c r="F343" t="inlineStr">
        <is>
          <t>JÖNKÖPINGS LÄN</t>
        </is>
      </c>
      <c r="G343" t="inlineStr">
        <is>
          <t>VETLANDA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28907-2023</t>
        </is>
      </c>
      <c r="B344" t="inlineStr">
        <is>
          <t>avverkningsanmälan</t>
        </is>
      </c>
      <c r="C344" t="inlineStr">
        <is>
          <t>Föryngringsavverkning</t>
        </is>
      </c>
      <c r="D344" s="1" t="n">
        <v>45104</v>
      </c>
      <c r="E344" s="1" t="n">
        <v>46322</v>
      </c>
      <c r="F344" t="inlineStr">
        <is>
          <t>JÖNKÖPINGS LÄN</t>
        </is>
      </c>
      <c r="G344" t="inlineStr">
        <is>
          <t>VETLANDA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42417-2022</t>
        </is>
      </c>
      <c r="B345" t="inlineStr">
        <is>
          <t>avverkningsanmälan</t>
        </is>
      </c>
      <c r="C345" t="inlineStr">
        <is>
          <t>Föryngringsavverkning</t>
        </is>
      </c>
      <c r="D345" s="1" t="n">
        <v>44831</v>
      </c>
      <c r="E345" s="1" t="n">
        <v>46322</v>
      </c>
      <c r="F345" t="inlineStr">
        <is>
          <t>JÖNKÖPINGS LÄN</t>
        </is>
      </c>
      <c r="G345" t="inlineStr">
        <is>
          <t>VETLANDA</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8501-2025</t>
        </is>
      </c>
      <c r="B346" t="inlineStr">
        <is>
          <t>avverkningsanmälan</t>
        </is>
      </c>
      <c r="C346" t="inlineStr">
        <is>
          <t>Föryngringsavverkning</t>
        </is>
      </c>
      <c r="D346" s="1" t="n">
        <v>45709</v>
      </c>
      <c r="E346" s="1" t="n">
        <v>46322</v>
      </c>
      <c r="F346" t="inlineStr">
        <is>
          <t>JÖNKÖPINGS LÄN</t>
        </is>
      </c>
      <c r="G346" t="inlineStr">
        <is>
          <t>VETLANDA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61095-2024</t>
        </is>
      </c>
      <c r="B347" t="inlineStr">
        <is>
          <t>avverkningsanmälan</t>
        </is>
      </c>
      <c r="C347" t="inlineStr">
        <is>
          <t>Föryngringsavverkning</t>
        </is>
      </c>
      <c r="D347" s="1" t="n">
        <v>45645</v>
      </c>
      <c r="E347" s="1" t="n">
        <v>46322</v>
      </c>
      <c r="F347" t="inlineStr">
        <is>
          <t>JÖNKÖPINGS LÄN</t>
        </is>
      </c>
      <c r="G347" t="inlineStr">
        <is>
          <t>VETLANDA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13710-2023</t>
        </is>
      </c>
      <c r="B348" t="inlineStr">
        <is>
          <t>avverkningsanmälan</t>
        </is>
      </c>
      <c r="C348" t="inlineStr">
        <is>
          <t>Föryngringsavverkning</t>
        </is>
      </c>
      <c r="D348" s="1" t="n">
        <v>45001</v>
      </c>
      <c r="E348" s="1" t="n">
        <v>46322</v>
      </c>
      <c r="F348" t="inlineStr">
        <is>
          <t>JÖNKÖPINGS LÄN</t>
        </is>
      </c>
      <c r="G348" t="inlineStr">
        <is>
          <t>VETLANDA</t>
        </is>
      </c>
      <c r="H348" t="inlineStr">
        <is>
          <t>Kyrkan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59578-2023</t>
        </is>
      </c>
      <c r="B349" t="inlineStr">
        <is>
          <t>avverkningsanmälan</t>
        </is>
      </c>
      <c r="C349" t="inlineStr">
        <is>
          <t>Föryngringsavverkning</t>
        </is>
      </c>
      <c r="D349" s="1" t="n">
        <v>45254</v>
      </c>
      <c r="E349" s="1" t="n">
        <v>46322</v>
      </c>
      <c r="F349" t="inlineStr">
        <is>
          <t>JÖNKÖPINGS LÄN</t>
        </is>
      </c>
      <c r="G349" t="inlineStr">
        <is>
          <t>VETLANDA</t>
        </is>
      </c>
      <c r="H349" t="inlineStr">
        <is>
          <t>Övriga Aktiebolag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25858-2023</t>
        </is>
      </c>
      <c r="B350" t="inlineStr">
        <is>
          <t>avverkningsanmälan</t>
        </is>
      </c>
      <c r="C350" t="inlineStr">
        <is>
          <t>Föryngringsavverkning</t>
        </is>
      </c>
      <c r="D350" s="1" t="n">
        <v>45090</v>
      </c>
      <c r="E350" s="1" t="n">
        <v>46322</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712-2024</t>
        </is>
      </c>
      <c r="B351" t="inlineStr">
        <is>
          <t>avverkningsanmälan</t>
        </is>
      </c>
      <c r="C351" t="inlineStr">
        <is>
          <t>Avverkning för annat ändamål</t>
        </is>
      </c>
      <c r="D351" s="1" t="n">
        <v>45300</v>
      </c>
      <c r="E351" s="1" t="n">
        <v>46322</v>
      </c>
      <c r="F351" t="inlineStr">
        <is>
          <t>JÖNKÖPINGS LÄN</t>
        </is>
      </c>
      <c r="G351" t="inlineStr">
        <is>
          <t>VETLANDA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33681-2023</t>
        </is>
      </c>
      <c r="B352" t="inlineStr">
        <is>
          <t>avverkningsanmälan</t>
        </is>
      </c>
      <c r="C352" t="inlineStr">
        <is>
          <t>Föryngringsavverkning</t>
        </is>
      </c>
      <c r="D352" s="1" t="n">
        <v>45132</v>
      </c>
      <c r="E352" s="1" t="n">
        <v>46322</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5802-2024</t>
        </is>
      </c>
      <c r="B353" t="inlineStr">
        <is>
          <t>avverkningsanmälan</t>
        </is>
      </c>
      <c r="C353" t="inlineStr">
        <is>
          <t>Avverkning för annat ändamål</t>
        </is>
      </c>
      <c r="D353" s="1" t="n">
        <v>45335</v>
      </c>
      <c r="E353" s="1" t="n">
        <v>46322</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28330-2023</t>
        </is>
      </c>
      <c r="B354" t="inlineStr">
        <is>
          <t>avverkningsanmälan</t>
        </is>
      </c>
      <c r="C354" t="inlineStr">
        <is>
          <t>Föryngringsavverkning</t>
        </is>
      </c>
      <c r="D354" s="1" t="n">
        <v>45099</v>
      </c>
      <c r="E354" s="1" t="n">
        <v>46322</v>
      </c>
      <c r="F354" t="inlineStr">
        <is>
          <t>JÖNKÖPINGS LÄN</t>
        </is>
      </c>
      <c r="G354" t="inlineStr">
        <is>
          <t>VETLANDA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50759-2024</t>
        </is>
      </c>
      <c r="B355" t="inlineStr">
        <is>
          <t>avverkningsanmälan</t>
        </is>
      </c>
      <c r="C355" t="inlineStr">
        <is>
          <t>Föryngringsavverkning</t>
        </is>
      </c>
      <c r="D355" s="1" t="n">
        <v>45602</v>
      </c>
      <c r="E355" s="1" t="n">
        <v>46322</v>
      </c>
      <c r="F355" t="inlineStr">
        <is>
          <t>JÖNKÖPINGS LÄN</t>
        </is>
      </c>
      <c r="G355" t="inlineStr">
        <is>
          <t>VETLANDA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5937-2023</t>
        </is>
      </c>
      <c r="B356" t="inlineStr">
        <is>
          <t>avverkningsanmälan</t>
        </is>
      </c>
      <c r="C356" t="inlineStr">
        <is>
          <t>Föryngringsavverkning</t>
        </is>
      </c>
      <c r="D356" s="1" t="n">
        <v>44963</v>
      </c>
      <c r="E356" s="1" t="n">
        <v>46322</v>
      </c>
      <c r="F356" t="inlineStr">
        <is>
          <t>JÖNKÖPINGS LÄN</t>
        </is>
      </c>
      <c r="G356" t="inlineStr">
        <is>
          <t>VETLANDA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40051-2023</t>
        </is>
      </c>
      <c r="B357" t="inlineStr">
        <is>
          <t>avverkningsanmälan</t>
        </is>
      </c>
      <c r="C357" t="inlineStr">
        <is>
          <t>Föryngringsavverkning</t>
        </is>
      </c>
      <c r="D357" s="1" t="n">
        <v>45168</v>
      </c>
      <c r="E357" s="1" t="n">
        <v>46322</v>
      </c>
      <c r="F357" t="inlineStr">
        <is>
          <t>JÖNKÖPINGS LÄN</t>
        </is>
      </c>
      <c r="G357" t="inlineStr">
        <is>
          <t>VETLANDA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26791-2024</t>
        </is>
      </c>
      <c r="B358" t="inlineStr">
        <is>
          <t>avverkningsanmälan</t>
        </is>
      </c>
      <c r="C358" t="inlineStr">
        <is>
          <t>Föryngringsavverkning</t>
        </is>
      </c>
      <c r="D358" s="1" t="n">
        <v>45470</v>
      </c>
      <c r="E358" s="1" t="n">
        <v>46322</v>
      </c>
      <c r="F358" t="inlineStr">
        <is>
          <t>JÖNKÖPINGS LÄN</t>
        </is>
      </c>
      <c r="G358" t="inlineStr">
        <is>
          <t>VETLANDA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15289-2024</t>
        </is>
      </c>
      <c r="B359" t="inlineStr">
        <is>
          <t>avverkningsanmälan</t>
        </is>
      </c>
      <c r="C359" t="inlineStr">
        <is>
          <t>Föryngringsavverkning</t>
        </is>
      </c>
      <c r="D359" s="1" t="n">
        <v>45400</v>
      </c>
      <c r="E359" s="1" t="n">
        <v>46322</v>
      </c>
      <c r="F359" t="inlineStr">
        <is>
          <t>JÖNKÖPINGS LÄN</t>
        </is>
      </c>
      <c r="G359" t="inlineStr">
        <is>
          <t>VETLANDA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50330-2025</t>
        </is>
      </c>
      <c r="B360" t="inlineStr">
        <is>
          <t>avverkningsanmälan</t>
        </is>
      </c>
      <c r="C360" t="inlineStr">
        <is>
          <t>Föryngringsavverkning</t>
        </is>
      </c>
      <c r="D360" s="1" t="n">
        <v>45944</v>
      </c>
      <c r="E360" s="1" t="n">
        <v>46322</v>
      </c>
      <c r="F360" t="inlineStr">
        <is>
          <t>JÖNKÖPINGS LÄN</t>
        </is>
      </c>
      <c r="G360" t="inlineStr">
        <is>
          <t>VETLANDA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44331-2023</t>
        </is>
      </c>
      <c r="B361" t="inlineStr">
        <is>
          <t>avverkningsanmälan</t>
        </is>
      </c>
      <c r="C361" t="inlineStr">
        <is>
          <t>Föryngringsavverkning</t>
        </is>
      </c>
      <c r="D361" s="1" t="n">
        <v>45188</v>
      </c>
      <c r="E361" s="1" t="n">
        <v>46322</v>
      </c>
      <c r="F361" t="inlineStr">
        <is>
          <t>JÖNKÖPINGS LÄN</t>
        </is>
      </c>
      <c r="G361" t="inlineStr">
        <is>
          <t>VETLANDA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27622-2026</t>
        </is>
      </c>
      <c r="B362" t="inlineStr">
        <is>
          <t>avverkningsanmälan</t>
        </is>
      </c>
      <c r="C362" t="inlineStr">
        <is>
          <t>Föryngringsavverkning</t>
        </is>
      </c>
      <c r="D362" s="1" t="n">
        <v>46190</v>
      </c>
      <c r="E362" s="1" t="n">
        <v>46322</v>
      </c>
      <c r="F362" t="inlineStr">
        <is>
          <t>JÖNKÖPINGS LÄN</t>
        </is>
      </c>
      <c r="G362" t="inlineStr">
        <is>
          <t>VETLANDA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2070-2024</t>
        </is>
      </c>
      <c r="B363" t="inlineStr">
        <is>
          <t>avverkningsanmälan</t>
        </is>
      </c>
      <c r="C363" t="inlineStr">
        <is>
          <t>Avverkning för annat ändamål</t>
        </is>
      </c>
      <c r="D363" s="1" t="n">
        <v>45309</v>
      </c>
      <c r="E363" s="1" t="n">
        <v>46322</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2156-2024</t>
        </is>
      </c>
      <c r="B364" t="inlineStr">
        <is>
          <t>avverkningsanmälan</t>
        </is>
      </c>
      <c r="C364" t="inlineStr">
        <is>
          <t>Föryngringsavverkning</t>
        </is>
      </c>
      <c r="D364" s="1" t="n">
        <v>45309</v>
      </c>
      <c r="E364" s="1" t="n">
        <v>46322</v>
      </c>
      <c r="F364" t="inlineStr">
        <is>
          <t>JÖNKÖPINGS LÄN</t>
        </is>
      </c>
      <c r="G364" t="inlineStr">
        <is>
          <t>VETLANDA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27445-2023</t>
        </is>
      </c>
      <c r="B365" t="inlineStr">
        <is>
          <t>avverkningsanmälan</t>
        </is>
      </c>
      <c r="C365" t="inlineStr">
        <is>
          <t>Föryngringsavverkning</t>
        </is>
      </c>
      <c r="D365" s="1" t="n">
        <v>45097</v>
      </c>
      <c r="E365" s="1" t="n">
        <v>46322</v>
      </c>
      <c r="F365" t="inlineStr">
        <is>
          <t>JÖNKÖPINGS LÄN</t>
        </is>
      </c>
      <c r="G365" t="inlineStr">
        <is>
          <t>VETLANDA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62953-2023</t>
        </is>
      </c>
      <c r="B366" t="inlineStr">
        <is>
          <t>avverkningsanmälan</t>
        </is>
      </c>
      <c r="C366" t="inlineStr">
        <is>
          <t>Föryngringsavverkning</t>
        </is>
      </c>
      <c r="D366" s="1" t="n">
        <v>45272</v>
      </c>
      <c r="E366" s="1" t="n">
        <v>46322</v>
      </c>
      <c r="F366" t="inlineStr">
        <is>
          <t>JÖNKÖPINGS LÄN</t>
        </is>
      </c>
      <c r="G366" t="inlineStr">
        <is>
          <t>VETLANDA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50795-2025</t>
        </is>
      </c>
      <c r="B367" t="inlineStr">
        <is>
          <t>avverkningsanmälan</t>
        </is>
      </c>
      <c r="C367" t="inlineStr">
        <is>
          <t>Föryngringsavverkning</t>
        </is>
      </c>
      <c r="D367" s="1" t="n">
        <v>45946</v>
      </c>
      <c r="E367" s="1" t="n">
        <v>46322</v>
      </c>
      <c r="F367" t="inlineStr">
        <is>
          <t>JÖNKÖPINGS LÄN</t>
        </is>
      </c>
      <c r="G367" t="inlineStr">
        <is>
          <t>VETLANDA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58578-2022</t>
        </is>
      </c>
      <c r="B368" t="inlineStr">
        <is>
          <t>avverkningsanmälan</t>
        </is>
      </c>
      <c r="C368" t="inlineStr">
        <is>
          <t>Föryngringsavverkning</t>
        </is>
      </c>
      <c r="D368" s="1" t="n">
        <v>44902</v>
      </c>
      <c r="E368" s="1" t="n">
        <v>46322</v>
      </c>
      <c r="F368" t="inlineStr">
        <is>
          <t>JÖNKÖPINGS LÄN</t>
        </is>
      </c>
      <c r="G368" t="inlineStr">
        <is>
          <t>VETLANDA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9868-2024</t>
        </is>
      </c>
      <c r="B369" t="inlineStr">
        <is>
          <t>avverkningsanmälan</t>
        </is>
      </c>
      <c r="C369" t="inlineStr">
        <is>
          <t>Föryngringsavverkning</t>
        </is>
      </c>
      <c r="D369" s="1" t="n">
        <v>45363</v>
      </c>
      <c r="E369" s="1" t="n">
        <v>46322</v>
      </c>
      <c r="F369" t="inlineStr">
        <is>
          <t>JÖNKÖPINGS LÄN</t>
        </is>
      </c>
      <c r="G369" t="inlineStr">
        <is>
          <t>VETLANDA</t>
        </is>
      </c>
      <c r="H369" t="inlineStr">
        <is>
          <t>Kyrkan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117-2022</t>
        </is>
      </c>
      <c r="B370" t="inlineStr">
        <is>
          <t>avverkningsanmälan</t>
        </is>
      </c>
      <c r="C370" t="inlineStr">
        <is>
          <t>Föryngringsavverkning</t>
        </is>
      </c>
      <c r="D370" s="1" t="n">
        <v>44564</v>
      </c>
      <c r="E370" s="1" t="n">
        <v>46322</v>
      </c>
      <c r="F370" t="inlineStr">
        <is>
          <t>JÖNKÖPINGS LÄN</t>
        </is>
      </c>
      <c r="G370" t="inlineStr">
        <is>
          <t>VETLANDA</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44464-2023</t>
        </is>
      </c>
      <c r="B371" t="inlineStr">
        <is>
          <t>avverkningsanmälan</t>
        </is>
      </c>
      <c r="C371" t="inlineStr">
        <is>
          <t>Föryngringsavverkning</t>
        </is>
      </c>
      <c r="D371" s="1" t="n">
        <v>45189</v>
      </c>
      <c r="E371" s="1" t="n">
        <v>46322</v>
      </c>
      <c r="F371" t="inlineStr">
        <is>
          <t>JÖNKÖPINGS LÄN</t>
        </is>
      </c>
      <c r="G371" t="inlineStr">
        <is>
          <t>VETLANDA</t>
        </is>
      </c>
      <c r="H371" t="inlineStr">
        <is>
          <t>Sveaskog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5194-2025</t>
        </is>
      </c>
      <c r="B372" t="inlineStr">
        <is>
          <t>avverkningsanmälan</t>
        </is>
      </c>
      <c r="C372" t="inlineStr">
        <is>
          <t>Föryngringsavverkning</t>
        </is>
      </c>
      <c r="D372" s="1" t="n">
        <v>45691</v>
      </c>
      <c r="E372" s="1" t="n">
        <v>46322</v>
      </c>
      <c r="F372" t="inlineStr">
        <is>
          <t>JÖNKÖPINGS LÄN</t>
        </is>
      </c>
      <c r="G372" t="inlineStr">
        <is>
          <t>VETLANDA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61454-2022</t>
        </is>
      </c>
      <c r="B373" t="inlineStr">
        <is>
          <t>avverkningsanmälan</t>
        </is>
      </c>
      <c r="C373" t="inlineStr">
        <is>
          <t>Föryngringsavverkning</t>
        </is>
      </c>
      <c r="D373" s="1" t="n">
        <v>44916</v>
      </c>
      <c r="E373" s="1" t="n">
        <v>46322</v>
      </c>
      <c r="F373" t="inlineStr">
        <is>
          <t>JÖNKÖPINGS LÄN</t>
        </is>
      </c>
      <c r="G373" t="inlineStr">
        <is>
          <t>VETLANDA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4794-2023</t>
        </is>
      </c>
      <c r="B374" t="inlineStr">
        <is>
          <t>avverkningsanmälan</t>
        </is>
      </c>
      <c r="C374" t="inlineStr">
        <is>
          <t>Föryngringsavverkning</t>
        </is>
      </c>
      <c r="D374" s="1" t="n">
        <v>44957</v>
      </c>
      <c r="E374" s="1" t="n">
        <v>46322</v>
      </c>
      <c r="F374" t="inlineStr">
        <is>
          <t>JÖNKÖPINGS LÄN</t>
        </is>
      </c>
      <c r="G374" t="inlineStr">
        <is>
          <t>VETLANDA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51365-2025</t>
        </is>
      </c>
      <c r="B375" t="inlineStr">
        <is>
          <t>avverkningsanmälan</t>
        </is>
      </c>
      <c r="C375" t="inlineStr">
        <is>
          <t>Föryngringsavverkning</t>
        </is>
      </c>
      <c r="D375" s="1" t="n">
        <v>45950</v>
      </c>
      <c r="E375" s="1" t="n">
        <v>46322</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31010-2023</t>
        </is>
      </c>
      <c r="B376" t="inlineStr">
        <is>
          <t>avverkningsanmälan</t>
        </is>
      </c>
      <c r="C376" t="inlineStr">
        <is>
          <t>Föryngringsavverkning</t>
        </is>
      </c>
      <c r="D376" s="1" t="n">
        <v>45113</v>
      </c>
      <c r="E376" s="1" t="n">
        <v>46322</v>
      </c>
      <c r="F376" t="inlineStr">
        <is>
          <t>JÖNKÖPINGS LÄN</t>
        </is>
      </c>
      <c r="G376" t="inlineStr">
        <is>
          <t>VETLANDA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52327-2025</t>
        </is>
      </c>
      <c r="B377" t="inlineStr">
        <is>
          <t>avverkningsanmälan</t>
        </is>
      </c>
      <c r="C377" t="inlineStr">
        <is>
          <t>Föryngringsavverkning</t>
        </is>
      </c>
      <c r="D377" s="1" t="n">
        <v>45953</v>
      </c>
      <c r="E377" s="1" t="n">
        <v>46322</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3310-2023</t>
        </is>
      </c>
      <c r="B378" t="inlineStr">
        <is>
          <t>avverkningsanmälan</t>
        </is>
      </c>
      <c r="C378" t="inlineStr">
        <is>
          <t>Föryngringsavverkning</t>
        </is>
      </c>
      <c r="D378" s="1" t="n">
        <v>44949</v>
      </c>
      <c r="E378" s="1" t="n">
        <v>46322</v>
      </c>
      <c r="F378" t="inlineStr">
        <is>
          <t>JÖNKÖPINGS LÄN</t>
        </is>
      </c>
      <c r="G378" t="inlineStr">
        <is>
          <t>VETLANDA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2162-2024</t>
        </is>
      </c>
      <c r="B379" t="inlineStr">
        <is>
          <t>avverkningsanmälan</t>
        </is>
      </c>
      <c r="C379" t="inlineStr">
        <is>
          <t>Föryngringsavverkning</t>
        </is>
      </c>
      <c r="D379" s="1" t="n">
        <v>45309</v>
      </c>
      <c r="E379" s="1" t="n">
        <v>46322</v>
      </c>
      <c r="F379" t="inlineStr">
        <is>
          <t>JÖNKÖPINGS LÄN</t>
        </is>
      </c>
      <c r="G379" t="inlineStr">
        <is>
          <t>VETLANDA</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62103-2021</t>
        </is>
      </c>
      <c r="B380" t="inlineStr">
        <is>
          <t>avverkningsanmälan</t>
        </is>
      </c>
      <c r="C380" t="inlineStr">
        <is>
          <t>Föryngringsavverkning</t>
        </is>
      </c>
      <c r="D380" s="1" t="n">
        <v>44502</v>
      </c>
      <c r="E380" s="1" t="n">
        <v>46322</v>
      </c>
      <c r="F380" t="inlineStr">
        <is>
          <t>JÖNKÖPINGS LÄN</t>
        </is>
      </c>
      <c r="G380" t="inlineStr">
        <is>
          <t>VETLANDA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7113-2025</t>
        </is>
      </c>
      <c r="B381" t="inlineStr">
        <is>
          <t>avverkningsanmälan</t>
        </is>
      </c>
      <c r="C381" t="inlineStr">
        <is>
          <t>Avverkning för annat ändamål</t>
        </is>
      </c>
      <c r="D381" s="1" t="n">
        <v>45702</v>
      </c>
      <c r="E381" s="1" t="n">
        <v>46322</v>
      </c>
      <c r="F381" t="inlineStr">
        <is>
          <t>JÖNKÖPINGS LÄN</t>
        </is>
      </c>
      <c r="G381" t="inlineStr">
        <is>
          <t>VETLANDA</t>
        </is>
      </c>
      <c r="H381" t="inlineStr">
        <is>
          <t>Sveaskog</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38196-2023</t>
        </is>
      </c>
      <c r="B382" t="inlineStr">
        <is>
          <t>avverkningsanmälan</t>
        </is>
      </c>
      <c r="C382" t="inlineStr">
        <is>
          <t>Föryngringsavverkning</t>
        </is>
      </c>
      <c r="D382" s="1" t="n">
        <v>45161</v>
      </c>
      <c r="E382" s="1" t="n">
        <v>46322</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31810-2023</t>
        </is>
      </c>
      <c r="B383" t="inlineStr">
        <is>
          <t>avverkningsanmälan</t>
        </is>
      </c>
      <c r="C383" t="inlineStr">
        <is>
          <t>Föryngringsavverkning</t>
        </is>
      </c>
      <c r="D383" s="1" t="n">
        <v>45118</v>
      </c>
      <c r="E383" s="1" t="n">
        <v>46322</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33934-2023</t>
        </is>
      </c>
      <c r="B384" t="inlineStr">
        <is>
          <t>avverkningsanmälan</t>
        </is>
      </c>
      <c r="C384" t="inlineStr">
        <is>
          <t>Föryngringsavverkning</t>
        </is>
      </c>
      <c r="D384" s="1" t="n">
        <v>45134</v>
      </c>
      <c r="E384" s="1" t="n">
        <v>46322</v>
      </c>
      <c r="F384" t="inlineStr">
        <is>
          <t>JÖNKÖPINGS LÄN</t>
        </is>
      </c>
      <c r="G384" t="inlineStr">
        <is>
          <t>VETLANDA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6051-2024</t>
        </is>
      </c>
      <c r="B385" t="inlineStr">
        <is>
          <t>avverkningsanmälan</t>
        </is>
      </c>
      <c r="C385" t="inlineStr">
        <is>
          <t>Föryngringsavverkning</t>
        </is>
      </c>
      <c r="D385" s="1" t="n">
        <v>45336</v>
      </c>
      <c r="E385" s="1" t="n">
        <v>46322</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7623-2024</t>
        </is>
      </c>
      <c r="B386" t="inlineStr">
        <is>
          <t>avverkningsanmälan</t>
        </is>
      </c>
      <c r="C386" t="inlineStr">
        <is>
          <t>Föryngringsavverkning</t>
        </is>
      </c>
      <c r="D386" s="1" t="n">
        <v>45348</v>
      </c>
      <c r="E386" s="1" t="n">
        <v>46322</v>
      </c>
      <c r="F386" t="inlineStr">
        <is>
          <t>JÖNKÖPINGS LÄN</t>
        </is>
      </c>
      <c r="G386" t="inlineStr">
        <is>
          <t>VETLANDA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39193-2023</t>
        </is>
      </c>
      <c r="B387" t="inlineStr">
        <is>
          <t>avverkningsanmälan</t>
        </is>
      </c>
      <c r="C387" t="inlineStr">
        <is>
          <t>Föryngringsavverkning</t>
        </is>
      </c>
      <c r="D387" s="1" t="n">
        <v>45162</v>
      </c>
      <c r="E387" s="1" t="n">
        <v>46322</v>
      </c>
      <c r="F387" t="inlineStr">
        <is>
          <t>JÖNKÖPINGS LÄN</t>
        </is>
      </c>
      <c r="G387" t="inlineStr">
        <is>
          <t>VETLANDA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20964-2024</t>
        </is>
      </c>
      <c r="B388" t="inlineStr">
        <is>
          <t>avverkningsanmälan</t>
        </is>
      </c>
      <c r="C388" t="inlineStr">
        <is>
          <t>Föryngringsavverkning</t>
        </is>
      </c>
      <c r="D388" s="1" t="n">
        <v>45439</v>
      </c>
      <c r="E388" s="1" t="n">
        <v>46322</v>
      </c>
      <c r="F388" t="inlineStr">
        <is>
          <t>JÖNKÖPINGS LÄN</t>
        </is>
      </c>
      <c r="G388" t="inlineStr">
        <is>
          <t>VETLANDA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17211-2024</t>
        </is>
      </c>
      <c r="B389" t="inlineStr">
        <is>
          <t>avverkningsanmälan</t>
        </is>
      </c>
      <c r="C389" t="inlineStr">
        <is>
          <t>Föryngringsavverkning</t>
        </is>
      </c>
      <c r="D389" s="1" t="n">
        <v>45414</v>
      </c>
      <c r="E389" s="1" t="n">
        <v>46322</v>
      </c>
      <c r="F389" t="inlineStr">
        <is>
          <t>JÖNKÖPINGS LÄN</t>
        </is>
      </c>
      <c r="G389" t="inlineStr">
        <is>
          <t>VETLANDA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52971-2023</t>
        </is>
      </c>
      <c r="B390" t="inlineStr">
        <is>
          <t>avverkningsanmälan</t>
        </is>
      </c>
      <c r="C390" t="inlineStr">
        <is>
          <t>Föryngringsavverkning</t>
        </is>
      </c>
      <c r="D390" s="1" t="n">
        <v>45226</v>
      </c>
      <c r="E390" s="1" t="n">
        <v>46322</v>
      </c>
      <c r="F390" t="inlineStr">
        <is>
          <t>JÖNKÖPINGS LÄN</t>
        </is>
      </c>
      <c r="G390" t="inlineStr">
        <is>
          <t>VETLANDA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44316-2023</t>
        </is>
      </c>
      <c r="B391" t="inlineStr">
        <is>
          <t>avverkningsanmälan</t>
        </is>
      </c>
      <c r="C391" t="inlineStr">
        <is>
          <t>Föryngringsavverkning</t>
        </is>
      </c>
      <c r="D391" s="1" t="n">
        <v>45188</v>
      </c>
      <c r="E391" s="1" t="n">
        <v>46322</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32374-2022</t>
        </is>
      </c>
      <c r="B392" t="inlineStr">
        <is>
          <t>avverkningsanmälan</t>
        </is>
      </c>
      <c r="C392" t="inlineStr">
        <is>
          <t>Föryngringsavverkning</t>
        </is>
      </c>
      <c r="D392" s="1" t="n">
        <v>44781</v>
      </c>
      <c r="E392" s="1" t="n">
        <v>46322</v>
      </c>
      <c r="F392" t="inlineStr">
        <is>
          <t>JÖNKÖPINGS LÄN</t>
        </is>
      </c>
      <c r="G392" t="inlineStr">
        <is>
          <t>VETLANDA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61451-2022</t>
        </is>
      </c>
      <c r="B393" t="inlineStr">
        <is>
          <t>avverkningsanmälan</t>
        </is>
      </c>
      <c r="C393" t="inlineStr">
        <is>
          <t>Föryngringsavverkning</t>
        </is>
      </c>
      <c r="D393" s="1" t="n">
        <v>44916</v>
      </c>
      <c r="E393" s="1" t="n">
        <v>46322</v>
      </c>
      <c r="F393" t="inlineStr">
        <is>
          <t>JÖNKÖPINGS LÄN</t>
        </is>
      </c>
      <c r="G393" t="inlineStr">
        <is>
          <t>VETLANDA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61452-2022</t>
        </is>
      </c>
      <c r="B394" t="inlineStr">
        <is>
          <t>avverkningsanmälan</t>
        </is>
      </c>
      <c r="C394" t="inlineStr">
        <is>
          <t>Föryngringsavverkning</t>
        </is>
      </c>
      <c r="D394" s="1" t="n">
        <v>44916</v>
      </c>
      <c r="E394" s="1" t="n">
        <v>46322</v>
      </c>
      <c r="F394" t="inlineStr">
        <is>
          <t>JÖNKÖPINGS LÄN</t>
        </is>
      </c>
      <c r="G394" t="inlineStr">
        <is>
          <t>VETLANDA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7034-2025</t>
        </is>
      </c>
      <c r="B395" t="inlineStr">
        <is>
          <t>avverkningsanmälan</t>
        </is>
      </c>
      <c r="C395" t="inlineStr">
        <is>
          <t>Föryngringsavverkning</t>
        </is>
      </c>
      <c r="D395" s="1" t="n">
        <v>45701</v>
      </c>
      <c r="E395" s="1" t="n">
        <v>46322</v>
      </c>
      <c r="F395" t="inlineStr">
        <is>
          <t>JÖNKÖPINGS LÄN</t>
        </is>
      </c>
      <c r="G395" t="inlineStr">
        <is>
          <t>VETLANDA</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24537-2023</t>
        </is>
      </c>
      <c r="B396" t="inlineStr">
        <is>
          <t>avverkningsanmälan</t>
        </is>
      </c>
      <c r="C396" t="inlineStr">
        <is>
          <t>Föryngringsavverkning</t>
        </is>
      </c>
      <c r="D396" s="1" t="n">
        <v>45082</v>
      </c>
      <c r="E396" s="1" t="n">
        <v>46322</v>
      </c>
      <c r="F396" t="inlineStr">
        <is>
          <t>JÖNKÖPINGS LÄN</t>
        </is>
      </c>
      <c r="G396" t="inlineStr">
        <is>
          <t>VETLANDA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24891-2024</t>
        </is>
      </c>
      <c r="B397" t="inlineStr">
        <is>
          <t>avverkningsanmälan</t>
        </is>
      </c>
      <c r="C397" t="inlineStr">
        <is>
          <t>Föryngringsavverkning</t>
        </is>
      </c>
      <c r="D397" s="1" t="n">
        <v>45461</v>
      </c>
      <c r="E397" s="1" t="n">
        <v>46322</v>
      </c>
      <c r="F397" t="inlineStr">
        <is>
          <t>JÖNKÖPINGS LÄN</t>
        </is>
      </c>
      <c r="G397" t="inlineStr">
        <is>
          <t>VETLANDA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38942-2023</t>
        </is>
      </c>
      <c r="B398" t="inlineStr">
        <is>
          <t>avverkningsanmälan</t>
        </is>
      </c>
      <c r="C398" t="inlineStr">
        <is>
          <t>Föryngringsavverkning</t>
        </is>
      </c>
      <c r="D398" s="1" t="n">
        <v>45163</v>
      </c>
      <c r="E398" s="1" t="n">
        <v>46322</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21818-2025</t>
        </is>
      </c>
      <c r="B399" t="inlineStr">
        <is>
          <t>avverkningsanmälan</t>
        </is>
      </c>
      <c r="C399" t="inlineStr">
        <is>
          <t>Föryngringsavverkning</t>
        </is>
      </c>
      <c r="D399" s="1" t="n">
        <v>45783</v>
      </c>
      <c r="E399" s="1" t="n">
        <v>46322</v>
      </c>
      <c r="F399" t="inlineStr">
        <is>
          <t>JÖNKÖPINGS LÄN</t>
        </is>
      </c>
      <c r="G399" t="inlineStr">
        <is>
          <t>VETLANDA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44349-2023</t>
        </is>
      </c>
      <c r="B400" t="inlineStr">
        <is>
          <t>avverkningsanmälan</t>
        </is>
      </c>
      <c r="C400" t="inlineStr">
        <is>
          <t>Föryngringsavverkning</t>
        </is>
      </c>
      <c r="D400" s="1" t="n">
        <v>45188</v>
      </c>
      <c r="E400" s="1" t="n">
        <v>46322</v>
      </c>
      <c r="F400" t="inlineStr">
        <is>
          <t>JÖNKÖPINGS LÄN</t>
        </is>
      </c>
      <c r="G400" t="inlineStr">
        <is>
          <t>VETLANDA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14607-2022</t>
        </is>
      </c>
      <c r="B401" t="inlineStr">
        <is>
          <t>avverkningsanmälan</t>
        </is>
      </c>
      <c r="C401" t="inlineStr">
        <is>
          <t>Avverkning för annat ändamål</t>
        </is>
      </c>
      <c r="D401" s="1" t="n">
        <v>44655</v>
      </c>
      <c r="E401" s="1" t="n">
        <v>46322</v>
      </c>
      <c r="F401" t="inlineStr">
        <is>
          <t>JÖNKÖPINGS LÄN</t>
        </is>
      </c>
      <c r="G401" t="inlineStr">
        <is>
          <t>VETLANDA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21676-2025</t>
        </is>
      </c>
      <c r="B402" t="inlineStr">
        <is>
          <t>avverkningsanmälan</t>
        </is>
      </c>
      <c r="C402" t="inlineStr">
        <is>
          <t>Föryngringsavverkning</t>
        </is>
      </c>
      <c r="D402" s="1" t="n">
        <v>45783</v>
      </c>
      <c r="E402" s="1" t="n">
        <v>46322</v>
      </c>
      <c r="F402" t="inlineStr">
        <is>
          <t>JÖNKÖPINGS LÄN</t>
        </is>
      </c>
      <c r="G402" t="inlineStr">
        <is>
          <t>VETLANDA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45968-2024</t>
        </is>
      </c>
      <c r="B403" t="inlineStr">
        <is>
          <t>avverkningsanmälan</t>
        </is>
      </c>
      <c r="C403" t="inlineStr">
        <is>
          <t>Föryngringsavverkning</t>
        </is>
      </c>
      <c r="D403" s="1" t="n">
        <v>45580</v>
      </c>
      <c r="E403" s="1" t="n">
        <v>46322</v>
      </c>
      <c r="F403" t="inlineStr">
        <is>
          <t>JÖNKÖPINGS LÄN</t>
        </is>
      </c>
      <c r="G403" t="inlineStr">
        <is>
          <t>VETLANDA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46258-2025</t>
        </is>
      </c>
      <c r="B404" t="inlineStr">
        <is>
          <t>avverkningsanmälan</t>
        </is>
      </c>
      <c r="C404" t="inlineStr">
        <is>
          <t>Föryngringsavverkning</t>
        </is>
      </c>
      <c r="D404" s="1" t="n">
        <v>45925</v>
      </c>
      <c r="E404" s="1" t="n">
        <v>46322</v>
      </c>
      <c r="F404" t="inlineStr">
        <is>
          <t>JÖNKÖPINGS LÄN</t>
        </is>
      </c>
      <c r="G404" t="inlineStr">
        <is>
          <t>VETLANDA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45171-2023</t>
        </is>
      </c>
      <c r="B405" t="inlineStr">
        <is>
          <t>avverkningsanmälan</t>
        </is>
      </c>
      <c r="C405" t="inlineStr">
        <is>
          <t>Avverkning för annat ändamål</t>
        </is>
      </c>
      <c r="D405" s="1" t="n">
        <v>45191</v>
      </c>
      <c r="E405" s="1" t="n">
        <v>46322</v>
      </c>
      <c r="F405" t="inlineStr">
        <is>
          <t>JÖNKÖPINGS LÄN</t>
        </is>
      </c>
      <c r="G405" t="inlineStr">
        <is>
          <t>VETLANDA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3955-2023</t>
        </is>
      </c>
      <c r="B406" t="inlineStr">
        <is>
          <t>avverkningsanmälan</t>
        </is>
      </c>
      <c r="C406" t="inlineStr">
        <is>
          <t>Föryngringsavverkning</t>
        </is>
      </c>
      <c r="D406" s="1" t="n">
        <v>44952</v>
      </c>
      <c r="E406" s="1" t="n">
        <v>46322</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48845-2023</t>
        </is>
      </c>
      <c r="B407" t="inlineStr">
        <is>
          <t>avverkningsanmälan</t>
        </is>
      </c>
      <c r="C407" t="inlineStr">
        <is>
          <t>Föryngringsavverkning</t>
        </is>
      </c>
      <c r="D407" s="1" t="n">
        <v>45209</v>
      </c>
      <c r="E407" s="1" t="n">
        <v>46322</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55753-2022</t>
        </is>
      </c>
      <c r="B408" t="inlineStr">
        <is>
          <t>avverkningsanmälan</t>
        </is>
      </c>
      <c r="C408" t="inlineStr">
        <is>
          <t>Föryngringsavverkning</t>
        </is>
      </c>
      <c r="D408" s="1" t="n">
        <v>44888</v>
      </c>
      <c r="E408" s="1" t="n">
        <v>46322</v>
      </c>
      <c r="F408" t="inlineStr">
        <is>
          <t>JÖNKÖPINGS LÄN</t>
        </is>
      </c>
      <c r="G408" t="inlineStr">
        <is>
          <t>VETLANDA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16808-2025</t>
        </is>
      </c>
      <c r="B409" t="inlineStr">
        <is>
          <t>avverkningsanmälan</t>
        </is>
      </c>
      <c r="C409" t="inlineStr">
        <is>
          <t>Föryngringsavverkning</t>
        </is>
      </c>
      <c r="D409" s="1" t="n">
        <v>45754</v>
      </c>
      <c r="E409" s="1" t="n">
        <v>46322</v>
      </c>
      <c r="F409" t="inlineStr">
        <is>
          <t>JÖNKÖPINGS LÄN</t>
        </is>
      </c>
      <c r="G409" t="inlineStr">
        <is>
          <t>VETLANDA</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16810-2025</t>
        </is>
      </c>
      <c r="B410" t="inlineStr">
        <is>
          <t>avverkningsanmälan</t>
        </is>
      </c>
      <c r="C410" t="inlineStr">
        <is>
          <t>Föryngringsavverkning</t>
        </is>
      </c>
      <c r="D410" s="1" t="n">
        <v>45754</v>
      </c>
      <c r="E410" s="1" t="n">
        <v>46322</v>
      </c>
      <c r="F410" t="inlineStr">
        <is>
          <t>JÖNKÖPINGS LÄN</t>
        </is>
      </c>
      <c r="G410" t="inlineStr">
        <is>
          <t>VETLANDA</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8220-2024</t>
        </is>
      </c>
      <c r="B411" t="inlineStr">
        <is>
          <t>avverkningsanmälan</t>
        </is>
      </c>
      <c r="C411" t="inlineStr">
        <is>
          <t>Föryngringsavverkning</t>
        </is>
      </c>
      <c r="D411" s="1" t="n">
        <v>45351</v>
      </c>
      <c r="E411" s="1" t="n">
        <v>46322</v>
      </c>
      <c r="F411" t="inlineStr">
        <is>
          <t>JÖNKÖPINGS LÄN</t>
        </is>
      </c>
      <c r="G411" t="inlineStr">
        <is>
          <t>VETLANDA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56938-2024</t>
        </is>
      </c>
      <c r="B412" t="inlineStr">
        <is>
          <t>avverkningsanmälan</t>
        </is>
      </c>
      <c r="C412" t="inlineStr">
        <is>
          <t>Föryngringsavverkning</t>
        </is>
      </c>
      <c r="D412" s="1" t="n">
        <v>45628</v>
      </c>
      <c r="E412" s="1" t="n">
        <v>46322</v>
      </c>
      <c r="F412" t="inlineStr">
        <is>
          <t>JÖNKÖPINGS LÄN</t>
        </is>
      </c>
      <c r="G412" t="inlineStr">
        <is>
          <t>VETLANDA</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7626-2023</t>
        </is>
      </c>
      <c r="B413" t="inlineStr">
        <is>
          <t>avverkningsanmälan</t>
        </is>
      </c>
      <c r="C413" t="inlineStr">
        <is>
          <t>Föryngringsavverkning</t>
        </is>
      </c>
      <c r="D413" s="1" t="n">
        <v>44972</v>
      </c>
      <c r="E413" s="1" t="n">
        <v>46322</v>
      </c>
      <c r="F413" t="inlineStr">
        <is>
          <t>JÖNKÖPINGS LÄN</t>
        </is>
      </c>
      <c r="G413" t="inlineStr">
        <is>
          <t>VETLANDA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27446-2023</t>
        </is>
      </c>
      <c r="B414" t="inlineStr">
        <is>
          <t>avverkningsanmälan</t>
        </is>
      </c>
      <c r="C414" t="inlineStr">
        <is>
          <t>Föryngringsavverkning</t>
        </is>
      </c>
      <c r="D414" s="1" t="n">
        <v>45097</v>
      </c>
      <c r="E414" s="1" t="n">
        <v>46322</v>
      </c>
      <c r="F414" t="inlineStr">
        <is>
          <t>JÖNKÖPINGS LÄN</t>
        </is>
      </c>
      <c r="G414" t="inlineStr">
        <is>
          <t>VETLANDA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20967-2024</t>
        </is>
      </c>
      <c r="B415" t="inlineStr">
        <is>
          <t>avverkningsanmälan</t>
        </is>
      </c>
      <c r="C415" t="inlineStr">
        <is>
          <t>Föryngringsavverkning</t>
        </is>
      </c>
      <c r="D415" s="1" t="n">
        <v>45439</v>
      </c>
      <c r="E415" s="1" t="n">
        <v>46322</v>
      </c>
      <c r="F415" t="inlineStr">
        <is>
          <t>JÖNKÖPINGS LÄN</t>
        </is>
      </c>
      <c r="G415" t="inlineStr">
        <is>
          <t>VETLANDA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31165-2022</t>
        </is>
      </c>
      <c r="B416" t="inlineStr">
        <is>
          <t>avverkningsanmälan</t>
        </is>
      </c>
      <c r="C416" t="inlineStr">
        <is>
          <t>Avverkning för annat ändamål</t>
        </is>
      </c>
      <c r="D416" s="1" t="n">
        <v>44770</v>
      </c>
      <c r="E416" s="1" t="n">
        <v>46322</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44126-2024</t>
        </is>
      </c>
      <c r="B417" t="inlineStr">
        <is>
          <t>avverkningsanmälan</t>
        </is>
      </c>
      <c r="C417" t="inlineStr">
        <is>
          <t>Föryngringsavverkning</t>
        </is>
      </c>
      <c r="D417" s="1" t="n">
        <v>45572</v>
      </c>
      <c r="E417" s="1" t="n">
        <v>46322</v>
      </c>
      <c r="F417" t="inlineStr">
        <is>
          <t>JÖNKÖPINGS LÄN</t>
        </is>
      </c>
      <c r="G417" t="inlineStr">
        <is>
          <t>VETLANDA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61471-2022</t>
        </is>
      </c>
      <c r="B418" t="inlineStr">
        <is>
          <t>avverkningsanmälan</t>
        </is>
      </c>
      <c r="C418" t="inlineStr">
        <is>
          <t>Föryngringsavverkning</t>
        </is>
      </c>
      <c r="D418" s="1" t="n">
        <v>44916</v>
      </c>
      <c r="E418" s="1" t="n">
        <v>46322</v>
      </c>
      <c r="F418" t="inlineStr">
        <is>
          <t>JÖNKÖPINGS LÄN</t>
        </is>
      </c>
      <c r="G418" t="inlineStr">
        <is>
          <t>VETLANDA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4644-2022</t>
        </is>
      </c>
      <c r="B419" t="inlineStr">
        <is>
          <t>avverkningsanmälan</t>
        </is>
      </c>
      <c r="C419" t="inlineStr">
        <is>
          <t>Föryngringsavverkning</t>
        </is>
      </c>
      <c r="D419" s="1" t="n">
        <v>44592</v>
      </c>
      <c r="E419" s="1" t="n">
        <v>46322</v>
      </c>
      <c r="F419" t="inlineStr">
        <is>
          <t>JÖNKÖPINGS LÄN</t>
        </is>
      </c>
      <c r="G419" t="inlineStr">
        <is>
          <t>VETLANDA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56254-2025</t>
        </is>
      </c>
      <c r="B420" t="inlineStr">
        <is>
          <t>avverkningsanmälan</t>
        </is>
      </c>
      <c r="C420" t="inlineStr">
        <is>
          <t>Föryngringsavverkning</t>
        </is>
      </c>
      <c r="D420" s="1" t="n">
        <v>45974</v>
      </c>
      <c r="E420" s="1" t="n">
        <v>46322</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22422-2025</t>
        </is>
      </c>
      <c r="B421" t="inlineStr">
        <is>
          <t>avverkningsanmälan</t>
        </is>
      </c>
      <c r="C421" t="inlineStr">
        <is>
          <t>Föryngringsavverkning</t>
        </is>
      </c>
      <c r="D421" s="1" t="n">
        <v>45786</v>
      </c>
      <c r="E421" s="1" t="n">
        <v>46322</v>
      </c>
      <c r="F421" t="inlineStr">
        <is>
          <t>JÖNKÖPINGS LÄN</t>
        </is>
      </c>
      <c r="G421" t="inlineStr">
        <is>
          <t>VETLANDA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56592-2025</t>
        </is>
      </c>
      <c r="B422" t="inlineStr">
        <is>
          <t>avverkningsanmälan</t>
        </is>
      </c>
      <c r="C422" t="inlineStr">
        <is>
          <t>Föryngringsavverkning</t>
        </is>
      </c>
      <c r="D422" s="1" t="n">
        <v>45975</v>
      </c>
      <c r="E422" s="1" t="n">
        <v>46322</v>
      </c>
      <c r="F422" t="inlineStr">
        <is>
          <t>JÖNKÖPINGS LÄN</t>
        </is>
      </c>
      <c r="G422" t="inlineStr">
        <is>
          <t>VETLANDA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50561-2024</t>
        </is>
      </c>
      <c r="B423" t="inlineStr">
        <is>
          <t>avverkningsanmälan</t>
        </is>
      </c>
      <c r="C423" t="inlineStr">
        <is>
          <t>Föryngringsavverkning</t>
        </is>
      </c>
      <c r="D423" s="1" t="n">
        <v>45601</v>
      </c>
      <c r="E423" s="1" t="n">
        <v>46322</v>
      </c>
      <c r="F423" t="inlineStr">
        <is>
          <t>JÖNKÖPINGS LÄN</t>
        </is>
      </c>
      <c r="G423" t="inlineStr">
        <is>
          <t>VETLANDA</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24058-2024</t>
        </is>
      </c>
      <c r="B424" t="inlineStr">
        <is>
          <t>avverkningsanmälan</t>
        </is>
      </c>
      <c r="C424" t="inlineStr">
        <is>
          <t>Föryngringsavverkning</t>
        </is>
      </c>
      <c r="D424" s="1" t="n">
        <v>45456</v>
      </c>
      <c r="E424" s="1" t="n">
        <v>46322</v>
      </c>
      <c r="F424" t="inlineStr">
        <is>
          <t>JÖNKÖPINGS LÄN</t>
        </is>
      </c>
      <c r="G424" t="inlineStr">
        <is>
          <t>VETLANDA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46133-2023</t>
        </is>
      </c>
      <c r="B425" t="inlineStr">
        <is>
          <t>avverkningsanmälan</t>
        </is>
      </c>
      <c r="C425" t="inlineStr">
        <is>
          <t>Föryngringsavverkning</t>
        </is>
      </c>
      <c r="D425" s="1" t="n">
        <v>45190</v>
      </c>
      <c r="E425" s="1" t="n">
        <v>46322</v>
      </c>
      <c r="F425" t="inlineStr">
        <is>
          <t>JÖNKÖPINGS LÄN</t>
        </is>
      </c>
      <c r="G425" t="inlineStr">
        <is>
          <t>VETLANDA</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9874-2025</t>
        </is>
      </c>
      <c r="B426" t="inlineStr">
        <is>
          <t>avverkningsanmälan</t>
        </is>
      </c>
      <c r="C426" t="inlineStr">
        <is>
          <t>Föryngringsavverkning</t>
        </is>
      </c>
      <c r="D426" s="1" t="n">
        <v>45716</v>
      </c>
      <c r="E426" s="1" t="n">
        <v>46322</v>
      </c>
      <c r="F426" t="inlineStr">
        <is>
          <t>JÖNKÖPINGS LÄN</t>
        </is>
      </c>
      <c r="G426" t="inlineStr">
        <is>
          <t>VETLANDA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28042-2026</t>
        </is>
      </c>
      <c r="B427" t="inlineStr">
        <is>
          <t>avverkningsanmälan</t>
        </is>
      </c>
      <c r="C427" t="inlineStr">
        <is>
          <t>Föryngringsavverkning</t>
        </is>
      </c>
      <c r="D427" s="1" t="n">
        <v>46195</v>
      </c>
      <c r="E427" s="1" t="n">
        <v>46322</v>
      </c>
      <c r="F427" t="inlineStr">
        <is>
          <t>JÖNKÖPINGS LÄN</t>
        </is>
      </c>
      <c r="G427" t="inlineStr">
        <is>
          <t>VETLANDA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4689-2022</t>
        </is>
      </c>
      <c r="B428" t="inlineStr">
        <is>
          <t>avverkningsanmälan</t>
        </is>
      </c>
      <c r="C428" t="inlineStr">
        <is>
          <t>Föryngringsavverkning</t>
        </is>
      </c>
      <c r="D428" s="1" t="n">
        <v>44592</v>
      </c>
      <c r="E428" s="1" t="n">
        <v>46322</v>
      </c>
      <c r="F428" t="inlineStr">
        <is>
          <t>JÖNKÖPINGS LÄN</t>
        </is>
      </c>
      <c r="G428" t="inlineStr">
        <is>
          <t>VETLANDA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22721-2024</t>
        </is>
      </c>
      <c r="B429" t="inlineStr">
        <is>
          <t>avverkningsanmälan</t>
        </is>
      </c>
      <c r="C429" t="inlineStr">
        <is>
          <t>Föryngringsavverkning</t>
        </is>
      </c>
      <c r="D429" s="1" t="n">
        <v>45448</v>
      </c>
      <c r="E429" s="1" t="n">
        <v>46322</v>
      </c>
      <c r="F429" t="inlineStr">
        <is>
          <t>JÖNKÖPINGS LÄN</t>
        </is>
      </c>
      <c r="G429" t="inlineStr">
        <is>
          <t>VETLANDA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39165-2023</t>
        </is>
      </c>
      <c r="B430" t="inlineStr">
        <is>
          <t>avverkningsanmälan</t>
        </is>
      </c>
      <c r="C430" t="inlineStr">
        <is>
          <t>Föryngringsavverkning</t>
        </is>
      </c>
      <c r="D430" s="1" t="n">
        <v>45166</v>
      </c>
      <c r="E430" s="1" t="n">
        <v>46322</v>
      </c>
      <c r="F430" t="inlineStr">
        <is>
          <t>JÖNKÖPINGS LÄN</t>
        </is>
      </c>
      <c r="G430" t="inlineStr">
        <is>
          <t>VETLANDA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45947-2024</t>
        </is>
      </c>
      <c r="B431" t="inlineStr">
        <is>
          <t>avverkningsanmälan</t>
        </is>
      </c>
      <c r="C431" t="inlineStr">
        <is>
          <t>Föryngringsavverkning</t>
        </is>
      </c>
      <c r="D431" s="1" t="n">
        <v>45580</v>
      </c>
      <c r="E431" s="1" t="n">
        <v>46322</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57642-2025</t>
        </is>
      </c>
      <c r="B432" t="inlineStr">
        <is>
          <t>avverkningsanmälan</t>
        </is>
      </c>
      <c r="C432" t="inlineStr">
        <is>
          <t>Föryngringsavverkning</t>
        </is>
      </c>
      <c r="D432" s="1" t="n">
        <v>45981</v>
      </c>
      <c r="E432" s="1" t="n">
        <v>46322</v>
      </c>
      <c r="F432" t="inlineStr">
        <is>
          <t>JÖNKÖPINGS LÄN</t>
        </is>
      </c>
      <c r="G432" t="inlineStr">
        <is>
          <t>VETLANDA</t>
        </is>
      </c>
      <c r="H432" t="inlineStr">
        <is>
          <t>Sveaskog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57690-2025</t>
        </is>
      </c>
      <c r="B433" t="inlineStr">
        <is>
          <t>avverkningsanmälan</t>
        </is>
      </c>
      <c r="C433" t="inlineStr">
        <is>
          <t>Föryngringsavverkning</t>
        </is>
      </c>
      <c r="D433" s="1" t="n">
        <v>45981</v>
      </c>
      <c r="E433" s="1" t="n">
        <v>46322</v>
      </c>
      <c r="F433" t="inlineStr">
        <is>
          <t>JÖNKÖPINGS LÄN</t>
        </is>
      </c>
      <c r="G433" t="inlineStr">
        <is>
          <t>VETLANDA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56403-2024</t>
        </is>
      </c>
      <c r="B434" t="inlineStr">
        <is>
          <t>avverkningsanmälan</t>
        </is>
      </c>
      <c r="C434" t="inlineStr">
        <is>
          <t>Föryngringsavverkning</t>
        </is>
      </c>
      <c r="D434" s="1" t="n">
        <v>45625</v>
      </c>
      <c r="E434" s="1" t="n">
        <v>46322</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9730-2024</t>
        </is>
      </c>
      <c r="B435" t="inlineStr">
        <is>
          <t>avverkningsanmälan</t>
        </is>
      </c>
      <c r="C435" t="inlineStr">
        <is>
          <t>Avverkning för annat ändamål</t>
        </is>
      </c>
      <c r="D435" s="1" t="n">
        <v>45362</v>
      </c>
      <c r="E435" s="1" t="n">
        <v>46322</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57822-2025</t>
        </is>
      </c>
      <c r="B436" t="inlineStr">
        <is>
          <t>avverkningsanmälan</t>
        </is>
      </c>
      <c r="C436" t="inlineStr">
        <is>
          <t>Föryngringsavverkning</t>
        </is>
      </c>
      <c r="D436" s="1" t="n">
        <v>45981</v>
      </c>
      <c r="E436" s="1" t="n">
        <v>46322</v>
      </c>
      <c r="F436" t="inlineStr">
        <is>
          <t>JÖNKÖPINGS LÄN</t>
        </is>
      </c>
      <c r="G436" t="inlineStr">
        <is>
          <t>VETLANDA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58000-2025</t>
        </is>
      </c>
      <c r="B437" t="inlineStr">
        <is>
          <t>avverkningsanmälan</t>
        </is>
      </c>
      <c r="C437" t="inlineStr">
        <is>
          <t>Föryngringsavverkning</t>
        </is>
      </c>
      <c r="D437" s="1" t="n">
        <v>45982</v>
      </c>
      <c r="E437" s="1" t="n">
        <v>46322</v>
      </c>
      <c r="F437" t="inlineStr">
        <is>
          <t>JÖNKÖPINGS LÄN</t>
        </is>
      </c>
      <c r="G437" t="inlineStr">
        <is>
          <t>VETLANDA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23581-2025</t>
        </is>
      </c>
      <c r="B438" t="inlineStr">
        <is>
          <t>avverkningsanmälan</t>
        </is>
      </c>
      <c r="C438" t="inlineStr">
        <is>
          <t>Föryngringsavverkning</t>
        </is>
      </c>
      <c r="D438" s="1" t="n">
        <v>45792</v>
      </c>
      <c r="E438" s="1" t="n">
        <v>46322</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57930-2025</t>
        </is>
      </c>
      <c r="B439" t="inlineStr">
        <is>
          <t>avverkningsanmälan</t>
        </is>
      </c>
      <c r="C439" t="inlineStr">
        <is>
          <t>Föryngringsavverkning</t>
        </is>
      </c>
      <c r="D439" s="1" t="n">
        <v>45981</v>
      </c>
      <c r="E439" s="1" t="n">
        <v>46322</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28248-2026</t>
        </is>
      </c>
      <c r="B440" t="inlineStr">
        <is>
          <t>avverkningsanmälan</t>
        </is>
      </c>
      <c r="C440" t="inlineStr">
        <is>
          <t>Föryngringsavverkning</t>
        </is>
      </c>
      <c r="D440" s="1" t="n">
        <v>46196</v>
      </c>
      <c r="E440" s="1" t="n">
        <v>46322</v>
      </c>
      <c r="F440" t="inlineStr">
        <is>
          <t>JÖNKÖPINGS LÄN</t>
        </is>
      </c>
      <c r="G440" t="inlineStr">
        <is>
          <t>VETLANDA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8613-2023</t>
        </is>
      </c>
      <c r="B441" t="inlineStr">
        <is>
          <t>avverkningsanmälan</t>
        </is>
      </c>
      <c r="C441" t="inlineStr">
        <is>
          <t>Föryngringsavverkning</t>
        </is>
      </c>
      <c r="D441" s="1" t="n">
        <v>44977</v>
      </c>
      <c r="E441" s="1" t="n">
        <v>46322</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38373-2024</t>
        </is>
      </c>
      <c r="B442" t="inlineStr">
        <is>
          <t>avverkningsanmälan</t>
        </is>
      </c>
      <c r="C442" t="inlineStr">
        <is>
          <t>Föryngringsavverkning</t>
        </is>
      </c>
      <c r="D442" s="1" t="n">
        <v>45545</v>
      </c>
      <c r="E442" s="1" t="n">
        <v>46322</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29031-2023</t>
        </is>
      </c>
      <c r="B443" t="inlineStr">
        <is>
          <t>avverkningsanmälan</t>
        </is>
      </c>
      <c r="C443" t="inlineStr">
        <is>
          <t>Föryngringsavverkning</t>
        </is>
      </c>
      <c r="D443" s="1" t="n">
        <v>45104</v>
      </c>
      <c r="E443" s="1" t="n">
        <v>46322</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61283-2024</t>
        </is>
      </c>
      <c r="B444" t="inlineStr">
        <is>
          <t>avverkningsanmälan</t>
        </is>
      </c>
      <c r="C444" t="inlineStr">
        <is>
          <t>Föryngringsavverkning</t>
        </is>
      </c>
      <c r="D444" s="1" t="n">
        <v>45645</v>
      </c>
      <c r="E444" s="1" t="n">
        <v>46322</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34061-2023</t>
        </is>
      </c>
      <c r="B445" t="inlineStr">
        <is>
          <t>avverkningsanmälan</t>
        </is>
      </c>
      <c r="C445" t="inlineStr">
        <is>
          <t>Föryngringsavverkning</t>
        </is>
      </c>
      <c r="D445" s="1" t="n">
        <v>45135</v>
      </c>
      <c r="E445" s="1" t="n">
        <v>46322</v>
      </c>
      <c r="F445" t="inlineStr">
        <is>
          <t>JÖNKÖPINGS LÄN</t>
        </is>
      </c>
      <c r="G445" t="inlineStr">
        <is>
          <t>VETLANDA</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34068-2023</t>
        </is>
      </c>
      <c r="B446" t="inlineStr">
        <is>
          <t>avverkningsanmälan</t>
        </is>
      </c>
      <c r="C446" t="inlineStr">
        <is>
          <t>Föryngringsavverkning</t>
        </is>
      </c>
      <c r="D446" s="1" t="n">
        <v>45135</v>
      </c>
      <c r="E446" s="1" t="n">
        <v>46322</v>
      </c>
      <c r="F446" t="inlineStr">
        <is>
          <t>JÖNKÖPINGS LÄN</t>
        </is>
      </c>
      <c r="G446" t="inlineStr">
        <is>
          <t>VETLANDA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34072-2023</t>
        </is>
      </c>
      <c r="B447" t="inlineStr">
        <is>
          <t>avverkningsanmälan</t>
        </is>
      </c>
      <c r="C447" t="inlineStr">
        <is>
          <t>Föryngringsavverkning</t>
        </is>
      </c>
      <c r="D447" s="1" t="n">
        <v>45135</v>
      </c>
      <c r="E447" s="1" t="n">
        <v>46322</v>
      </c>
      <c r="F447" t="inlineStr">
        <is>
          <t>JÖNKÖPINGS LÄN</t>
        </is>
      </c>
      <c r="G447" t="inlineStr">
        <is>
          <t>VETLANDA</t>
        </is>
      </c>
      <c r="I447" t="n">
        <v>10.2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12665-2022</t>
        </is>
      </c>
      <c r="B448" t="inlineStr">
        <is>
          <t>avverkningsanmälan</t>
        </is>
      </c>
      <c r="C448" t="inlineStr">
        <is>
          <t>Föryngringsavverkning</t>
        </is>
      </c>
      <c r="D448" s="1" t="n">
        <v>44641</v>
      </c>
      <c r="E448" s="1" t="n">
        <v>46322</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18799-2023</t>
        </is>
      </c>
      <c r="B449" t="inlineStr">
        <is>
          <t>avverkningsanmälan</t>
        </is>
      </c>
      <c r="C449" t="inlineStr">
        <is>
          <t>Avverkning för annat ändamål</t>
        </is>
      </c>
      <c r="D449" s="1" t="n">
        <v>45042</v>
      </c>
      <c r="E449" s="1" t="n">
        <v>46322</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4905-2024</t>
        </is>
      </c>
      <c r="B450" t="inlineStr">
        <is>
          <t>avverkningsanmälan</t>
        </is>
      </c>
      <c r="C450" t="inlineStr">
        <is>
          <t>Föryngringsavverkning</t>
        </is>
      </c>
      <c r="D450" s="1" t="n">
        <v>45329</v>
      </c>
      <c r="E450" s="1" t="n">
        <v>46322</v>
      </c>
      <c r="F450" t="inlineStr">
        <is>
          <t>JÖNKÖPINGS LÄN</t>
        </is>
      </c>
      <c r="G450" t="inlineStr">
        <is>
          <t>VETLANDA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4944-2024</t>
        </is>
      </c>
      <c r="B451" t="inlineStr">
        <is>
          <t>avverkningsanmälan</t>
        </is>
      </c>
      <c r="C451" t="inlineStr">
        <is>
          <t>Föryngringsavverkning</t>
        </is>
      </c>
      <c r="D451" s="1" t="n">
        <v>45329</v>
      </c>
      <c r="E451" s="1" t="n">
        <v>46322</v>
      </c>
      <c r="F451" t="inlineStr">
        <is>
          <t>JÖNKÖPINGS LÄN</t>
        </is>
      </c>
      <c r="G451" t="inlineStr">
        <is>
          <t>VETLANDA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59762-2025</t>
        </is>
      </c>
      <c r="B452" t="inlineStr">
        <is>
          <t>avverkningsanmälan</t>
        </is>
      </c>
      <c r="C452" t="inlineStr">
        <is>
          <t>Föryngringsavverkning</t>
        </is>
      </c>
      <c r="D452" s="1" t="n">
        <v>45992</v>
      </c>
      <c r="E452" s="1" t="n">
        <v>46322</v>
      </c>
      <c r="F452" t="inlineStr">
        <is>
          <t>JÖNKÖPINGS LÄN</t>
        </is>
      </c>
      <c r="G452" t="inlineStr">
        <is>
          <t>VETLANDA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14439-2025</t>
        </is>
      </c>
      <c r="B453" t="inlineStr">
        <is>
          <t>avverkningsanmälan</t>
        </is>
      </c>
      <c r="C453" t="inlineStr">
        <is>
          <t>Föryngringsavverkning</t>
        </is>
      </c>
      <c r="D453" s="1" t="n">
        <v>45741</v>
      </c>
      <c r="E453" s="1" t="n">
        <v>46322</v>
      </c>
      <c r="F453" t="inlineStr">
        <is>
          <t>JÖNKÖPINGS LÄN</t>
        </is>
      </c>
      <c r="G453" t="inlineStr">
        <is>
          <t>VETLANDA</t>
        </is>
      </c>
      <c r="H453" t="inlineStr">
        <is>
          <t>Sveaskog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31621-2023</t>
        </is>
      </c>
      <c r="B454" t="inlineStr">
        <is>
          <t>avverkningsanmälan</t>
        </is>
      </c>
      <c r="C454" t="inlineStr">
        <is>
          <t>Föryngringsavverkning</t>
        </is>
      </c>
      <c r="D454" s="1" t="n">
        <v>45117</v>
      </c>
      <c r="E454" s="1" t="n">
        <v>46322</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14440-2025</t>
        </is>
      </c>
      <c r="B455" t="inlineStr">
        <is>
          <t>avverkningsanmälan</t>
        </is>
      </c>
      <c r="C455" t="inlineStr">
        <is>
          <t>Föryngringsavverkning</t>
        </is>
      </c>
      <c r="D455" s="1" t="n">
        <v>45741</v>
      </c>
      <c r="E455" s="1" t="n">
        <v>46322</v>
      </c>
      <c r="F455" t="inlineStr">
        <is>
          <t>JÖNKÖPINGS LÄN</t>
        </is>
      </c>
      <c r="G455" t="inlineStr">
        <is>
          <t>VETLANDA</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12049-2025</t>
        </is>
      </c>
      <c r="B456" t="inlineStr">
        <is>
          <t>avverkningsanmälan</t>
        </is>
      </c>
      <c r="C456" t="inlineStr">
        <is>
          <t>Föryngringsavverkning</t>
        </is>
      </c>
      <c r="D456" s="1" t="n">
        <v>45728</v>
      </c>
      <c r="E456" s="1" t="n">
        <v>46322</v>
      </c>
      <c r="F456" t="inlineStr">
        <is>
          <t>JÖNKÖPINGS LÄN</t>
        </is>
      </c>
      <c r="G456" t="inlineStr">
        <is>
          <t>VETLANDA</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60395-2023</t>
        </is>
      </c>
      <c r="B457" t="inlineStr">
        <is>
          <t>avverkningsanmälan</t>
        </is>
      </c>
      <c r="C457" t="inlineStr">
        <is>
          <t>Avverkning för annat ändamål</t>
        </is>
      </c>
      <c r="D457" s="1" t="n">
        <v>45259</v>
      </c>
      <c r="E457" s="1" t="n">
        <v>46322</v>
      </c>
      <c r="F457" t="inlineStr">
        <is>
          <t>JÖNKÖPINGS LÄN</t>
        </is>
      </c>
      <c r="G457" t="inlineStr">
        <is>
          <t>VETLANDA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52776-2024</t>
        </is>
      </c>
      <c r="B458" t="inlineStr">
        <is>
          <t>avverkningsanmälan</t>
        </is>
      </c>
      <c r="C458" t="inlineStr">
        <is>
          <t>Föryngringsavverkning</t>
        </is>
      </c>
      <c r="D458" s="1" t="n">
        <v>45610</v>
      </c>
      <c r="E458" s="1" t="n">
        <v>46322</v>
      </c>
      <c r="F458" t="inlineStr">
        <is>
          <t>JÖNKÖPINGS LÄN</t>
        </is>
      </c>
      <c r="G458" t="inlineStr">
        <is>
          <t>VETLANDA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14923-2025</t>
        </is>
      </c>
      <c r="B459" t="inlineStr">
        <is>
          <t>avverkningsanmälan</t>
        </is>
      </c>
      <c r="C459" t="inlineStr">
        <is>
          <t>Föryngringsavverkning</t>
        </is>
      </c>
      <c r="D459" s="1" t="n">
        <v>45743</v>
      </c>
      <c r="E459" s="1" t="n">
        <v>46322</v>
      </c>
      <c r="F459" t="inlineStr">
        <is>
          <t>JÖNKÖPINGS LÄN</t>
        </is>
      </c>
      <c r="G459" t="inlineStr">
        <is>
          <t>VETLANDA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13789-2025</t>
        </is>
      </c>
      <c r="B460" t="inlineStr">
        <is>
          <t>avverkningsanmälan</t>
        </is>
      </c>
      <c r="C460" t="inlineStr">
        <is>
          <t>Föryngringsavverkning</t>
        </is>
      </c>
      <c r="D460" s="1" t="n">
        <v>45737</v>
      </c>
      <c r="E460" s="1" t="n">
        <v>46322</v>
      </c>
      <c r="F460" t="inlineStr">
        <is>
          <t>JÖNKÖPINGS LÄN</t>
        </is>
      </c>
      <c r="G460" t="inlineStr">
        <is>
          <t>VETLANDA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13812-2025</t>
        </is>
      </c>
      <c r="B461" t="inlineStr">
        <is>
          <t>avverkningsanmälan</t>
        </is>
      </c>
      <c r="C461" t="inlineStr">
        <is>
          <t>Föryngringsavverkning</t>
        </is>
      </c>
      <c r="D461" s="1" t="n">
        <v>45737</v>
      </c>
      <c r="E461" s="1" t="n">
        <v>46322</v>
      </c>
      <c r="F461" t="inlineStr">
        <is>
          <t>JÖNKÖPINGS LÄN</t>
        </is>
      </c>
      <c r="G461" t="inlineStr">
        <is>
          <t>VETLANDA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14749-2025</t>
        </is>
      </c>
      <c r="B462" t="inlineStr">
        <is>
          <t>avverkningsanmälan</t>
        </is>
      </c>
      <c r="C462" t="inlineStr">
        <is>
          <t>Föryngringsavverkning</t>
        </is>
      </c>
      <c r="D462" s="1" t="n">
        <v>45742</v>
      </c>
      <c r="E462" s="1" t="n">
        <v>46322</v>
      </c>
      <c r="F462" t="inlineStr">
        <is>
          <t>JÖNKÖPINGS LÄN</t>
        </is>
      </c>
      <c r="G462" t="inlineStr">
        <is>
          <t>VETLANDA</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55747-2022</t>
        </is>
      </c>
      <c r="B463" t="inlineStr">
        <is>
          <t>avverkningsanmälan</t>
        </is>
      </c>
      <c r="C463" t="inlineStr">
        <is>
          <t>Föryngringsavverkning</t>
        </is>
      </c>
      <c r="D463" s="1" t="n">
        <v>44888</v>
      </c>
      <c r="E463" s="1" t="n">
        <v>46322</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28130-2023</t>
        </is>
      </c>
      <c r="B464" t="inlineStr">
        <is>
          <t>avverkningsanmälan</t>
        </is>
      </c>
      <c r="C464" t="inlineStr">
        <is>
          <t>Föryngringsavverkning</t>
        </is>
      </c>
      <c r="D464" s="1" t="n">
        <v>45099</v>
      </c>
      <c r="E464" s="1" t="n">
        <v>46322</v>
      </c>
      <c r="F464" t="inlineStr">
        <is>
          <t>JÖNKÖPINGS LÄN</t>
        </is>
      </c>
      <c r="G464" t="inlineStr">
        <is>
          <t>VETLANDA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12742-2025</t>
        </is>
      </c>
      <c r="B465" t="inlineStr">
        <is>
          <t>avverkningsanmälan</t>
        </is>
      </c>
      <c r="C465" t="inlineStr">
        <is>
          <t>Föryngringsavverkning</t>
        </is>
      </c>
      <c r="D465" s="1" t="n">
        <v>45733</v>
      </c>
      <c r="E465" s="1" t="n">
        <v>46322</v>
      </c>
      <c r="F465" t="inlineStr">
        <is>
          <t>JÖNKÖPINGS LÄN</t>
        </is>
      </c>
      <c r="G465" t="inlineStr">
        <is>
          <t>VETLANDA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12748-2025</t>
        </is>
      </c>
      <c r="B466" t="inlineStr">
        <is>
          <t>avverkningsanmälan</t>
        </is>
      </c>
      <c r="C466" t="inlineStr">
        <is>
          <t>Föryngringsavverkning</t>
        </is>
      </c>
      <c r="D466" s="1" t="n">
        <v>45733</v>
      </c>
      <c r="E466" s="1" t="n">
        <v>46322</v>
      </c>
      <c r="F466" t="inlineStr">
        <is>
          <t>JÖNKÖPINGS LÄN</t>
        </is>
      </c>
      <c r="G466" t="inlineStr">
        <is>
          <t>VETLANDA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52948-2024</t>
        </is>
      </c>
      <c r="B467" t="inlineStr">
        <is>
          <t>avverkningsanmälan</t>
        </is>
      </c>
      <c r="C467" t="inlineStr">
        <is>
          <t>Föryngringsavverkning</t>
        </is>
      </c>
      <c r="D467" s="1" t="n">
        <v>45610</v>
      </c>
      <c r="E467" s="1" t="n">
        <v>46322</v>
      </c>
      <c r="F467" t="inlineStr">
        <is>
          <t>JÖNKÖPINGS LÄN</t>
        </is>
      </c>
      <c r="G467" t="inlineStr">
        <is>
          <t>VETLANDA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14639-2025</t>
        </is>
      </c>
      <c r="B468" t="inlineStr">
        <is>
          <t>avverkningsanmälan</t>
        </is>
      </c>
      <c r="C468" t="inlineStr">
        <is>
          <t>Föryngringsavverkning</t>
        </is>
      </c>
      <c r="D468" s="1" t="n">
        <v>45742</v>
      </c>
      <c r="E468" s="1" t="n">
        <v>46322</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25580-2025</t>
        </is>
      </c>
      <c r="B469" t="inlineStr">
        <is>
          <t>avverkningsanmälan</t>
        </is>
      </c>
      <c r="C469" t="inlineStr">
        <is>
          <t>Föryngringsavverkning</t>
        </is>
      </c>
      <c r="D469" s="1" t="n">
        <v>45803</v>
      </c>
      <c r="E469" s="1" t="n">
        <v>46322</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14941-2025</t>
        </is>
      </c>
      <c r="B470" t="inlineStr">
        <is>
          <t>avverkningsanmälan</t>
        </is>
      </c>
      <c r="C470" t="inlineStr">
        <is>
          <t>Föryngringsavverkning</t>
        </is>
      </c>
      <c r="D470" s="1" t="n">
        <v>45743</v>
      </c>
      <c r="E470" s="1" t="n">
        <v>46322</v>
      </c>
      <c r="F470" t="inlineStr">
        <is>
          <t>JÖNKÖPINGS LÄN</t>
        </is>
      </c>
      <c r="G470" t="inlineStr">
        <is>
          <t>VETLANDA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21645-2024</t>
        </is>
      </c>
      <c r="B471" t="inlineStr">
        <is>
          <t>avverkningsanmälan</t>
        </is>
      </c>
      <c r="C471" t="inlineStr">
        <is>
          <t>Föryngringsavverkning</t>
        </is>
      </c>
      <c r="D471" s="1" t="n">
        <v>45442</v>
      </c>
      <c r="E471" s="1" t="n">
        <v>46322</v>
      </c>
      <c r="F471" t="inlineStr">
        <is>
          <t>JÖNKÖPINGS LÄN</t>
        </is>
      </c>
      <c r="G471" t="inlineStr">
        <is>
          <t>VETLANDA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8220-2025</t>
        </is>
      </c>
      <c r="B472" t="inlineStr">
        <is>
          <t>avverkningsanmälan</t>
        </is>
      </c>
      <c r="C472" t="inlineStr">
        <is>
          <t>Föryngringsavverkning</t>
        </is>
      </c>
      <c r="D472" s="1" t="n">
        <v>45708</v>
      </c>
      <c r="E472" s="1" t="n">
        <v>46322</v>
      </c>
      <c r="F472" t="inlineStr">
        <is>
          <t>JÖNKÖPINGS LÄN</t>
        </is>
      </c>
      <c r="G472" t="inlineStr">
        <is>
          <t>VETLANDA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9779-2023</t>
        </is>
      </c>
      <c r="B473" t="inlineStr">
        <is>
          <t>avverkningsanmälan</t>
        </is>
      </c>
      <c r="C473" t="inlineStr">
        <is>
          <t>Föryngringsavverkning</t>
        </is>
      </c>
      <c r="D473" s="1" t="n">
        <v>44984</v>
      </c>
      <c r="E473" s="1" t="n">
        <v>46322</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54052-2024</t>
        </is>
      </c>
      <c r="B474" t="inlineStr">
        <is>
          <t>avverkningsanmälan</t>
        </is>
      </c>
      <c r="C474" t="inlineStr">
        <is>
          <t>Föryngringsavverkning</t>
        </is>
      </c>
      <c r="D474" s="1" t="n">
        <v>45616</v>
      </c>
      <c r="E474" s="1" t="n">
        <v>46322</v>
      </c>
      <c r="F474" t="inlineStr">
        <is>
          <t>JÖNKÖPINGS LÄN</t>
        </is>
      </c>
      <c r="G474" t="inlineStr">
        <is>
          <t>VETLANDA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9484-2024</t>
        </is>
      </c>
      <c r="B475" t="inlineStr">
        <is>
          <t>avverkningsanmälan</t>
        </is>
      </c>
      <c r="C475" t="inlineStr">
        <is>
          <t>Föryngringsavverkning</t>
        </is>
      </c>
      <c r="D475" s="1" t="n">
        <v>45359</v>
      </c>
      <c r="E475" s="1" t="n">
        <v>46322</v>
      </c>
      <c r="F475" t="inlineStr">
        <is>
          <t>JÖNKÖPINGS LÄN</t>
        </is>
      </c>
      <c r="G475" t="inlineStr">
        <is>
          <t>VETLANDA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60997-2025</t>
        </is>
      </c>
      <c r="B476" t="inlineStr">
        <is>
          <t>avverkningsanmälan</t>
        </is>
      </c>
      <c r="C476" t="inlineStr">
        <is>
          <t>Föryngringsavverkning</t>
        </is>
      </c>
      <c r="D476" s="1" t="n">
        <v>45999</v>
      </c>
      <c r="E476" s="1" t="n">
        <v>46322</v>
      </c>
      <c r="F476" t="inlineStr">
        <is>
          <t>JÖNKÖPINGS LÄN</t>
        </is>
      </c>
      <c r="G476" t="inlineStr">
        <is>
          <t>VETLANDA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53101-2023</t>
        </is>
      </c>
      <c r="B477" t="inlineStr">
        <is>
          <t>avverkningsanmälan</t>
        </is>
      </c>
      <c r="C477" t="inlineStr">
        <is>
          <t>Föryngringsavverkning</t>
        </is>
      </c>
      <c r="D477" s="1" t="n">
        <v>45228</v>
      </c>
      <c r="E477" s="1" t="n">
        <v>46322</v>
      </c>
      <c r="F477" t="inlineStr">
        <is>
          <t>JÖNKÖPINGS LÄN</t>
        </is>
      </c>
      <c r="G477" t="inlineStr">
        <is>
          <t>VETLANDA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60958-2025</t>
        </is>
      </c>
      <c r="B478" t="inlineStr">
        <is>
          <t>avverkningsanmälan</t>
        </is>
      </c>
      <c r="C478" t="inlineStr">
        <is>
          <t>Föryngringsavverkning</t>
        </is>
      </c>
      <c r="D478" s="1" t="n">
        <v>45999</v>
      </c>
      <c r="E478" s="1" t="n">
        <v>46322</v>
      </c>
      <c r="F478" t="inlineStr">
        <is>
          <t>JÖNKÖPINGS LÄN</t>
        </is>
      </c>
      <c r="G478" t="inlineStr">
        <is>
          <t>VETLANDA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21458-2024</t>
        </is>
      </c>
      <c r="B479" t="inlineStr">
        <is>
          <t>avverkningsanmälan</t>
        </is>
      </c>
      <c r="C479" t="inlineStr">
        <is>
          <t>Föryngringsavverkning</t>
        </is>
      </c>
      <c r="D479" s="1" t="n">
        <v>45441</v>
      </c>
      <c r="E479" s="1" t="n">
        <v>46322</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63407-2023</t>
        </is>
      </c>
      <c r="B480" t="inlineStr">
        <is>
          <t>avverkningsanmälan</t>
        </is>
      </c>
      <c r="C480" t="inlineStr">
        <is>
          <t>Föryngringsavverkning</t>
        </is>
      </c>
      <c r="D480" s="1" t="n">
        <v>45274</v>
      </c>
      <c r="E480" s="1" t="n">
        <v>46322</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26067-2025</t>
        </is>
      </c>
      <c r="B481" t="inlineStr">
        <is>
          <t>avverkningsanmälan</t>
        </is>
      </c>
      <c r="C481" t="inlineStr">
        <is>
          <t>Föryngringsavverkning</t>
        </is>
      </c>
      <c r="D481" s="1" t="n">
        <v>45805</v>
      </c>
      <c r="E481" s="1" t="n">
        <v>46322</v>
      </c>
      <c r="F481" t="inlineStr">
        <is>
          <t>JÖNKÖPINGS LÄN</t>
        </is>
      </c>
      <c r="G481" t="inlineStr">
        <is>
          <t>VETLANDA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19444-2022</t>
        </is>
      </c>
      <c r="B482" t="inlineStr">
        <is>
          <t>avverkningsanmälan</t>
        </is>
      </c>
      <c r="C482" t="inlineStr">
        <is>
          <t>Föryngringsavverkning</t>
        </is>
      </c>
      <c r="D482" s="1" t="n">
        <v>44693</v>
      </c>
      <c r="E482" s="1" t="n">
        <v>46322</v>
      </c>
      <c r="F482" t="inlineStr">
        <is>
          <t>JÖNKÖPINGS LÄN</t>
        </is>
      </c>
      <c r="G482" t="inlineStr">
        <is>
          <t>VETLANDA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49258-2024</t>
        </is>
      </c>
      <c r="B483" t="inlineStr">
        <is>
          <t>avverkningsanmälan</t>
        </is>
      </c>
      <c r="C483" t="inlineStr">
        <is>
          <t>Föryngringsavverkning</t>
        </is>
      </c>
      <c r="D483" s="1" t="n">
        <v>45595</v>
      </c>
      <c r="E483" s="1" t="n">
        <v>46322</v>
      </c>
      <c r="F483" t="inlineStr">
        <is>
          <t>JÖNKÖPINGS LÄN</t>
        </is>
      </c>
      <c r="G483" t="inlineStr">
        <is>
          <t>VETLANDA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5121-2024</t>
        </is>
      </c>
      <c r="B484" t="inlineStr">
        <is>
          <t>avverkningsanmälan</t>
        </is>
      </c>
      <c r="C484" t="inlineStr">
        <is>
          <t>Föryngringsavverkning</t>
        </is>
      </c>
      <c r="D484" s="1" t="n">
        <v>45330</v>
      </c>
      <c r="E484" s="1" t="n">
        <v>46322</v>
      </c>
      <c r="F484" t="inlineStr">
        <is>
          <t>JÖNKÖPINGS LÄN</t>
        </is>
      </c>
      <c r="G484" t="inlineStr">
        <is>
          <t>VETLANDA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20046-2024</t>
        </is>
      </c>
      <c r="B485" t="inlineStr">
        <is>
          <t>avverkningsanmälan</t>
        </is>
      </c>
      <c r="C485" t="inlineStr">
        <is>
          <t>Föryngringsavverkning</t>
        </is>
      </c>
      <c r="D485" s="1" t="n">
        <v>45434</v>
      </c>
      <c r="E485" s="1" t="n">
        <v>46322</v>
      </c>
      <c r="F485" t="inlineStr">
        <is>
          <t>JÖNKÖPINGS LÄN</t>
        </is>
      </c>
      <c r="G485" t="inlineStr">
        <is>
          <t>VETLANDA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47370-2023</t>
        </is>
      </c>
      <c r="B486" t="inlineStr">
        <is>
          <t>avverkningsanmälan</t>
        </is>
      </c>
      <c r="C486" t="inlineStr">
        <is>
          <t>Föryngringsavverkning</t>
        </is>
      </c>
      <c r="D486" s="1" t="n">
        <v>45202</v>
      </c>
      <c r="E486" s="1" t="n">
        <v>46322</v>
      </c>
      <c r="F486" t="inlineStr">
        <is>
          <t>JÖNKÖPINGS LÄN</t>
        </is>
      </c>
      <c r="G486" t="inlineStr">
        <is>
          <t>VETLANDA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7186-2025</t>
        </is>
      </c>
      <c r="B487" t="inlineStr">
        <is>
          <t>avverkningsanmälan</t>
        </is>
      </c>
      <c r="C487" t="inlineStr">
        <is>
          <t>Föryngringsavverkning</t>
        </is>
      </c>
      <c r="D487" s="1" t="n">
        <v>45702</v>
      </c>
      <c r="E487" s="1" t="n">
        <v>46322</v>
      </c>
      <c r="F487" t="inlineStr">
        <is>
          <t>JÖNKÖPINGS LÄN</t>
        </is>
      </c>
      <c r="G487" t="inlineStr">
        <is>
          <t>VETLANDA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27050-2025</t>
        </is>
      </c>
      <c r="B488" t="inlineStr">
        <is>
          <t>avverkningsanmälan</t>
        </is>
      </c>
      <c r="C488" t="inlineStr">
        <is>
          <t>Föryngringsavverkning</t>
        </is>
      </c>
      <c r="D488" s="1" t="n">
        <v>45811</v>
      </c>
      <c r="E488" s="1" t="n">
        <v>46322</v>
      </c>
      <c r="F488" t="inlineStr">
        <is>
          <t>JÖNKÖPINGS LÄN</t>
        </is>
      </c>
      <c r="G488" t="inlineStr">
        <is>
          <t>VETLANDA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11962-2024</t>
        </is>
      </c>
      <c r="B489" t="inlineStr">
        <is>
          <t>avverkningsanmälan</t>
        </is>
      </c>
      <c r="C489" t="inlineStr">
        <is>
          <t>Föryngringsavverkning</t>
        </is>
      </c>
      <c r="D489" s="1" t="n">
        <v>45376</v>
      </c>
      <c r="E489" s="1" t="n">
        <v>46322</v>
      </c>
      <c r="F489" t="inlineStr">
        <is>
          <t>JÖNKÖPINGS LÄN</t>
        </is>
      </c>
      <c r="G489" t="inlineStr">
        <is>
          <t>VETLANDA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61483-2025</t>
        </is>
      </c>
      <c r="B490" t="inlineStr">
        <is>
          <t>avverkningsanmälan</t>
        </is>
      </c>
      <c r="C490" t="inlineStr">
        <is>
          <t>Föryngringsavverkning</t>
        </is>
      </c>
      <c r="D490" s="1" t="n">
        <v>46001</v>
      </c>
      <c r="E490" s="1" t="n">
        <v>46322</v>
      </c>
      <c r="F490" t="inlineStr">
        <is>
          <t>JÖNKÖPINGS LÄN</t>
        </is>
      </c>
      <c r="G490" t="inlineStr">
        <is>
          <t>VETLANDA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9851-2024</t>
        </is>
      </c>
      <c r="B491" t="inlineStr">
        <is>
          <t>avverkningsanmälan</t>
        </is>
      </c>
      <c r="C491" t="inlineStr">
        <is>
          <t>Föryngringsavverkning</t>
        </is>
      </c>
      <c r="D491" s="1" t="n">
        <v>45363</v>
      </c>
      <c r="E491" s="1" t="n">
        <v>46322</v>
      </c>
      <c r="F491" t="inlineStr">
        <is>
          <t>JÖNKÖPINGS LÄN</t>
        </is>
      </c>
      <c r="G491" t="inlineStr">
        <is>
          <t>VETLANDA</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61449-2022</t>
        </is>
      </c>
      <c r="B492" t="inlineStr">
        <is>
          <t>avverkningsanmälan</t>
        </is>
      </c>
      <c r="C492" t="inlineStr">
        <is>
          <t>Föryngringsavverkning</t>
        </is>
      </c>
      <c r="D492" s="1" t="n">
        <v>44916</v>
      </c>
      <c r="E492" s="1" t="n">
        <v>46322</v>
      </c>
      <c r="F492" t="inlineStr">
        <is>
          <t>JÖNKÖPINGS LÄN</t>
        </is>
      </c>
      <c r="G492" t="inlineStr">
        <is>
          <t>VETLANDA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53786-2024</t>
        </is>
      </c>
      <c r="B493" t="inlineStr">
        <is>
          <t>avverkningsanmälan</t>
        </is>
      </c>
      <c r="C493" t="inlineStr">
        <is>
          <t>Avverkning för annat ändamål</t>
        </is>
      </c>
      <c r="D493" s="1" t="n">
        <v>45615</v>
      </c>
      <c r="E493" s="1" t="n">
        <v>46322</v>
      </c>
      <c r="F493" t="inlineStr">
        <is>
          <t>JÖNKÖPINGS LÄN</t>
        </is>
      </c>
      <c r="G493" t="inlineStr">
        <is>
          <t>VETLANDA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31412-2024</t>
        </is>
      </c>
      <c r="B494" t="inlineStr">
        <is>
          <t>avverkningsanmälan</t>
        </is>
      </c>
      <c r="C494" t="inlineStr">
        <is>
          <t>Avverkning för att bevara och utveckla /försöksver</t>
        </is>
      </c>
      <c r="D494" s="1" t="n">
        <v>45505</v>
      </c>
      <c r="E494" s="1" t="n">
        <v>46322</v>
      </c>
      <c r="F494" t="inlineStr">
        <is>
          <t>JÖNKÖPINGS LÄN</t>
        </is>
      </c>
      <c r="G494" t="inlineStr">
        <is>
          <t>VETLANDA</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69263-2021</t>
        </is>
      </c>
      <c r="B495" t="inlineStr">
        <is>
          <t>avverkningsanmälan</t>
        </is>
      </c>
      <c r="C495" t="inlineStr">
        <is>
          <t>Föryngringsavverkning</t>
        </is>
      </c>
      <c r="D495" s="1" t="n">
        <v>44531</v>
      </c>
      <c r="E495" s="1" t="n">
        <v>46322</v>
      </c>
      <c r="F495" t="inlineStr">
        <is>
          <t>JÖNKÖPINGS LÄN</t>
        </is>
      </c>
      <c r="G495" t="inlineStr">
        <is>
          <t>VETLANDA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28567-2026</t>
        </is>
      </c>
      <c r="B496" t="inlineStr">
        <is>
          <t>avverkningsanmälan</t>
        </is>
      </c>
      <c r="C496" t="inlineStr">
        <is>
          <t>Föryngringsavverkning</t>
        </is>
      </c>
      <c r="D496" s="1" t="n">
        <v>46197</v>
      </c>
      <c r="E496" s="1" t="n">
        <v>46322</v>
      </c>
      <c r="F496" t="inlineStr">
        <is>
          <t>JÖNKÖPINGS LÄN</t>
        </is>
      </c>
      <c r="G496" t="inlineStr">
        <is>
          <t>VETLANDA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62027-2025</t>
        </is>
      </c>
      <c r="B497" t="inlineStr">
        <is>
          <t>avverkningsanmälan</t>
        </is>
      </c>
      <c r="C497" t="inlineStr">
        <is>
          <t>Föryngringsavverkning</t>
        </is>
      </c>
      <c r="D497" s="1" t="n">
        <v>46003</v>
      </c>
      <c r="E497" s="1" t="n">
        <v>46322</v>
      </c>
      <c r="F497" t="inlineStr">
        <is>
          <t>JÖNKÖPINGS LÄN</t>
        </is>
      </c>
      <c r="G497" t="inlineStr">
        <is>
          <t>VETLANDA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10423-2024</t>
        </is>
      </c>
      <c r="B498" t="inlineStr">
        <is>
          <t>avverkningsanmälan</t>
        </is>
      </c>
      <c r="C498" t="inlineStr">
        <is>
          <t>Föryngringsavverkning</t>
        </is>
      </c>
      <c r="D498" s="1" t="n">
        <v>45365</v>
      </c>
      <c r="E498" s="1" t="n">
        <v>46322</v>
      </c>
      <c r="F498" t="inlineStr">
        <is>
          <t>JÖNKÖPINGS LÄN</t>
        </is>
      </c>
      <c r="G498" t="inlineStr">
        <is>
          <t>VETLANDA</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17210-2024</t>
        </is>
      </c>
      <c r="B499" t="inlineStr">
        <is>
          <t>avverkningsanmälan</t>
        </is>
      </c>
      <c r="C499" t="inlineStr">
        <is>
          <t>Avverkning för att bevara och utveckla /försöksver</t>
        </is>
      </c>
      <c r="D499" s="1" t="n">
        <v>45414</v>
      </c>
      <c r="E499" s="1" t="n">
        <v>46322</v>
      </c>
      <c r="F499" t="inlineStr">
        <is>
          <t>JÖNKÖPINGS LÄN</t>
        </is>
      </c>
      <c r="G499" t="inlineStr">
        <is>
          <t>VETLANDA</t>
        </is>
      </c>
      <c r="H499" t="inlineStr">
        <is>
          <t>Sveaskog</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27322-2025</t>
        </is>
      </c>
      <c r="B500" t="inlineStr">
        <is>
          <t>avverkningsanmälan</t>
        </is>
      </c>
      <c r="C500" t="inlineStr">
        <is>
          <t>Föryngringsavverkning</t>
        </is>
      </c>
      <c r="D500" s="1" t="n">
        <v>45812</v>
      </c>
      <c r="E500" s="1" t="n">
        <v>46322</v>
      </c>
      <c r="F500" t="inlineStr">
        <is>
          <t>JÖNKÖPINGS LÄN</t>
        </is>
      </c>
      <c r="G500" t="inlineStr">
        <is>
          <t>VETLANDA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27790-2025</t>
        </is>
      </c>
      <c r="B501" t="inlineStr">
        <is>
          <t>avverkningsanmälan</t>
        </is>
      </c>
      <c r="C501" t="inlineStr">
        <is>
          <t>Föryngringsavverkning</t>
        </is>
      </c>
      <c r="D501" s="1" t="n">
        <v>45816</v>
      </c>
      <c r="E501" s="1" t="n">
        <v>46322</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29753-2023</t>
        </is>
      </c>
      <c r="B502" t="inlineStr">
        <is>
          <t>avverkningsanmälan</t>
        </is>
      </c>
      <c r="C502" t="inlineStr">
        <is>
          <t>Föryngringsavverkning</t>
        </is>
      </c>
      <c r="D502" s="1" t="n">
        <v>45107</v>
      </c>
      <c r="E502" s="1" t="n">
        <v>46322</v>
      </c>
      <c r="F502" t="inlineStr">
        <is>
          <t>JÖNKÖPINGS LÄN</t>
        </is>
      </c>
      <c r="G502" t="inlineStr">
        <is>
          <t>VETLANDA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58570-2023</t>
        </is>
      </c>
      <c r="B503" t="inlineStr">
        <is>
          <t>avverkningsanmälan</t>
        </is>
      </c>
      <c r="C503" t="inlineStr">
        <is>
          <t>Föryngringsavverkning</t>
        </is>
      </c>
      <c r="D503" s="1" t="n">
        <v>45251</v>
      </c>
      <c r="E503" s="1" t="n">
        <v>46322</v>
      </c>
      <c r="F503" t="inlineStr">
        <is>
          <t>JÖNKÖPINGS LÄN</t>
        </is>
      </c>
      <c r="G503" t="inlineStr">
        <is>
          <t>VETLANDA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28590-2025</t>
        </is>
      </c>
      <c r="B504" t="inlineStr">
        <is>
          <t>avverkningsanmälan</t>
        </is>
      </c>
      <c r="C504" t="inlineStr">
        <is>
          <t>Föryngringsavverkning</t>
        </is>
      </c>
      <c r="D504" s="1" t="n">
        <v>45819</v>
      </c>
      <c r="E504" s="1" t="n">
        <v>46322</v>
      </c>
      <c r="F504" t="inlineStr">
        <is>
          <t>JÖNKÖPINGS LÄN</t>
        </is>
      </c>
      <c r="G504" t="inlineStr">
        <is>
          <t>VETLANDA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63028-2025</t>
        </is>
      </c>
      <c r="B505" t="inlineStr">
        <is>
          <t>avverkningsanmälan</t>
        </is>
      </c>
      <c r="C505" t="inlineStr">
        <is>
          <t>Föryngringsavverkning</t>
        </is>
      </c>
      <c r="D505" s="1" t="n">
        <v>46009</v>
      </c>
      <c r="E505" s="1" t="n">
        <v>46322</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28631-2025</t>
        </is>
      </c>
      <c r="B506" t="inlineStr">
        <is>
          <t>avverkningsanmälan</t>
        </is>
      </c>
      <c r="C506" t="inlineStr">
        <is>
          <t>Föryngringsavverkning</t>
        </is>
      </c>
      <c r="D506" s="1" t="n">
        <v>45819</v>
      </c>
      <c r="E506" s="1" t="n">
        <v>46322</v>
      </c>
      <c r="F506" t="inlineStr">
        <is>
          <t>JÖNKÖPINGS LÄN</t>
        </is>
      </c>
      <c r="G506" t="inlineStr">
        <is>
          <t>VETLANDA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28634-2025</t>
        </is>
      </c>
      <c r="B507" t="inlineStr">
        <is>
          <t>avverkningsanmälan</t>
        </is>
      </c>
      <c r="C507" t="inlineStr">
        <is>
          <t>Föryngringsavverkning</t>
        </is>
      </c>
      <c r="D507" s="1" t="n">
        <v>45819</v>
      </c>
      <c r="E507" s="1" t="n">
        <v>46322</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3425-2024</t>
        </is>
      </c>
      <c r="B508" t="inlineStr">
        <is>
          <t>avverkningsanmälan</t>
        </is>
      </c>
      <c r="C508" t="inlineStr">
        <is>
          <t>Föryngringsavverkning</t>
        </is>
      </c>
      <c r="D508" s="1" t="n">
        <v>45319</v>
      </c>
      <c r="E508" s="1" t="n">
        <v>46322</v>
      </c>
      <c r="F508" t="inlineStr">
        <is>
          <t>JÖNKÖPINGS LÄN</t>
        </is>
      </c>
      <c r="G508" t="inlineStr">
        <is>
          <t>VETLANDA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28534-2025</t>
        </is>
      </c>
      <c r="B509" t="inlineStr">
        <is>
          <t>avverkningsanmälan</t>
        </is>
      </c>
      <c r="C509" t="inlineStr">
        <is>
          <t>Föryngringsavverkning</t>
        </is>
      </c>
      <c r="D509" s="1" t="n">
        <v>45819</v>
      </c>
      <c r="E509" s="1" t="n">
        <v>46322</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62582-2025</t>
        </is>
      </c>
      <c r="B510" t="inlineStr">
        <is>
          <t>avverkningsanmälan</t>
        </is>
      </c>
      <c r="C510" t="inlineStr">
        <is>
          <t>Föryngringsavverkning</t>
        </is>
      </c>
      <c r="D510" s="1" t="n">
        <v>46007</v>
      </c>
      <c r="E510" s="1" t="n">
        <v>46322</v>
      </c>
      <c r="F510" t="inlineStr">
        <is>
          <t>JÖNKÖPINGS LÄN</t>
        </is>
      </c>
      <c r="G510" t="inlineStr">
        <is>
          <t>VETLANDA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62584-2025</t>
        </is>
      </c>
      <c r="B511" t="inlineStr">
        <is>
          <t>avverkningsanmälan</t>
        </is>
      </c>
      <c r="C511" t="inlineStr">
        <is>
          <t>Föryngringsavverkning</t>
        </is>
      </c>
      <c r="D511" s="1" t="n">
        <v>46007</v>
      </c>
      <c r="E511" s="1" t="n">
        <v>46322</v>
      </c>
      <c r="F511" t="inlineStr">
        <is>
          <t>JÖNKÖPINGS LÄN</t>
        </is>
      </c>
      <c r="G511" t="inlineStr">
        <is>
          <t>VETLANDA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62885-2025</t>
        </is>
      </c>
      <c r="B512" t="inlineStr">
        <is>
          <t>avverkningsanmälan</t>
        </is>
      </c>
      <c r="C512" t="inlineStr">
        <is>
          <t>Föryngringsavverkning</t>
        </is>
      </c>
      <c r="D512" s="1" t="n">
        <v>46009</v>
      </c>
      <c r="E512" s="1" t="n">
        <v>46322</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65277-2021</t>
        </is>
      </c>
      <c r="B513" t="inlineStr">
        <is>
          <t>avverkningsanmälan</t>
        </is>
      </c>
      <c r="C513" t="inlineStr">
        <is>
          <t>Föryngringsavverkning</t>
        </is>
      </c>
      <c r="D513" s="1" t="n">
        <v>44515</v>
      </c>
      <c r="E513" s="1" t="n">
        <v>46322</v>
      </c>
      <c r="F513" t="inlineStr">
        <is>
          <t>JÖNKÖPINGS LÄN</t>
        </is>
      </c>
      <c r="G513" t="inlineStr">
        <is>
          <t>VETLANDA</t>
        </is>
      </c>
      <c r="H513" t="inlineStr">
        <is>
          <t>Kyrkan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9777-2023</t>
        </is>
      </c>
      <c r="B514" t="inlineStr">
        <is>
          <t>avverkningsanmälan</t>
        </is>
      </c>
      <c r="C514" t="inlineStr">
        <is>
          <t>Föryngringsavverkning</t>
        </is>
      </c>
      <c r="D514" s="1" t="n">
        <v>44984</v>
      </c>
      <c r="E514" s="1" t="n">
        <v>46322</v>
      </c>
      <c r="F514" t="inlineStr">
        <is>
          <t>JÖNKÖPINGS LÄN</t>
        </is>
      </c>
      <c r="G514" t="inlineStr">
        <is>
          <t>VETLANDA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54254-2023</t>
        </is>
      </c>
      <c r="B515" t="inlineStr">
        <is>
          <t>avverkningsanmälan</t>
        </is>
      </c>
      <c r="C515" t="inlineStr">
        <is>
          <t>Avverkning för annat ändamål</t>
        </is>
      </c>
      <c r="D515" s="1" t="n">
        <v>45232</v>
      </c>
      <c r="E515" s="1" t="n">
        <v>46322</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60964-2025</t>
        </is>
      </c>
      <c r="B516" t="inlineStr">
        <is>
          <t>avverkningsanmälan</t>
        </is>
      </c>
      <c r="C516" t="inlineStr">
        <is>
          <t>Föryngringsavverkning</t>
        </is>
      </c>
      <c r="D516" s="1" t="n">
        <v>45999</v>
      </c>
      <c r="E516" s="1" t="n">
        <v>46322</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25216-2024</t>
        </is>
      </c>
      <c r="B517" t="inlineStr">
        <is>
          <t>avverkningsanmälan</t>
        </is>
      </c>
      <c r="C517" t="inlineStr">
        <is>
          <t>Föryngringsavverkning</t>
        </is>
      </c>
      <c r="D517" s="1" t="n">
        <v>45462</v>
      </c>
      <c r="E517" s="1" t="n">
        <v>46322</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9667-2023</t>
        </is>
      </c>
      <c r="B518" t="inlineStr">
        <is>
          <t>avverkningsanmälan</t>
        </is>
      </c>
      <c r="C518" t="inlineStr">
        <is>
          <t>Föryngringsavverkning</t>
        </is>
      </c>
      <c r="D518" s="1" t="n">
        <v>44984</v>
      </c>
      <c r="E518" s="1" t="n">
        <v>46322</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9677-2023</t>
        </is>
      </c>
      <c r="B519" t="inlineStr">
        <is>
          <t>avverkningsanmälan</t>
        </is>
      </c>
      <c r="C519" t="inlineStr">
        <is>
          <t>Föryngringsavverkning</t>
        </is>
      </c>
      <c r="D519" s="1" t="n">
        <v>44984</v>
      </c>
      <c r="E519" s="1" t="n">
        <v>46322</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9037-2024</t>
        </is>
      </c>
      <c r="B520" t="inlineStr">
        <is>
          <t>avverkningsanmälan</t>
        </is>
      </c>
      <c r="C520" t="inlineStr">
        <is>
          <t>Avverkning för annat ändamål</t>
        </is>
      </c>
      <c r="D520" s="1" t="n">
        <v>45357</v>
      </c>
      <c r="E520" s="1" t="n">
        <v>46322</v>
      </c>
      <c r="F520" t="inlineStr">
        <is>
          <t>JÖNKÖPINGS LÄN</t>
        </is>
      </c>
      <c r="G520" t="inlineStr">
        <is>
          <t>VETLANDA</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19065-2023</t>
        </is>
      </c>
      <c r="B521" t="inlineStr">
        <is>
          <t>avverkningsanmälan</t>
        </is>
      </c>
      <c r="C521" t="inlineStr">
        <is>
          <t>Föryngringsavverkning</t>
        </is>
      </c>
      <c r="D521" s="1" t="n">
        <v>45048</v>
      </c>
      <c r="E521" s="1" t="n">
        <v>46322</v>
      </c>
      <c r="F521" t="inlineStr">
        <is>
          <t>JÖNKÖPINGS LÄN</t>
        </is>
      </c>
      <c r="G521" t="inlineStr">
        <is>
          <t>VETLANDA</t>
        </is>
      </c>
      <c r="I521" t="n">
        <v>15.7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63143-2025</t>
        </is>
      </c>
      <c r="B522" t="inlineStr">
        <is>
          <t>avverkningsanmälan</t>
        </is>
      </c>
      <c r="C522" t="inlineStr">
        <is>
          <t>Föryngringsavverkning</t>
        </is>
      </c>
      <c r="D522" s="1" t="n">
        <v>46010</v>
      </c>
      <c r="E522" s="1" t="n">
        <v>46322</v>
      </c>
      <c r="F522" t="inlineStr">
        <is>
          <t>JÖNKÖPINGS LÄN</t>
        </is>
      </c>
      <c r="G522" t="inlineStr">
        <is>
          <t>VETLANDA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46309-2024</t>
        </is>
      </c>
      <c r="B523" t="inlineStr">
        <is>
          <t>avverkningsanmälan</t>
        </is>
      </c>
      <c r="C523" t="inlineStr">
        <is>
          <t>Föryngringsavverkning</t>
        </is>
      </c>
      <c r="D523" s="1" t="n">
        <v>45581</v>
      </c>
      <c r="E523" s="1" t="n">
        <v>46322</v>
      </c>
      <c r="F523" t="inlineStr">
        <is>
          <t>JÖNKÖPINGS LÄN</t>
        </is>
      </c>
      <c r="G523" t="inlineStr">
        <is>
          <t>VETLANDA</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2919-2023</t>
        </is>
      </c>
      <c r="B524" t="inlineStr">
        <is>
          <t>avverkningsanmälan</t>
        </is>
      </c>
      <c r="C524" t="inlineStr">
        <is>
          <t>Föryngringsavverkning</t>
        </is>
      </c>
      <c r="D524" s="1" t="n">
        <v>44945</v>
      </c>
      <c r="E524" s="1" t="n">
        <v>46322</v>
      </c>
      <c r="F524" t="inlineStr">
        <is>
          <t>JÖNKÖPINGS LÄN</t>
        </is>
      </c>
      <c r="G524" t="inlineStr">
        <is>
          <t>VETLANDA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63136-2025</t>
        </is>
      </c>
      <c r="B525" t="inlineStr">
        <is>
          <t>avverkningsanmälan</t>
        </is>
      </c>
      <c r="C525" t="inlineStr">
        <is>
          <t>Föryngringsavverkning</t>
        </is>
      </c>
      <c r="D525" s="1" t="n">
        <v>46010</v>
      </c>
      <c r="E525" s="1" t="n">
        <v>46322</v>
      </c>
      <c r="F525" t="inlineStr">
        <is>
          <t>JÖNKÖPINGS LÄN</t>
        </is>
      </c>
      <c r="G525" t="inlineStr">
        <is>
          <t>VETLANDA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13618-2023</t>
        </is>
      </c>
      <c r="B526" t="inlineStr">
        <is>
          <t>avverkningsanmälan</t>
        </is>
      </c>
      <c r="C526" t="inlineStr">
        <is>
          <t>Föryngringsavverkning</t>
        </is>
      </c>
      <c r="D526" s="1" t="n">
        <v>45006</v>
      </c>
      <c r="E526" s="1" t="n">
        <v>46322</v>
      </c>
      <c r="F526" t="inlineStr">
        <is>
          <t>JÖNKÖPINGS LÄN</t>
        </is>
      </c>
      <c r="G526" t="inlineStr">
        <is>
          <t>VETLANDA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22075-2023</t>
        </is>
      </c>
      <c r="B527" t="inlineStr">
        <is>
          <t>avverkningsanmälan</t>
        </is>
      </c>
      <c r="C527" t="inlineStr">
        <is>
          <t>Föryngringsavverkning</t>
        </is>
      </c>
      <c r="D527" s="1" t="n">
        <v>45069</v>
      </c>
      <c r="E527" s="1" t="n">
        <v>46322</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30415-2025</t>
        </is>
      </c>
      <c r="B528" t="inlineStr">
        <is>
          <t>avverkningsanmälan</t>
        </is>
      </c>
      <c r="C528" t="inlineStr">
        <is>
          <t>Föryngringsavverkning</t>
        </is>
      </c>
      <c r="D528" s="1" t="n">
        <v>45827</v>
      </c>
      <c r="E528" s="1" t="n">
        <v>46322</v>
      </c>
      <c r="F528" t="inlineStr">
        <is>
          <t>JÖNKÖPINGS LÄN</t>
        </is>
      </c>
      <c r="G528" t="inlineStr">
        <is>
          <t>VETLANDA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29480-2024</t>
        </is>
      </c>
      <c r="B529" t="inlineStr">
        <is>
          <t>avverkningsanmälan</t>
        </is>
      </c>
      <c r="C529" t="inlineStr">
        <is>
          <t>Föryngringsavverkning</t>
        </is>
      </c>
      <c r="D529" s="1" t="n">
        <v>45484</v>
      </c>
      <c r="E529" s="1" t="n">
        <v>46322</v>
      </c>
      <c r="F529" t="inlineStr">
        <is>
          <t>JÖNKÖPINGS LÄN</t>
        </is>
      </c>
      <c r="G529" t="inlineStr">
        <is>
          <t>VETLANDA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15049-2023</t>
        </is>
      </c>
      <c r="B530" t="inlineStr">
        <is>
          <t>avverkningsanmälan</t>
        </is>
      </c>
      <c r="C530" t="inlineStr">
        <is>
          <t>Föryngringsavverkning</t>
        </is>
      </c>
      <c r="D530" s="1" t="n">
        <v>45015</v>
      </c>
      <c r="E530" s="1" t="n">
        <v>46322</v>
      </c>
      <c r="F530" t="inlineStr">
        <is>
          <t>JÖNKÖPINGS LÄN</t>
        </is>
      </c>
      <c r="G530" t="inlineStr">
        <is>
          <t>VETLANDA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2310-2024</t>
        </is>
      </c>
      <c r="B531" t="inlineStr">
        <is>
          <t>avverkningsanmälan</t>
        </is>
      </c>
      <c r="C531" t="inlineStr">
        <is>
          <t>Föryngringsavverkning</t>
        </is>
      </c>
      <c r="D531" s="1" t="n">
        <v>45310</v>
      </c>
      <c r="E531" s="1" t="n">
        <v>46322</v>
      </c>
      <c r="F531" t="inlineStr">
        <is>
          <t>JÖNKÖPINGS LÄN</t>
        </is>
      </c>
      <c r="G531" t="inlineStr">
        <is>
          <t>VETLANDA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8222-2024</t>
        </is>
      </c>
      <c r="B532" t="inlineStr">
        <is>
          <t>avverkningsanmälan</t>
        </is>
      </c>
      <c r="C532" t="inlineStr">
        <is>
          <t>Föryngringsavverkning</t>
        </is>
      </c>
      <c r="D532" s="1" t="n">
        <v>45351</v>
      </c>
      <c r="E532" s="1" t="n">
        <v>46322</v>
      </c>
      <c r="F532" t="inlineStr">
        <is>
          <t>JÖNKÖPINGS LÄN</t>
        </is>
      </c>
      <c r="G532" t="inlineStr">
        <is>
          <t>VETLANDA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13786-2025</t>
        </is>
      </c>
      <c r="B533" t="inlineStr">
        <is>
          <t>avverkningsanmälan</t>
        </is>
      </c>
      <c r="C533" t="inlineStr">
        <is>
          <t>Föryngringsavverkning</t>
        </is>
      </c>
      <c r="D533" s="1" t="n">
        <v>45737</v>
      </c>
      <c r="E533" s="1" t="n">
        <v>46322</v>
      </c>
      <c r="F533" t="inlineStr">
        <is>
          <t>JÖNKÖPINGS LÄN</t>
        </is>
      </c>
      <c r="G533" t="inlineStr">
        <is>
          <t>VETLANDA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40459-2023</t>
        </is>
      </c>
      <c r="B534" t="inlineStr">
        <is>
          <t>avverkningsanmälan</t>
        </is>
      </c>
      <c r="C534" t="inlineStr">
        <is>
          <t>Föryngringsavverkning</t>
        </is>
      </c>
      <c r="D534" s="1" t="n">
        <v>45170</v>
      </c>
      <c r="E534" s="1" t="n">
        <v>46322</v>
      </c>
      <c r="F534" t="inlineStr">
        <is>
          <t>JÖNKÖPINGS LÄN</t>
        </is>
      </c>
      <c r="G534" t="inlineStr">
        <is>
          <t>VETLANDA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32422-2025</t>
        </is>
      </c>
      <c r="B535" t="inlineStr">
        <is>
          <t>avverkningsanmälan</t>
        </is>
      </c>
      <c r="C535" t="inlineStr">
        <is>
          <t>Föryngringsavverkning</t>
        </is>
      </c>
      <c r="D535" s="1" t="n">
        <v>45838</v>
      </c>
      <c r="E535" s="1" t="n">
        <v>46322</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32804-2025</t>
        </is>
      </c>
      <c r="B536" t="inlineStr">
        <is>
          <t>avverkningsanmälan</t>
        </is>
      </c>
      <c r="C536" t="inlineStr">
        <is>
          <t>Föryngringsavverkning</t>
        </is>
      </c>
      <c r="D536" s="1" t="n">
        <v>45839</v>
      </c>
      <c r="E536" s="1" t="n">
        <v>46322</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27430-2023</t>
        </is>
      </c>
      <c r="B537" t="inlineStr">
        <is>
          <t>avverkningsanmälan</t>
        </is>
      </c>
      <c r="C537" t="inlineStr">
        <is>
          <t>Föryngringsavverkning</t>
        </is>
      </c>
      <c r="D537" s="1" t="n">
        <v>45097</v>
      </c>
      <c r="E537" s="1" t="n">
        <v>46322</v>
      </c>
      <c r="F537" t="inlineStr">
        <is>
          <t>JÖNKÖPINGS LÄN</t>
        </is>
      </c>
      <c r="G537" t="inlineStr">
        <is>
          <t>VETLANDA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33257-2025</t>
        </is>
      </c>
      <c r="B538" t="inlineStr">
        <is>
          <t>avverkningsanmälan</t>
        </is>
      </c>
      <c r="C538" t="inlineStr">
        <is>
          <t>Föryngringsavverkning</t>
        </is>
      </c>
      <c r="D538" s="1" t="n">
        <v>45840</v>
      </c>
      <c r="E538" s="1" t="n">
        <v>46322</v>
      </c>
      <c r="F538" t="inlineStr">
        <is>
          <t>JÖNKÖPINGS LÄN</t>
        </is>
      </c>
      <c r="G538" t="inlineStr">
        <is>
          <t>VETLANDA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4061-2025</t>
        </is>
      </c>
      <c r="B539" t="inlineStr">
        <is>
          <t>avverkningsanmälan</t>
        </is>
      </c>
      <c r="C539" t="inlineStr">
        <is>
          <t>Föryngringsavverkning</t>
        </is>
      </c>
      <c r="D539" s="1" t="n">
        <v>45684</v>
      </c>
      <c r="E539" s="1" t="n">
        <v>46322</v>
      </c>
      <c r="F539" t="inlineStr">
        <is>
          <t>JÖNKÖPINGS LÄN</t>
        </is>
      </c>
      <c r="G539" t="inlineStr">
        <is>
          <t>VETLANDA</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33268-2025</t>
        </is>
      </c>
      <c r="B540" t="inlineStr">
        <is>
          <t>avverkningsanmälan</t>
        </is>
      </c>
      <c r="C540" t="inlineStr">
        <is>
          <t>Föryngringsavverkning</t>
        </is>
      </c>
      <c r="D540" s="1" t="n">
        <v>45840</v>
      </c>
      <c r="E540" s="1" t="n">
        <v>46322</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5143-2024</t>
        </is>
      </c>
      <c r="B541" t="inlineStr">
        <is>
          <t>avverkningsanmälan</t>
        </is>
      </c>
      <c r="C541" t="inlineStr">
        <is>
          <t>Föryngringsavverkning</t>
        </is>
      </c>
      <c r="D541" s="1" t="n">
        <v>45330</v>
      </c>
      <c r="E541" s="1" t="n">
        <v>46322</v>
      </c>
      <c r="F541" t="inlineStr">
        <is>
          <t>JÖNKÖPINGS LÄN</t>
        </is>
      </c>
      <c r="G541" t="inlineStr">
        <is>
          <t>VETLANDA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750-2026</t>
        </is>
      </c>
      <c r="B542" t="inlineStr">
        <is>
          <t>avverkningsanmälan</t>
        </is>
      </c>
      <c r="C542" t="inlineStr">
        <is>
          <t>Föryngringsavverkning</t>
        </is>
      </c>
      <c r="D542" s="1" t="n">
        <v>46029</v>
      </c>
      <c r="E542" s="1" t="n">
        <v>46322</v>
      </c>
      <c r="F542" t="inlineStr">
        <is>
          <t>JÖNKÖPINGS LÄN</t>
        </is>
      </c>
      <c r="G542" t="inlineStr">
        <is>
          <t>VETLANDA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3548-2023</t>
        </is>
      </c>
      <c r="B543" t="inlineStr">
        <is>
          <t>avverkningsanmälan</t>
        </is>
      </c>
      <c r="C543" t="inlineStr">
        <is>
          <t>Föryngringsavverkning</t>
        </is>
      </c>
      <c r="D543" s="1" t="n">
        <v>44946</v>
      </c>
      <c r="E543" s="1" t="n">
        <v>46322</v>
      </c>
      <c r="F543" t="inlineStr">
        <is>
          <t>JÖNKÖPINGS LÄN</t>
        </is>
      </c>
      <c r="G543" t="inlineStr">
        <is>
          <t>VETLANDA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34120-2025</t>
        </is>
      </c>
      <c r="B544" t="inlineStr">
        <is>
          <t>avverkningsanmälan</t>
        </is>
      </c>
      <c r="C544" t="inlineStr">
        <is>
          <t>Föryngringsavverkning</t>
        </is>
      </c>
      <c r="D544" s="1" t="n">
        <v>45845</v>
      </c>
      <c r="E544" s="1" t="n">
        <v>46322</v>
      </c>
      <c r="F544" t="inlineStr">
        <is>
          <t>JÖNKÖPINGS LÄN</t>
        </is>
      </c>
      <c r="G544" t="inlineStr">
        <is>
          <t>VETLANDA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12100-2025</t>
        </is>
      </c>
      <c r="B545" t="inlineStr">
        <is>
          <t>avverkningsanmälan</t>
        </is>
      </c>
      <c r="C545" t="inlineStr">
        <is>
          <t>Föryngringsavverkning</t>
        </is>
      </c>
      <c r="D545" s="1" t="n">
        <v>45729</v>
      </c>
      <c r="E545" s="1" t="n">
        <v>46322</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15830-2025</t>
        </is>
      </c>
      <c r="B546" t="inlineStr">
        <is>
          <t>avverkningsanmälan</t>
        </is>
      </c>
      <c r="C546" t="inlineStr">
        <is>
          <t>Avverkning för annat ändamål</t>
        </is>
      </c>
      <c r="D546" s="1" t="n">
        <v>45748</v>
      </c>
      <c r="E546" s="1" t="n">
        <v>46322</v>
      </c>
      <c r="F546" t="inlineStr">
        <is>
          <t>JÖNKÖPINGS LÄN</t>
        </is>
      </c>
      <c r="G546" t="inlineStr">
        <is>
          <t>VETLANDA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15492-2025</t>
        </is>
      </c>
      <c r="B547" t="inlineStr">
        <is>
          <t>avverkningsanmälan</t>
        </is>
      </c>
      <c r="C547" t="inlineStr">
        <is>
          <t>Föryngringsavverkning</t>
        </is>
      </c>
      <c r="D547" s="1" t="n">
        <v>45747</v>
      </c>
      <c r="E547" s="1" t="n">
        <v>46322</v>
      </c>
      <c r="F547" t="inlineStr">
        <is>
          <t>JÖNKÖPINGS LÄN</t>
        </is>
      </c>
      <c r="G547" t="inlineStr">
        <is>
          <t>VETLANDA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29810-2023</t>
        </is>
      </c>
      <c r="B548" t="inlineStr">
        <is>
          <t>avverkningsanmälan</t>
        </is>
      </c>
      <c r="C548" t="inlineStr">
        <is>
          <t>Föryngringsavverkning</t>
        </is>
      </c>
      <c r="D548" s="1" t="n">
        <v>45107</v>
      </c>
      <c r="E548" s="1" t="n">
        <v>46322</v>
      </c>
      <c r="F548" t="inlineStr">
        <is>
          <t>JÖNKÖPINGS LÄN</t>
        </is>
      </c>
      <c r="G548" t="inlineStr">
        <is>
          <t>VETLANDA</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56407-2024</t>
        </is>
      </c>
      <c r="B549" t="inlineStr">
        <is>
          <t>avverkningsanmälan</t>
        </is>
      </c>
      <c r="C549" t="inlineStr">
        <is>
          <t>Föryngringsavverkning</t>
        </is>
      </c>
      <c r="D549" s="1" t="n">
        <v>45625</v>
      </c>
      <c r="E549" s="1" t="n">
        <v>46322</v>
      </c>
      <c r="F549" t="inlineStr">
        <is>
          <t>JÖNKÖPINGS LÄN</t>
        </is>
      </c>
      <c r="G549" t="inlineStr">
        <is>
          <t>VETLANDA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9485-2025</t>
        </is>
      </c>
      <c r="B550" t="inlineStr">
        <is>
          <t>avverkningsanmälan</t>
        </is>
      </c>
      <c r="C550" t="inlineStr">
        <is>
          <t>Föryngringsavverkning</t>
        </is>
      </c>
      <c r="D550" s="1" t="n">
        <v>45715</v>
      </c>
      <c r="E550" s="1" t="n">
        <v>46322</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849-2026</t>
        </is>
      </c>
      <c r="B551" t="inlineStr">
        <is>
          <t>avverkningsanmälan</t>
        </is>
      </c>
      <c r="C551" t="inlineStr">
        <is>
          <t>Föryngringsavverkning</t>
        </is>
      </c>
      <c r="D551" s="1" t="n">
        <v>46030</v>
      </c>
      <c r="E551" s="1" t="n">
        <v>46322</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913-2026</t>
        </is>
      </c>
      <c r="B552" t="inlineStr">
        <is>
          <t>avverkningsanmälan</t>
        </is>
      </c>
      <c r="C552" t="inlineStr">
        <is>
          <t>Föryngringsavverkning</t>
        </is>
      </c>
      <c r="D552" s="1" t="n">
        <v>46030</v>
      </c>
      <c r="E552" s="1" t="n">
        <v>46322</v>
      </c>
      <c r="F552" t="inlineStr">
        <is>
          <t>JÖNKÖPINGS LÄN</t>
        </is>
      </c>
      <c r="G552" t="inlineStr">
        <is>
          <t>VETLANDA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9484-2025</t>
        </is>
      </c>
      <c r="B553" t="inlineStr">
        <is>
          <t>avverkningsanmälan</t>
        </is>
      </c>
      <c r="C553" t="inlineStr">
        <is>
          <t>Föryngringsavverkning</t>
        </is>
      </c>
      <c r="D553" s="1" t="n">
        <v>45715</v>
      </c>
      <c r="E553" s="1" t="n">
        <v>46322</v>
      </c>
      <c r="F553" t="inlineStr">
        <is>
          <t>JÖNKÖPINGS LÄN</t>
        </is>
      </c>
      <c r="G553" t="inlineStr">
        <is>
          <t>VETLANDA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43406-2022</t>
        </is>
      </c>
      <c r="B554" t="inlineStr">
        <is>
          <t>avverkningsanmälan</t>
        </is>
      </c>
      <c r="C554" t="inlineStr">
        <is>
          <t>Föryngringsavverkning</t>
        </is>
      </c>
      <c r="D554" s="1" t="n">
        <v>44834</v>
      </c>
      <c r="E554" s="1" t="n">
        <v>46322</v>
      </c>
      <c r="F554" t="inlineStr">
        <is>
          <t>JÖNKÖPINGS LÄN</t>
        </is>
      </c>
      <c r="G554" t="inlineStr">
        <is>
          <t>VETLANDA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28126-2023</t>
        </is>
      </c>
      <c r="B555" t="inlineStr">
        <is>
          <t>avverkningsanmälan</t>
        </is>
      </c>
      <c r="C555" t="inlineStr">
        <is>
          <t>Föryngringsavverkning</t>
        </is>
      </c>
      <c r="D555" s="1" t="n">
        <v>45099</v>
      </c>
      <c r="E555" s="1" t="n">
        <v>46322</v>
      </c>
      <c r="F555" t="inlineStr">
        <is>
          <t>JÖNKÖPINGS LÄN</t>
        </is>
      </c>
      <c r="G555" t="inlineStr">
        <is>
          <t>VETLANDA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34571-2025</t>
        </is>
      </c>
      <c r="B556" t="inlineStr">
        <is>
          <t>avverkningsanmälan</t>
        </is>
      </c>
      <c r="C556" t="inlineStr">
        <is>
          <t>Föryngringsavverkning</t>
        </is>
      </c>
      <c r="D556" s="1" t="n">
        <v>45847</v>
      </c>
      <c r="E556" s="1" t="n">
        <v>46322</v>
      </c>
      <c r="F556" t="inlineStr">
        <is>
          <t>JÖNKÖPINGS LÄN</t>
        </is>
      </c>
      <c r="G556" t="inlineStr">
        <is>
          <t>VETLANDA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2041-2026</t>
        </is>
      </c>
      <c r="B557" t="inlineStr">
        <is>
          <t>avverkningsanmälan</t>
        </is>
      </c>
      <c r="C557" t="inlineStr">
        <is>
          <t>Föryngringsavverkning</t>
        </is>
      </c>
      <c r="D557" s="1" t="n">
        <v>46031</v>
      </c>
      <c r="E557" s="1" t="n">
        <v>46322</v>
      </c>
      <c r="F557" t="inlineStr">
        <is>
          <t>JÖNKÖPINGS LÄN</t>
        </is>
      </c>
      <c r="G557" t="inlineStr">
        <is>
          <t>VETLANDA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29579-2026</t>
        </is>
      </c>
      <c r="B558" t="inlineStr">
        <is>
          <t>avverkningsanmälan</t>
        </is>
      </c>
      <c r="C558" t="inlineStr">
        <is>
          <t>Avverkning för att bevara och utveckla /försöksver</t>
        </is>
      </c>
      <c r="D558" s="1" t="n">
        <v>46204</v>
      </c>
      <c r="E558" s="1" t="n">
        <v>46322</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18588-2025</t>
        </is>
      </c>
      <c r="B559" t="inlineStr">
        <is>
          <t>avverkningsanmälan</t>
        </is>
      </c>
      <c r="C559" t="inlineStr">
        <is>
          <t>Föryngringsavverkning</t>
        </is>
      </c>
      <c r="D559" s="1" t="n">
        <v>45763</v>
      </c>
      <c r="E559" s="1" t="n">
        <v>46322</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8623-2024</t>
        </is>
      </c>
      <c r="B560" t="inlineStr">
        <is>
          <t>avverkningsanmälan</t>
        </is>
      </c>
      <c r="C560" t="inlineStr">
        <is>
          <t>Föryngringsavverkning</t>
        </is>
      </c>
      <c r="D560" s="1" t="n">
        <v>45352</v>
      </c>
      <c r="E560" s="1" t="n">
        <v>46322</v>
      </c>
      <c r="F560" t="inlineStr">
        <is>
          <t>JÖNKÖPINGS LÄN</t>
        </is>
      </c>
      <c r="G560" t="inlineStr">
        <is>
          <t>VETLANDA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35114-2025</t>
        </is>
      </c>
      <c r="B561" t="inlineStr">
        <is>
          <t>avverkningsanmälan</t>
        </is>
      </c>
      <c r="C561" t="inlineStr">
        <is>
          <t>Föryngringsavverkning</t>
        </is>
      </c>
      <c r="D561" s="1" t="n">
        <v>45852</v>
      </c>
      <c r="E561" s="1" t="n">
        <v>46322</v>
      </c>
      <c r="F561" t="inlineStr">
        <is>
          <t>JÖNKÖPINGS LÄN</t>
        </is>
      </c>
      <c r="G561" t="inlineStr">
        <is>
          <t>VETLANDA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1950-2025</t>
        </is>
      </c>
      <c r="B562" t="inlineStr">
        <is>
          <t>avverkningsanmälan</t>
        </is>
      </c>
      <c r="C562" t="inlineStr">
        <is>
          <t>Föryngringsavverkning</t>
        </is>
      </c>
      <c r="D562" s="1" t="n">
        <v>45672</v>
      </c>
      <c r="E562" s="1" t="n">
        <v>46322</v>
      </c>
      <c r="F562" t="inlineStr">
        <is>
          <t>JÖNKÖPINGS LÄN</t>
        </is>
      </c>
      <c r="G562" t="inlineStr">
        <is>
          <t>VETLANDA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38998-2023</t>
        </is>
      </c>
      <c r="B563" t="inlineStr">
        <is>
          <t>avverkningsanmälan</t>
        </is>
      </c>
      <c r="C563" t="inlineStr">
        <is>
          <t>Föryngringsavverkning</t>
        </is>
      </c>
      <c r="D563" s="1" t="n">
        <v>45163</v>
      </c>
      <c r="E563" s="1" t="n">
        <v>46322</v>
      </c>
      <c r="F563" t="inlineStr">
        <is>
          <t>JÖNKÖPINGS LÄN</t>
        </is>
      </c>
      <c r="G563" t="inlineStr">
        <is>
          <t>VETLANDA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43608-2022</t>
        </is>
      </c>
      <c r="B564" t="inlineStr">
        <is>
          <t>avverkningsanmälan</t>
        </is>
      </c>
      <c r="C564" t="inlineStr">
        <is>
          <t>Föryngringsavverkning</t>
        </is>
      </c>
      <c r="D564" s="1" t="n">
        <v>44837</v>
      </c>
      <c r="E564" s="1" t="n">
        <v>46322</v>
      </c>
      <c r="F564" t="inlineStr">
        <is>
          <t>JÖNKÖPINGS LÄN</t>
        </is>
      </c>
      <c r="G564" t="inlineStr">
        <is>
          <t>VETLANDA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72980-2021</t>
        </is>
      </c>
      <c r="B565" t="inlineStr">
        <is>
          <t>avverkningsanmälan</t>
        </is>
      </c>
      <c r="C565" t="inlineStr">
        <is>
          <t>Föryngringsavverkning</t>
        </is>
      </c>
      <c r="D565" s="1" t="n">
        <v>44549</v>
      </c>
      <c r="E565" s="1" t="n">
        <v>46322</v>
      </c>
      <c r="F565" t="inlineStr">
        <is>
          <t>JÖNKÖPINGS LÄN</t>
        </is>
      </c>
      <c r="G565" t="inlineStr">
        <is>
          <t>VETLANDA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3925-2024</t>
        </is>
      </c>
      <c r="B566" t="inlineStr">
        <is>
          <t>avverkningsanmälan</t>
        </is>
      </c>
      <c r="C566" t="inlineStr">
        <is>
          <t>Föryngringsavverkning</t>
        </is>
      </c>
      <c r="D566" s="1" t="n">
        <v>45322</v>
      </c>
      <c r="E566" s="1" t="n">
        <v>46322</v>
      </c>
      <c r="F566" t="inlineStr">
        <is>
          <t>JÖNKÖPINGS LÄN</t>
        </is>
      </c>
      <c r="G566" t="inlineStr">
        <is>
          <t>VETLANDA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13333-2023</t>
        </is>
      </c>
      <c r="B567" t="inlineStr">
        <is>
          <t>avverkningsanmälan</t>
        </is>
      </c>
      <c r="C567" t="inlineStr">
        <is>
          <t>Föryngringsavverkning</t>
        </is>
      </c>
      <c r="D567" s="1" t="n">
        <v>45005</v>
      </c>
      <c r="E567" s="1" t="n">
        <v>46322</v>
      </c>
      <c r="F567" t="inlineStr">
        <is>
          <t>JÖNKÖPINGS LÄN</t>
        </is>
      </c>
      <c r="G567" t="inlineStr">
        <is>
          <t>VETLANDA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89-2022</t>
        </is>
      </c>
      <c r="B568" t="inlineStr">
        <is>
          <t>avverkningsanmälan</t>
        </is>
      </c>
      <c r="C568" t="inlineStr">
        <is>
          <t>Föryngringsavverkning</t>
        </is>
      </c>
      <c r="D568" s="1" t="n">
        <v>44564</v>
      </c>
      <c r="E568" s="1" t="n">
        <v>46322</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8204-2024</t>
        </is>
      </c>
      <c r="B569" t="inlineStr">
        <is>
          <t>avverkningsanmälan</t>
        </is>
      </c>
      <c r="C569" t="inlineStr">
        <is>
          <t>Föryngringsavverkning</t>
        </is>
      </c>
      <c r="D569" s="1" t="n">
        <v>45351</v>
      </c>
      <c r="E569" s="1" t="n">
        <v>46322</v>
      </c>
      <c r="F569" t="inlineStr">
        <is>
          <t>JÖNKÖPINGS LÄN</t>
        </is>
      </c>
      <c r="G569" t="inlineStr">
        <is>
          <t>VETLANDA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36094-2025</t>
        </is>
      </c>
      <c r="B570" t="inlineStr">
        <is>
          <t>avverkningsanmälan</t>
        </is>
      </c>
      <c r="C570" t="inlineStr">
        <is>
          <t>Föryngringsavverkning</t>
        </is>
      </c>
      <c r="D570" s="1" t="n">
        <v>45866</v>
      </c>
      <c r="E570" s="1" t="n">
        <v>46322</v>
      </c>
      <c r="F570" t="inlineStr">
        <is>
          <t>JÖNKÖPINGS LÄN</t>
        </is>
      </c>
      <c r="G570" t="inlineStr">
        <is>
          <t>VETLANDA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65154-2023</t>
        </is>
      </c>
      <c r="B571" t="inlineStr">
        <is>
          <t>avverkningsanmälan</t>
        </is>
      </c>
      <c r="C571" t="inlineStr">
        <is>
          <t>Föryngringsavverkning</t>
        </is>
      </c>
      <c r="D571" s="1" t="n">
        <v>45288</v>
      </c>
      <c r="E571" s="1" t="n">
        <v>46322</v>
      </c>
      <c r="F571" t="inlineStr">
        <is>
          <t>JÖNKÖPINGS LÄN</t>
        </is>
      </c>
      <c r="G571" t="inlineStr">
        <is>
          <t>VETLANDA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12744-2025</t>
        </is>
      </c>
      <c r="B572" t="inlineStr">
        <is>
          <t>avverkningsanmälan</t>
        </is>
      </c>
      <c r="C572" t="inlineStr">
        <is>
          <t>Föryngringsavverkning</t>
        </is>
      </c>
      <c r="D572" s="1" t="n">
        <v>45733</v>
      </c>
      <c r="E572" s="1" t="n">
        <v>46322</v>
      </c>
      <c r="F572" t="inlineStr">
        <is>
          <t>JÖNKÖPINGS LÄN</t>
        </is>
      </c>
      <c r="G572" t="inlineStr">
        <is>
          <t>VETLANDA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31099-2023</t>
        </is>
      </c>
      <c r="B573" t="inlineStr">
        <is>
          <t>avverkningsanmälan</t>
        </is>
      </c>
      <c r="C573" t="inlineStr">
        <is>
          <t>Föryngringsavverkning</t>
        </is>
      </c>
      <c r="D573" s="1" t="n">
        <v>45113</v>
      </c>
      <c r="E573" s="1" t="n">
        <v>46322</v>
      </c>
      <c r="F573" t="inlineStr">
        <is>
          <t>JÖNKÖPINGS LÄN</t>
        </is>
      </c>
      <c r="G573" t="inlineStr">
        <is>
          <t>VETLANDA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16038-2025</t>
        </is>
      </c>
      <c r="B574" t="inlineStr">
        <is>
          <t>avverkningsanmälan</t>
        </is>
      </c>
      <c r="C574" t="inlineStr">
        <is>
          <t>Föryngringsavverkning</t>
        </is>
      </c>
      <c r="D574" s="1" t="n">
        <v>45748</v>
      </c>
      <c r="E574" s="1" t="n">
        <v>46322</v>
      </c>
      <c r="F574" t="inlineStr">
        <is>
          <t>JÖNKÖPINGS LÄN</t>
        </is>
      </c>
      <c r="G574" t="inlineStr">
        <is>
          <t>VETLANDA</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16039-2025</t>
        </is>
      </c>
      <c r="B575" t="inlineStr">
        <is>
          <t>avverkningsanmälan</t>
        </is>
      </c>
      <c r="C575" t="inlineStr">
        <is>
          <t>Föryngringsavverkning</t>
        </is>
      </c>
      <c r="D575" s="1" t="n">
        <v>45748</v>
      </c>
      <c r="E575" s="1" t="n">
        <v>46322</v>
      </c>
      <c r="F575" t="inlineStr">
        <is>
          <t>JÖNKÖPINGS LÄN</t>
        </is>
      </c>
      <c r="G575" t="inlineStr">
        <is>
          <t>VETLANDA</t>
        </is>
      </c>
      <c r="H575" t="inlineStr">
        <is>
          <t>Kyrkan</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4059-2026</t>
        </is>
      </c>
      <c r="B576" t="inlineStr">
        <is>
          <t>avverkningsanmälan</t>
        </is>
      </c>
      <c r="C576" t="inlineStr">
        <is>
          <t>Föryngringsavverkning</t>
        </is>
      </c>
      <c r="D576" s="1" t="n">
        <v>46044</v>
      </c>
      <c r="E576" s="1" t="n">
        <v>46322</v>
      </c>
      <c r="F576" t="inlineStr">
        <is>
          <t>JÖNKÖPINGS LÄN</t>
        </is>
      </c>
      <c r="G576" t="inlineStr">
        <is>
          <t>VETLANDA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4496-2026</t>
        </is>
      </c>
      <c r="B577" t="inlineStr">
        <is>
          <t>avverkningsanmälan</t>
        </is>
      </c>
      <c r="C577" t="inlineStr">
        <is>
          <t>Föryngringsavverkning</t>
        </is>
      </c>
      <c r="D577" s="1" t="n">
        <v>46045</v>
      </c>
      <c r="E577" s="1" t="n">
        <v>46322</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6377-2023</t>
        </is>
      </c>
      <c r="B578" t="inlineStr">
        <is>
          <t>avverkningsanmälan</t>
        </is>
      </c>
      <c r="C578" t="inlineStr">
        <is>
          <t>Föryngringsavverkning</t>
        </is>
      </c>
      <c r="D578" s="1" t="n">
        <v>44965</v>
      </c>
      <c r="E578" s="1" t="n">
        <v>46322</v>
      </c>
      <c r="F578" t="inlineStr">
        <is>
          <t>JÖNKÖPINGS LÄN</t>
        </is>
      </c>
      <c r="G578" t="inlineStr">
        <is>
          <t>VETLANDA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4643-2026</t>
        </is>
      </c>
      <c r="B579" t="inlineStr">
        <is>
          <t>avverkningsanmälan</t>
        </is>
      </c>
      <c r="C579" t="inlineStr">
        <is>
          <t>Föryngringsavverkning</t>
        </is>
      </c>
      <c r="D579" s="1" t="n">
        <v>46048</v>
      </c>
      <c r="E579" s="1" t="n">
        <v>46322</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4935-2026</t>
        </is>
      </c>
      <c r="B580" t="inlineStr">
        <is>
          <t>avverkningsanmälan</t>
        </is>
      </c>
      <c r="C580" t="inlineStr">
        <is>
          <t>Föryngringsavverkning</t>
        </is>
      </c>
      <c r="D580" s="1" t="n">
        <v>46048</v>
      </c>
      <c r="E580" s="1" t="n">
        <v>46322</v>
      </c>
      <c r="F580" t="inlineStr">
        <is>
          <t>JÖNKÖPINGS LÄN</t>
        </is>
      </c>
      <c r="G580" t="inlineStr">
        <is>
          <t>VETLANDA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4735-2026</t>
        </is>
      </c>
      <c r="B581" t="inlineStr">
        <is>
          <t>avverkningsanmälan</t>
        </is>
      </c>
      <c r="C581" t="inlineStr">
        <is>
          <t>Föryngringsavverkning</t>
        </is>
      </c>
      <c r="D581" s="1" t="n">
        <v>46048</v>
      </c>
      <c r="E581" s="1" t="n">
        <v>46322</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37143-2025</t>
        </is>
      </c>
      <c r="B582" t="inlineStr">
        <is>
          <t>avverkningsanmälan</t>
        </is>
      </c>
      <c r="C582" t="inlineStr">
        <is>
          <t>Föryngringsavverkning</t>
        </is>
      </c>
      <c r="D582" s="1" t="n">
        <v>45875</v>
      </c>
      <c r="E582" s="1" t="n">
        <v>46322</v>
      </c>
      <c r="F582" t="inlineStr">
        <is>
          <t>JÖNKÖPINGS LÄN</t>
        </is>
      </c>
      <c r="G582" t="inlineStr">
        <is>
          <t>VETLANDA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37142-2025</t>
        </is>
      </c>
      <c r="B583" t="inlineStr">
        <is>
          <t>avverkningsanmälan</t>
        </is>
      </c>
      <c r="C583" t="inlineStr">
        <is>
          <t>Föryngringsavverkning</t>
        </is>
      </c>
      <c r="D583" s="1" t="n">
        <v>45875</v>
      </c>
      <c r="E583" s="1" t="n">
        <v>46322</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4987-2026</t>
        </is>
      </c>
      <c r="B584" t="inlineStr">
        <is>
          <t>avverkningsanmälan</t>
        </is>
      </c>
      <c r="C584" t="inlineStr">
        <is>
          <t>Föryngringsavverkning</t>
        </is>
      </c>
      <c r="D584" s="1" t="n">
        <v>46049</v>
      </c>
      <c r="E584" s="1" t="n">
        <v>46322</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37144-2025</t>
        </is>
      </c>
      <c r="B585" t="inlineStr">
        <is>
          <t>avverkningsanmälan</t>
        </is>
      </c>
      <c r="C585" t="inlineStr">
        <is>
          <t>Föryngringsavverkning</t>
        </is>
      </c>
      <c r="D585" s="1" t="n">
        <v>45875</v>
      </c>
      <c r="E585" s="1" t="n">
        <v>46322</v>
      </c>
      <c r="F585" t="inlineStr">
        <is>
          <t>JÖNKÖPINGS LÄN</t>
        </is>
      </c>
      <c r="G585" t="inlineStr">
        <is>
          <t>VETLANDA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7830-2023</t>
        </is>
      </c>
      <c r="B586" t="inlineStr">
        <is>
          <t>avverkningsanmälan</t>
        </is>
      </c>
      <c r="C586" t="inlineStr">
        <is>
          <t>Avverkning för annat ändamål</t>
        </is>
      </c>
      <c r="D586" s="1" t="n">
        <v>44970</v>
      </c>
      <c r="E586" s="1" t="n">
        <v>46322</v>
      </c>
      <c r="F586" t="inlineStr">
        <is>
          <t>JÖNKÖPINGS LÄN</t>
        </is>
      </c>
      <c r="G586" t="inlineStr">
        <is>
          <t>VETLANDA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33764-2023</t>
        </is>
      </c>
      <c r="B587" t="inlineStr">
        <is>
          <t>avverkningsanmälan</t>
        </is>
      </c>
      <c r="C587" t="inlineStr">
        <is>
          <t>Föryngringsavverkning</t>
        </is>
      </c>
      <c r="D587" s="1" t="n">
        <v>45133</v>
      </c>
      <c r="E587" s="1" t="n">
        <v>46322</v>
      </c>
      <c r="F587" t="inlineStr">
        <is>
          <t>JÖNKÖPINGS LÄN</t>
        </is>
      </c>
      <c r="G587" t="inlineStr">
        <is>
          <t>VETLANDA</t>
        </is>
      </c>
      <c r="I587" t="n">
        <v>15.3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8946-2024</t>
        </is>
      </c>
      <c r="B588" t="inlineStr">
        <is>
          <t>avverkningsanmälan</t>
        </is>
      </c>
      <c r="C588" t="inlineStr">
        <is>
          <t>Föryngringsavverkning</t>
        </is>
      </c>
      <c r="D588" s="1" t="n">
        <v>45357</v>
      </c>
      <c r="E588" s="1" t="n">
        <v>46322</v>
      </c>
      <c r="F588" t="inlineStr">
        <is>
          <t>JÖNKÖPINGS LÄN</t>
        </is>
      </c>
      <c r="G588" t="inlineStr">
        <is>
          <t>VETLANDA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53927-2023</t>
        </is>
      </c>
      <c r="B589" t="inlineStr">
        <is>
          <t>avverkningsanmälan</t>
        </is>
      </c>
      <c r="C589" t="inlineStr">
        <is>
          <t>Föryngringsavverkning</t>
        </is>
      </c>
      <c r="D589" s="1" t="n">
        <v>45231</v>
      </c>
      <c r="E589" s="1" t="n">
        <v>46322</v>
      </c>
      <c r="F589" t="inlineStr">
        <is>
          <t>JÖNKÖPINGS LÄN</t>
        </is>
      </c>
      <c r="G589" t="inlineStr">
        <is>
          <t>VETLANDA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72411-2021</t>
        </is>
      </c>
      <c r="B590" t="inlineStr">
        <is>
          <t>avverkningsanmälan</t>
        </is>
      </c>
      <c r="C590" t="inlineStr">
        <is>
          <t>Föryngringsavverkning</t>
        </is>
      </c>
      <c r="D590" s="1" t="n">
        <v>44545</v>
      </c>
      <c r="E590" s="1" t="n">
        <v>46322</v>
      </c>
      <c r="F590" t="inlineStr">
        <is>
          <t>JÖNKÖPINGS LÄN</t>
        </is>
      </c>
      <c r="G590" t="inlineStr">
        <is>
          <t>VETLANDA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3625-2025</t>
        </is>
      </c>
      <c r="B591" t="inlineStr">
        <is>
          <t>avverkningsanmälan</t>
        </is>
      </c>
      <c r="C591" t="inlineStr">
        <is>
          <t>Föryngringsavverkning</t>
        </is>
      </c>
      <c r="D591" s="1" t="n">
        <v>45681</v>
      </c>
      <c r="E591" s="1" t="n">
        <v>46322</v>
      </c>
      <c r="F591" t="inlineStr">
        <is>
          <t>JÖNKÖPINGS LÄN</t>
        </is>
      </c>
      <c r="G591" t="inlineStr">
        <is>
          <t>VETLANDA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36440-2023</t>
        </is>
      </c>
      <c r="B592" t="inlineStr">
        <is>
          <t>avverkningsanmälan</t>
        </is>
      </c>
      <c r="C592" t="inlineStr">
        <is>
          <t>Föryngringsavverkning</t>
        </is>
      </c>
      <c r="D592" s="1" t="n">
        <v>45152</v>
      </c>
      <c r="E592" s="1" t="n">
        <v>46322</v>
      </c>
      <c r="F592" t="inlineStr">
        <is>
          <t>JÖNKÖPINGS LÄN</t>
        </is>
      </c>
      <c r="G592" t="inlineStr">
        <is>
          <t>VETLANDA</t>
        </is>
      </c>
      <c r="I592" t="n">
        <v>11.2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62721-2021</t>
        </is>
      </c>
      <c r="B593" t="inlineStr">
        <is>
          <t>avverkningsanmälan</t>
        </is>
      </c>
      <c r="C593" t="inlineStr">
        <is>
          <t>Föryngringsavverkning</t>
        </is>
      </c>
      <c r="D593" s="1" t="n">
        <v>44503</v>
      </c>
      <c r="E593" s="1" t="n">
        <v>46322</v>
      </c>
      <c r="F593" t="inlineStr">
        <is>
          <t>JÖNKÖPINGS LÄN</t>
        </is>
      </c>
      <c r="G593" t="inlineStr">
        <is>
          <t>VETLANDA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53474-2023</t>
        </is>
      </c>
      <c r="B594" t="inlineStr">
        <is>
          <t>avverkningsanmälan</t>
        </is>
      </c>
      <c r="C594" t="inlineStr">
        <is>
          <t>Föryngringsavverkning</t>
        </is>
      </c>
      <c r="D594" s="1" t="n">
        <v>45230</v>
      </c>
      <c r="E594" s="1" t="n">
        <v>46322</v>
      </c>
      <c r="F594" t="inlineStr">
        <is>
          <t>JÖNKÖPINGS LÄN</t>
        </is>
      </c>
      <c r="G594" t="inlineStr">
        <is>
          <t>VETLANDA</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6269-2026</t>
        </is>
      </c>
      <c r="B595" t="inlineStr">
        <is>
          <t>avverkningsanmälan</t>
        </is>
      </c>
      <c r="C595" t="inlineStr">
        <is>
          <t>Föryngringsavverkning</t>
        </is>
      </c>
      <c r="D595" s="1" t="n">
        <v>46055</v>
      </c>
      <c r="E595" s="1" t="n">
        <v>46322</v>
      </c>
      <c r="F595" t="inlineStr">
        <is>
          <t>JÖNKÖPINGS LÄN</t>
        </is>
      </c>
      <c r="G595" t="inlineStr">
        <is>
          <t>VETLANDA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38213-2025</t>
        </is>
      </c>
      <c r="B596" t="inlineStr">
        <is>
          <t>avverkningsanmälan</t>
        </is>
      </c>
      <c r="C596" t="inlineStr">
        <is>
          <t>Föryngringsavverkning</t>
        </is>
      </c>
      <c r="D596" s="1" t="n">
        <v>45882</v>
      </c>
      <c r="E596" s="1" t="n">
        <v>46322</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38274-2025</t>
        </is>
      </c>
      <c r="B597" t="inlineStr">
        <is>
          <t>avverkningsanmälan</t>
        </is>
      </c>
      <c r="C597" t="inlineStr">
        <is>
          <t>Föryngringsavverkning</t>
        </is>
      </c>
      <c r="D597" s="1" t="n">
        <v>45882</v>
      </c>
      <c r="E597" s="1" t="n">
        <v>46322</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27119-2022</t>
        </is>
      </c>
      <c r="B598" t="inlineStr">
        <is>
          <t>avverkningsanmälan</t>
        </is>
      </c>
      <c r="C598" t="inlineStr">
        <is>
          <t>Föryngringsavverkning</t>
        </is>
      </c>
      <c r="D598" s="1" t="n">
        <v>44741</v>
      </c>
      <c r="E598" s="1" t="n">
        <v>46322</v>
      </c>
      <c r="F598" t="inlineStr">
        <is>
          <t>JÖNKÖPINGS LÄN</t>
        </is>
      </c>
      <c r="G598" t="inlineStr">
        <is>
          <t>VETLANDA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33779-2023</t>
        </is>
      </c>
      <c r="B599" t="inlineStr">
        <is>
          <t>avverkningsanmälan</t>
        </is>
      </c>
      <c r="C599" t="inlineStr">
        <is>
          <t>Föryngringsavverkning</t>
        </is>
      </c>
      <c r="D599" s="1" t="n">
        <v>45133</v>
      </c>
      <c r="E599" s="1" t="n">
        <v>46322</v>
      </c>
      <c r="F599" t="inlineStr">
        <is>
          <t>JÖNKÖPINGS LÄN</t>
        </is>
      </c>
      <c r="G599" t="inlineStr">
        <is>
          <t>VETLANDA</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62860-2023</t>
        </is>
      </c>
      <c r="B600" t="inlineStr">
        <is>
          <t>avverkningsanmälan</t>
        </is>
      </c>
      <c r="C600" t="inlineStr">
        <is>
          <t>Föryngringsavverkning</t>
        </is>
      </c>
      <c r="D600" s="1" t="n">
        <v>45272</v>
      </c>
      <c r="E600" s="1" t="n">
        <v>46322</v>
      </c>
      <c r="F600" t="inlineStr">
        <is>
          <t>JÖNKÖPINGS LÄN</t>
        </is>
      </c>
      <c r="G600" t="inlineStr">
        <is>
          <t>VETLANDA</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24673-2023</t>
        </is>
      </c>
      <c r="B601" t="inlineStr">
        <is>
          <t>avverkningsanmälan</t>
        </is>
      </c>
      <c r="C601" t="inlineStr">
        <is>
          <t>Föryngringsavverkning</t>
        </is>
      </c>
      <c r="D601" s="1" t="n">
        <v>45084</v>
      </c>
      <c r="E601" s="1" t="n">
        <v>46322</v>
      </c>
      <c r="F601" t="inlineStr">
        <is>
          <t>JÖNKÖPINGS LÄN</t>
        </is>
      </c>
      <c r="G601" t="inlineStr">
        <is>
          <t>VETLANDA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38605-2025</t>
        </is>
      </c>
      <c r="B602" t="inlineStr">
        <is>
          <t>avverkningsanmälan</t>
        </is>
      </c>
      <c r="C602" t="inlineStr">
        <is>
          <t>Föryngringsavverkning</t>
        </is>
      </c>
      <c r="D602" s="1" t="n">
        <v>45884</v>
      </c>
      <c r="E602" s="1" t="n">
        <v>46322</v>
      </c>
      <c r="F602" t="inlineStr">
        <is>
          <t>JÖNKÖPINGS LÄN</t>
        </is>
      </c>
      <c r="G602" t="inlineStr">
        <is>
          <t>VETLANDA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6340-2022</t>
        </is>
      </c>
      <c r="B603" t="inlineStr">
        <is>
          <t>avverkningsanmälan</t>
        </is>
      </c>
      <c r="C603" t="inlineStr">
        <is>
          <t>Föryngringsavverkning</t>
        </is>
      </c>
      <c r="D603" s="1" t="n">
        <v>44600</v>
      </c>
      <c r="E603" s="1" t="n">
        <v>46322</v>
      </c>
      <c r="F603" t="inlineStr">
        <is>
          <t>JÖNKÖPINGS LÄN</t>
        </is>
      </c>
      <c r="G603" t="inlineStr">
        <is>
          <t>VETLANDA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5349-2024</t>
        </is>
      </c>
      <c r="B604" t="inlineStr">
        <is>
          <t>avverkningsanmälan</t>
        </is>
      </c>
      <c r="C604" t="inlineStr">
        <is>
          <t>Föryngringsavverkning</t>
        </is>
      </c>
      <c r="D604" s="1" t="n">
        <v>45331</v>
      </c>
      <c r="E604" s="1" t="n">
        <v>46322</v>
      </c>
      <c r="F604" t="inlineStr">
        <is>
          <t>JÖNKÖPINGS LÄN</t>
        </is>
      </c>
      <c r="G604" t="inlineStr">
        <is>
          <t>VETLANDA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5365-2024</t>
        </is>
      </c>
      <c r="B605" t="inlineStr">
        <is>
          <t>avverkningsanmälan</t>
        </is>
      </c>
      <c r="C605" t="inlineStr">
        <is>
          <t>Föryngringsavverkning</t>
        </is>
      </c>
      <c r="D605" s="1" t="n">
        <v>45331</v>
      </c>
      <c r="E605" s="1" t="n">
        <v>46322</v>
      </c>
      <c r="F605" t="inlineStr">
        <is>
          <t>JÖNKÖPINGS LÄN</t>
        </is>
      </c>
      <c r="G605" t="inlineStr">
        <is>
          <t>VETLANDA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53324-2023</t>
        </is>
      </c>
      <c r="B606" t="inlineStr">
        <is>
          <t>avverkningsanmälan</t>
        </is>
      </c>
      <c r="C606" t="inlineStr">
        <is>
          <t>Föryngringsavverkning</t>
        </is>
      </c>
      <c r="D606" s="1" t="n">
        <v>45222</v>
      </c>
      <c r="E606" s="1" t="n">
        <v>46322</v>
      </c>
      <c r="F606" t="inlineStr">
        <is>
          <t>JÖNKÖPINGS LÄN</t>
        </is>
      </c>
      <c r="G606" t="inlineStr">
        <is>
          <t>VETLANDA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7824-2023</t>
        </is>
      </c>
      <c r="B607" t="inlineStr">
        <is>
          <t>avverkningsanmälan</t>
        </is>
      </c>
      <c r="C607" t="inlineStr">
        <is>
          <t>Föryngringsavverkning</t>
        </is>
      </c>
      <c r="D607" s="1" t="n">
        <v>44970</v>
      </c>
      <c r="E607" s="1" t="n">
        <v>46322</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1838-2025</t>
        </is>
      </c>
      <c r="B608" t="inlineStr">
        <is>
          <t>avverkningsanmälan</t>
        </is>
      </c>
      <c r="C608" t="inlineStr">
        <is>
          <t>Föryngringsavverkning</t>
        </is>
      </c>
      <c r="D608" s="1" t="n">
        <v>45671</v>
      </c>
      <c r="E608" s="1" t="n">
        <v>46322</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20409-2024</t>
        </is>
      </c>
      <c r="B609" t="inlineStr">
        <is>
          <t>avverkningsanmälan</t>
        </is>
      </c>
      <c r="C609" t="inlineStr">
        <is>
          <t>Avverkning för annat ändamål</t>
        </is>
      </c>
      <c r="D609" s="1" t="n">
        <v>45435</v>
      </c>
      <c r="E609" s="1" t="n">
        <v>46322</v>
      </c>
      <c r="F609" t="inlineStr">
        <is>
          <t>JÖNKÖPINGS LÄN</t>
        </is>
      </c>
      <c r="G609" t="inlineStr">
        <is>
          <t>VETLANDA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53472-2023</t>
        </is>
      </c>
      <c r="B610" t="inlineStr">
        <is>
          <t>avverkningsanmälan</t>
        </is>
      </c>
      <c r="C610" t="inlineStr">
        <is>
          <t>Föryngringsavverkning</t>
        </is>
      </c>
      <c r="D610" s="1" t="n">
        <v>45230</v>
      </c>
      <c r="E610" s="1" t="n">
        <v>46322</v>
      </c>
      <c r="F610" t="inlineStr">
        <is>
          <t>JÖNKÖPINGS LÄN</t>
        </is>
      </c>
      <c r="G610" t="inlineStr">
        <is>
          <t>VETLANDA</t>
        </is>
      </c>
      <c r="H610" t="inlineStr">
        <is>
          <t>Sveaskog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7607-2026</t>
        </is>
      </c>
      <c r="B611" t="inlineStr">
        <is>
          <t>avverkningsanmälan</t>
        </is>
      </c>
      <c r="C611" t="inlineStr">
        <is>
          <t>Föryngringsavverkning</t>
        </is>
      </c>
      <c r="D611" s="1" t="n">
        <v>46062</v>
      </c>
      <c r="E611" s="1" t="n">
        <v>46322</v>
      </c>
      <c r="F611" t="inlineStr">
        <is>
          <t>JÖNKÖPINGS LÄN</t>
        </is>
      </c>
      <c r="G611" t="inlineStr">
        <is>
          <t>VETLANDA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47888-2023</t>
        </is>
      </c>
      <c r="B612" t="inlineStr">
        <is>
          <t>avverkningsanmälan</t>
        </is>
      </c>
      <c r="C612" t="inlineStr">
        <is>
          <t>Föryngringsavverkning</t>
        </is>
      </c>
      <c r="D612" s="1" t="n">
        <v>45204</v>
      </c>
      <c r="E612" s="1" t="n">
        <v>46322</v>
      </c>
      <c r="F612" t="inlineStr">
        <is>
          <t>JÖNKÖPINGS LÄN</t>
        </is>
      </c>
      <c r="G612" t="inlineStr">
        <is>
          <t>VETLANDA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8106-2026</t>
        </is>
      </c>
      <c r="B613" t="inlineStr">
        <is>
          <t>avverkningsanmälan</t>
        </is>
      </c>
      <c r="C613" t="inlineStr">
        <is>
          <t>Föryngringsavverkning</t>
        </is>
      </c>
      <c r="D613" s="1" t="n">
        <v>46063</v>
      </c>
      <c r="E613" s="1" t="n">
        <v>46322</v>
      </c>
      <c r="F613" t="inlineStr">
        <is>
          <t>JÖNKÖPINGS LÄN</t>
        </is>
      </c>
      <c r="G613" t="inlineStr">
        <is>
          <t>VETLANDA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8094-2026</t>
        </is>
      </c>
      <c r="B614" t="inlineStr">
        <is>
          <t>avverkningsanmälan</t>
        </is>
      </c>
      <c r="C614" t="inlineStr">
        <is>
          <t>Föryngringsavverkning</t>
        </is>
      </c>
      <c r="D614" s="1" t="n">
        <v>46063</v>
      </c>
      <c r="E614" s="1" t="n">
        <v>46322</v>
      </c>
      <c r="F614" t="inlineStr">
        <is>
          <t>JÖNKÖPINGS LÄN</t>
        </is>
      </c>
      <c r="G614" t="inlineStr">
        <is>
          <t>VETLANDA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8097-2026</t>
        </is>
      </c>
      <c r="B615" t="inlineStr">
        <is>
          <t>avverkningsanmälan</t>
        </is>
      </c>
      <c r="C615" t="inlineStr">
        <is>
          <t>Föryngringsavverkning</t>
        </is>
      </c>
      <c r="D615" s="1" t="n">
        <v>46063</v>
      </c>
      <c r="E615" s="1" t="n">
        <v>46322</v>
      </c>
      <c r="F615" t="inlineStr">
        <is>
          <t>JÖNKÖPINGS LÄN</t>
        </is>
      </c>
      <c r="G615" t="inlineStr">
        <is>
          <t>VETLANDA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8089-2026</t>
        </is>
      </c>
      <c r="B616" t="inlineStr">
        <is>
          <t>avverkningsanmälan</t>
        </is>
      </c>
      <c r="C616" t="inlineStr">
        <is>
          <t>Föryngringsavverkning</t>
        </is>
      </c>
      <c r="D616" s="1" t="n">
        <v>46063</v>
      </c>
      <c r="E616" s="1" t="n">
        <v>46322</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23858-2024</t>
        </is>
      </c>
      <c r="B617" t="inlineStr">
        <is>
          <t>avverkningsanmälan</t>
        </is>
      </c>
      <c r="C617" t="inlineStr">
        <is>
          <t>Föryngringsavverkning</t>
        </is>
      </c>
      <c r="D617" s="1" t="n">
        <v>45455</v>
      </c>
      <c r="E617" s="1" t="n">
        <v>46322</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41876-2024</t>
        </is>
      </c>
      <c r="B618" t="inlineStr">
        <is>
          <t>avverkningsanmälan</t>
        </is>
      </c>
      <c r="C618" t="inlineStr">
        <is>
          <t>Föryngringsavverkning</t>
        </is>
      </c>
      <c r="D618" s="1" t="n">
        <v>45561</v>
      </c>
      <c r="E618" s="1" t="n">
        <v>46322</v>
      </c>
      <c r="F618" t="inlineStr">
        <is>
          <t>JÖNKÖPINGS LÄN</t>
        </is>
      </c>
      <c r="G618" t="inlineStr">
        <is>
          <t>VETLANDA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64851-2023</t>
        </is>
      </c>
      <c r="B619" t="inlineStr">
        <is>
          <t>avverkningsanmälan</t>
        </is>
      </c>
      <c r="C619" t="inlineStr">
        <is>
          <t>Föryngringsavverkning</t>
        </is>
      </c>
      <c r="D619" s="1" t="n">
        <v>45282</v>
      </c>
      <c r="E619" s="1" t="n">
        <v>46322</v>
      </c>
      <c r="F619" t="inlineStr">
        <is>
          <t>JÖNKÖPINGS LÄN</t>
        </is>
      </c>
      <c r="G619" t="inlineStr">
        <is>
          <t>VETLANDA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57090-2023</t>
        </is>
      </c>
      <c r="B620" t="inlineStr">
        <is>
          <t>avverkningsanmälan</t>
        </is>
      </c>
      <c r="C620" t="inlineStr">
        <is>
          <t>Föryngringsavverkning</t>
        </is>
      </c>
      <c r="D620" s="1" t="n">
        <v>45245</v>
      </c>
      <c r="E620" s="1" t="n">
        <v>46322</v>
      </c>
      <c r="F620" t="inlineStr">
        <is>
          <t>JÖNKÖPINGS LÄN</t>
        </is>
      </c>
      <c r="G620" t="inlineStr">
        <is>
          <t>VETLANDA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57794-2024</t>
        </is>
      </c>
      <c r="B621" t="inlineStr">
        <is>
          <t>avverkningsanmälan</t>
        </is>
      </c>
      <c r="C621" t="inlineStr">
        <is>
          <t>Föryngringsavverkning</t>
        </is>
      </c>
      <c r="D621" s="1" t="n">
        <v>45631</v>
      </c>
      <c r="E621" s="1" t="n">
        <v>46322</v>
      </c>
      <c r="F621" t="inlineStr">
        <is>
          <t>JÖNKÖPINGS LÄN</t>
        </is>
      </c>
      <c r="G621" t="inlineStr">
        <is>
          <t>VETLANDA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58057-2023</t>
        </is>
      </c>
      <c r="B622" t="inlineStr">
        <is>
          <t>avverkningsanmälan</t>
        </is>
      </c>
      <c r="C622" t="inlineStr">
        <is>
          <t>Föryngringsavverkning</t>
        </is>
      </c>
      <c r="D622" s="1" t="n">
        <v>45247</v>
      </c>
      <c r="E622" s="1" t="n">
        <v>46322</v>
      </c>
      <c r="F622" t="inlineStr">
        <is>
          <t>JÖNKÖPINGS LÄN</t>
        </is>
      </c>
      <c r="G622" t="inlineStr">
        <is>
          <t>VETLANDA</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9124-2026</t>
        </is>
      </c>
      <c r="B623" t="inlineStr">
        <is>
          <t>avverkningsanmälan</t>
        </is>
      </c>
      <c r="C623" t="inlineStr">
        <is>
          <t>Föryngringsavverkning</t>
        </is>
      </c>
      <c r="D623" s="1" t="n">
        <v>46069</v>
      </c>
      <c r="E623" s="1" t="n">
        <v>46322</v>
      </c>
      <c r="F623" t="inlineStr">
        <is>
          <t>JÖNKÖPINGS LÄN</t>
        </is>
      </c>
      <c r="G623" t="inlineStr">
        <is>
          <t>VETLANDA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60384-2023</t>
        </is>
      </c>
      <c r="B624" t="inlineStr">
        <is>
          <t>avverkningsanmälan</t>
        </is>
      </c>
      <c r="C624" t="inlineStr">
        <is>
          <t>Föryngringsavverkning</t>
        </is>
      </c>
      <c r="D624" s="1" t="n">
        <v>45259</v>
      </c>
      <c r="E624" s="1" t="n">
        <v>46322</v>
      </c>
      <c r="F624" t="inlineStr">
        <is>
          <t>JÖNKÖPINGS LÄN</t>
        </is>
      </c>
      <c r="G624" t="inlineStr">
        <is>
          <t>VETLANDA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10938-2024</t>
        </is>
      </c>
      <c r="B625" t="inlineStr">
        <is>
          <t>avverkningsanmälan</t>
        </is>
      </c>
      <c r="C625" t="inlineStr">
        <is>
          <t>Föryngringsavverkning</t>
        </is>
      </c>
      <c r="D625" s="1" t="n">
        <v>45370</v>
      </c>
      <c r="E625" s="1" t="n">
        <v>46322</v>
      </c>
      <c r="F625" t="inlineStr">
        <is>
          <t>JÖNKÖPINGS LÄN</t>
        </is>
      </c>
      <c r="G625" t="inlineStr">
        <is>
          <t>VETLANDA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30989-2026</t>
        </is>
      </c>
      <c r="B626" t="inlineStr">
        <is>
          <t>avverkningsanmälan</t>
        </is>
      </c>
      <c r="C626" t="inlineStr">
        <is>
          <t>Föryngringsavverkning</t>
        </is>
      </c>
      <c r="D626" s="1" t="n">
        <v>46213</v>
      </c>
      <c r="E626" s="1" t="n">
        <v>46322</v>
      </c>
      <c r="F626" t="inlineStr">
        <is>
          <t>JÖNKÖPINGS LÄN</t>
        </is>
      </c>
      <c r="G626" t="inlineStr">
        <is>
          <t>VETLANDA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24176-2026</t>
        </is>
      </c>
      <c r="B627" t="inlineStr">
        <is>
          <t>avverkningsanmälan</t>
        </is>
      </c>
      <c r="C627" t="inlineStr">
        <is>
          <t>Föryngringsavverkning</t>
        </is>
      </c>
      <c r="D627" s="1" t="n">
        <v>46168</v>
      </c>
      <c r="E627" s="1" t="n">
        <v>46322</v>
      </c>
      <c r="F627" t="inlineStr">
        <is>
          <t>JÖNKÖPINGS LÄN</t>
        </is>
      </c>
      <c r="G627" t="inlineStr">
        <is>
          <t>VETLANDA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3906-2024</t>
        </is>
      </c>
      <c r="B628" t="inlineStr">
        <is>
          <t>avverkningsanmälan</t>
        </is>
      </c>
      <c r="C628" t="inlineStr">
        <is>
          <t>Föryngringsavverkning</t>
        </is>
      </c>
      <c r="D628" s="1" t="n">
        <v>45322</v>
      </c>
      <c r="E628" s="1" t="n">
        <v>46322</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17374-2023</t>
        </is>
      </c>
      <c r="B629" t="inlineStr">
        <is>
          <t>avverkningsanmälan</t>
        </is>
      </c>
      <c r="C629" t="inlineStr">
        <is>
          <t>Föryngringsavverkning</t>
        </is>
      </c>
      <c r="D629" s="1" t="n">
        <v>45035</v>
      </c>
      <c r="E629" s="1" t="n">
        <v>46322</v>
      </c>
      <c r="F629" t="inlineStr">
        <is>
          <t>JÖNKÖPINGS LÄN</t>
        </is>
      </c>
      <c r="G629" t="inlineStr">
        <is>
          <t>VETLANDA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25548-2026</t>
        </is>
      </c>
      <c r="B630" t="inlineStr">
        <is>
          <t>avverkningsanmälan</t>
        </is>
      </c>
      <c r="C630" t="inlineStr">
        <is>
          <t>Föryngringsavverkning</t>
        </is>
      </c>
      <c r="D630" s="1" t="n">
        <v>46177</v>
      </c>
      <c r="E630" s="1" t="n">
        <v>46322</v>
      </c>
      <c r="F630" t="inlineStr">
        <is>
          <t>JÖNKÖPINGS LÄN</t>
        </is>
      </c>
      <c r="G630" t="inlineStr">
        <is>
          <t>VETLANDA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61293-2024</t>
        </is>
      </c>
      <c r="B631" t="inlineStr">
        <is>
          <t>avverkningsanmälan</t>
        </is>
      </c>
      <c r="C631" t="inlineStr">
        <is>
          <t>Föryngringsavverkning</t>
        </is>
      </c>
      <c r="D631" s="1" t="n">
        <v>45645</v>
      </c>
      <c r="E631" s="1" t="n">
        <v>46322</v>
      </c>
      <c r="F631" t="inlineStr">
        <is>
          <t>JÖNKÖPINGS LÄN</t>
        </is>
      </c>
      <c r="G631" t="inlineStr">
        <is>
          <t>VETLANDA</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10565-2026</t>
        </is>
      </c>
      <c r="B632" t="inlineStr">
        <is>
          <t>avverkningsanmälan</t>
        </is>
      </c>
      <c r="C632" t="inlineStr">
        <is>
          <t>Föryngringsavverkning</t>
        </is>
      </c>
      <c r="D632" s="1" t="n">
        <v>46077</v>
      </c>
      <c r="E632" s="1" t="n">
        <v>46322</v>
      </c>
      <c r="F632" t="inlineStr">
        <is>
          <t>JÖNKÖPINGS LÄN</t>
        </is>
      </c>
      <c r="G632" t="inlineStr">
        <is>
          <t>VETLANDA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23379-2023</t>
        </is>
      </c>
      <c r="B633" t="inlineStr">
        <is>
          <t>avverkningsanmälan</t>
        </is>
      </c>
      <c r="C633" t="inlineStr">
        <is>
          <t>Föryngringsavverkning</t>
        </is>
      </c>
      <c r="D633" s="1" t="n">
        <v>45076</v>
      </c>
      <c r="E633" s="1" t="n">
        <v>46322</v>
      </c>
      <c r="F633" t="inlineStr">
        <is>
          <t>JÖNKÖPINGS LÄN</t>
        </is>
      </c>
      <c r="G633" t="inlineStr">
        <is>
          <t>VETLANDA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13635-2023</t>
        </is>
      </c>
      <c r="B634" t="inlineStr">
        <is>
          <t>avverkningsanmälan</t>
        </is>
      </c>
      <c r="C634" t="inlineStr">
        <is>
          <t>Föryngringsavverkning</t>
        </is>
      </c>
      <c r="D634" s="1" t="n">
        <v>45006</v>
      </c>
      <c r="E634" s="1" t="n">
        <v>46322</v>
      </c>
      <c r="F634" t="inlineStr">
        <is>
          <t>JÖNKÖPINGS LÄN</t>
        </is>
      </c>
      <c r="G634" t="inlineStr">
        <is>
          <t>VETLANDA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2672-2022</t>
        </is>
      </c>
      <c r="B635" t="inlineStr">
        <is>
          <t>avverkningsanmälan</t>
        </is>
      </c>
      <c r="C635" t="inlineStr">
        <is>
          <t>Föryngringsavverkning</t>
        </is>
      </c>
      <c r="D635" s="1" t="n">
        <v>44580</v>
      </c>
      <c r="E635" s="1" t="n">
        <v>46322</v>
      </c>
      <c r="F635" t="inlineStr">
        <is>
          <t>JÖNKÖPINGS LÄN</t>
        </is>
      </c>
      <c r="G635" t="inlineStr">
        <is>
          <t>VETLANDA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10544-2026</t>
        </is>
      </c>
      <c r="B636" t="inlineStr">
        <is>
          <t>avverkningsanmälan</t>
        </is>
      </c>
      <c r="C636" t="inlineStr">
        <is>
          <t>Föryngringsavverkning</t>
        </is>
      </c>
      <c r="D636" s="1" t="n">
        <v>46077</v>
      </c>
      <c r="E636" s="1" t="n">
        <v>46322</v>
      </c>
      <c r="F636" t="inlineStr">
        <is>
          <t>JÖNKÖPINGS LÄN</t>
        </is>
      </c>
      <c r="G636" t="inlineStr">
        <is>
          <t>VETLANDA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25555-2023</t>
        </is>
      </c>
      <c r="B637" t="inlineStr">
        <is>
          <t>avverkningsanmälan</t>
        </is>
      </c>
      <c r="C637" t="inlineStr">
        <is>
          <t>Föryngringsavverkning</t>
        </is>
      </c>
      <c r="D637" s="1" t="n">
        <v>45089</v>
      </c>
      <c r="E637" s="1" t="n">
        <v>46322</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53736-2024</t>
        </is>
      </c>
      <c r="B638" t="inlineStr">
        <is>
          <t>avverkningsanmälan</t>
        </is>
      </c>
      <c r="C638" t="inlineStr">
        <is>
          <t>Föryngringsavverkning</t>
        </is>
      </c>
      <c r="D638" s="1" t="n">
        <v>45615</v>
      </c>
      <c r="E638" s="1" t="n">
        <v>46322</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36768-2024</t>
        </is>
      </c>
      <c r="B639" t="inlineStr">
        <is>
          <t>avverkningsanmälan</t>
        </is>
      </c>
      <c r="C639" t="inlineStr">
        <is>
          <t>Föryngringsavverkning</t>
        </is>
      </c>
      <c r="D639" s="1" t="n">
        <v>45538</v>
      </c>
      <c r="E639" s="1" t="n">
        <v>46322</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482-2024</t>
        </is>
      </c>
      <c r="B640" t="inlineStr">
        <is>
          <t>avverkningsanmälan</t>
        </is>
      </c>
      <c r="C640" t="inlineStr">
        <is>
          <t>Föryngringsavverkning</t>
        </is>
      </c>
      <c r="D640" s="1" t="n">
        <v>45298</v>
      </c>
      <c r="E640" s="1" t="n">
        <v>46322</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11524-2024</t>
        </is>
      </c>
      <c r="B641" t="inlineStr">
        <is>
          <t>avverkningsanmälan</t>
        </is>
      </c>
      <c r="C641" t="inlineStr">
        <is>
          <t>Föryngringsavverkning</t>
        </is>
      </c>
      <c r="D641" s="1" t="n">
        <v>45372</v>
      </c>
      <c r="E641" s="1" t="n">
        <v>46322</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23375-2023</t>
        </is>
      </c>
      <c r="B642" t="inlineStr">
        <is>
          <t>avverkningsanmälan</t>
        </is>
      </c>
      <c r="C642" t="inlineStr">
        <is>
          <t>Föryngringsavverkning</t>
        </is>
      </c>
      <c r="D642" s="1" t="n">
        <v>45076</v>
      </c>
      <c r="E642" s="1" t="n">
        <v>46322</v>
      </c>
      <c r="F642" t="inlineStr">
        <is>
          <t>JÖNKÖPINGS LÄN</t>
        </is>
      </c>
      <c r="G642" t="inlineStr">
        <is>
          <t>VETLANDA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40615-2023</t>
        </is>
      </c>
      <c r="B643" t="inlineStr">
        <is>
          <t>avverkningsanmälan</t>
        </is>
      </c>
      <c r="C643" t="inlineStr">
        <is>
          <t>Föryngringsavverkning</t>
        </is>
      </c>
      <c r="D643" s="1" t="n">
        <v>45170</v>
      </c>
      <c r="E643" s="1" t="n">
        <v>46322</v>
      </c>
      <c r="F643" t="inlineStr">
        <is>
          <t>JÖNKÖPINGS LÄN</t>
        </is>
      </c>
      <c r="G643" t="inlineStr">
        <is>
          <t>VETLANDA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11659-2026</t>
        </is>
      </c>
      <c r="B644" t="inlineStr">
        <is>
          <t>avverkningsanmälan</t>
        </is>
      </c>
      <c r="C644" t="inlineStr">
        <is>
          <t>Föryngringsavverkning</t>
        </is>
      </c>
      <c r="D644" s="1" t="n">
        <v>46084</v>
      </c>
      <c r="E644" s="1" t="n">
        <v>46322</v>
      </c>
      <c r="F644" t="inlineStr">
        <is>
          <t>JÖNKÖPINGS LÄN</t>
        </is>
      </c>
      <c r="G644" t="inlineStr">
        <is>
          <t>VETLANDA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11669-2026</t>
        </is>
      </c>
      <c r="B645" t="inlineStr">
        <is>
          <t>avverkningsanmälan</t>
        </is>
      </c>
      <c r="C645" t="inlineStr">
        <is>
          <t>Föryngringsavverkning</t>
        </is>
      </c>
      <c r="D645" s="1" t="n">
        <v>46084</v>
      </c>
      <c r="E645" s="1" t="n">
        <v>46322</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11662-2026</t>
        </is>
      </c>
      <c r="B646" t="inlineStr">
        <is>
          <t>avverkningsanmälan</t>
        </is>
      </c>
      <c r="C646" t="inlineStr">
        <is>
          <t>Föryngringsavverkning</t>
        </is>
      </c>
      <c r="D646" s="1" t="n">
        <v>46084</v>
      </c>
      <c r="E646" s="1" t="n">
        <v>46322</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15398-2024</t>
        </is>
      </c>
      <c r="B647" t="inlineStr">
        <is>
          <t>avverkningsanmälan</t>
        </is>
      </c>
      <c r="C647" t="inlineStr">
        <is>
          <t>Föryngringsavverkning</t>
        </is>
      </c>
      <c r="D647" s="1" t="n">
        <v>45401</v>
      </c>
      <c r="E647" s="1" t="n">
        <v>46322</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7509-2022</t>
        </is>
      </c>
      <c r="B648" t="inlineStr">
        <is>
          <t>avverkningsanmälan</t>
        </is>
      </c>
      <c r="C648" t="inlineStr">
        <is>
          <t>Föryngringsavverkning</t>
        </is>
      </c>
      <c r="D648" s="1" t="n">
        <v>44607</v>
      </c>
      <c r="E648" s="1" t="n">
        <v>46322</v>
      </c>
      <c r="F648" t="inlineStr">
        <is>
          <t>JÖNKÖPINGS LÄN</t>
        </is>
      </c>
      <c r="G648" t="inlineStr">
        <is>
          <t>VETLANDA</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43615-2022</t>
        </is>
      </c>
      <c r="B649" t="inlineStr">
        <is>
          <t>avverkningsanmälan</t>
        </is>
      </c>
      <c r="C649" t="inlineStr">
        <is>
          <t>Föryngringsavverkning</t>
        </is>
      </c>
      <c r="D649" s="1" t="n">
        <v>44837</v>
      </c>
      <c r="E649" s="1" t="n">
        <v>46322</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64383-2021</t>
        </is>
      </c>
      <c r="B650" t="inlineStr">
        <is>
          <t>avverkningsanmälan</t>
        </is>
      </c>
      <c r="C650" t="inlineStr">
        <is>
          <t>Föryngringsavverkning</t>
        </is>
      </c>
      <c r="D650" s="1" t="n">
        <v>44511</v>
      </c>
      <c r="E650" s="1" t="n">
        <v>46322</v>
      </c>
      <c r="F650" t="inlineStr">
        <is>
          <t>JÖNKÖPINGS LÄN</t>
        </is>
      </c>
      <c r="G650" t="inlineStr">
        <is>
          <t>VETLANDA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25470-2023</t>
        </is>
      </c>
      <c r="B651" t="inlineStr">
        <is>
          <t>avverkningsanmälan</t>
        </is>
      </c>
      <c r="C651" t="inlineStr">
        <is>
          <t>Föryngringsavverkning</t>
        </is>
      </c>
      <c r="D651" s="1" t="n">
        <v>45089</v>
      </c>
      <c r="E651" s="1" t="n">
        <v>46322</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21916-2024</t>
        </is>
      </c>
      <c r="B652" t="inlineStr">
        <is>
          <t>avverkningsanmälan</t>
        </is>
      </c>
      <c r="C652" t="inlineStr">
        <is>
          <t>Föryngringsavverkning</t>
        </is>
      </c>
      <c r="D652" s="1" t="n">
        <v>45443</v>
      </c>
      <c r="E652" s="1" t="n">
        <v>46322</v>
      </c>
      <c r="F652" t="inlineStr">
        <is>
          <t>JÖNKÖPINGS LÄN</t>
        </is>
      </c>
      <c r="G652" t="inlineStr">
        <is>
          <t>VETLANDA</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56214-2023</t>
        </is>
      </c>
      <c r="B653" t="inlineStr">
        <is>
          <t>avverkningsanmälan</t>
        </is>
      </c>
      <c r="C653" t="inlineStr">
        <is>
          <t>Föryngringsavverkning</t>
        </is>
      </c>
      <c r="D653" s="1" t="n">
        <v>45240</v>
      </c>
      <c r="E653" s="1" t="n">
        <v>46322</v>
      </c>
      <c r="F653" t="inlineStr">
        <is>
          <t>JÖNKÖPINGS LÄN</t>
        </is>
      </c>
      <c r="G653" t="inlineStr">
        <is>
          <t>VETLANDA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39868-2023</t>
        </is>
      </c>
      <c r="B654" t="inlineStr">
        <is>
          <t>avverkningsanmälan</t>
        </is>
      </c>
      <c r="C654" t="inlineStr">
        <is>
          <t>Föryngringsavverkning</t>
        </is>
      </c>
      <c r="D654" s="1" t="n">
        <v>45168</v>
      </c>
      <c r="E654" s="1" t="n">
        <v>46322</v>
      </c>
      <c r="F654" t="inlineStr">
        <is>
          <t>JÖNKÖPINGS LÄN</t>
        </is>
      </c>
      <c r="G654" t="inlineStr">
        <is>
          <t>VETLANDA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12267-2026</t>
        </is>
      </c>
      <c r="B655" t="inlineStr">
        <is>
          <t>avverkningsanmälan</t>
        </is>
      </c>
      <c r="C655" t="inlineStr">
        <is>
          <t>Föryngringsavverkning</t>
        </is>
      </c>
      <c r="D655" s="1" t="n">
        <v>46087</v>
      </c>
      <c r="E655" s="1" t="n">
        <v>46322</v>
      </c>
      <c r="F655" t="inlineStr">
        <is>
          <t>JÖNKÖPINGS LÄN</t>
        </is>
      </c>
      <c r="G655" t="inlineStr">
        <is>
          <t>VETLANDA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3790-2024</t>
        </is>
      </c>
      <c r="B656" t="inlineStr">
        <is>
          <t>avverkningsanmälan</t>
        </is>
      </c>
      <c r="C656" t="inlineStr">
        <is>
          <t>Föryngringsavverkning</t>
        </is>
      </c>
      <c r="D656" s="1" t="n">
        <v>45321</v>
      </c>
      <c r="E656" s="1" t="n">
        <v>46322</v>
      </c>
      <c r="F656" t="inlineStr">
        <is>
          <t>JÖNKÖPINGS LÄN</t>
        </is>
      </c>
      <c r="G656" t="inlineStr">
        <is>
          <t>VETLANDA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12655-2026</t>
        </is>
      </c>
      <c r="B657" t="inlineStr">
        <is>
          <t>avverkningsanmälan</t>
        </is>
      </c>
      <c r="C657" t="inlineStr">
        <is>
          <t>Avverkning för att bevara och utveckla /försöksver</t>
        </is>
      </c>
      <c r="D657" s="1" t="n">
        <v>46091</v>
      </c>
      <c r="E657" s="1" t="n">
        <v>46322</v>
      </c>
      <c r="F657" t="inlineStr">
        <is>
          <t>JÖNKÖPINGS LÄN</t>
        </is>
      </c>
      <c r="G657" t="inlineStr">
        <is>
          <t>VETLANDA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38964-2023</t>
        </is>
      </c>
      <c r="B658" t="inlineStr">
        <is>
          <t>avverkningsanmälan</t>
        </is>
      </c>
      <c r="C658" t="inlineStr">
        <is>
          <t>Föryngringsavverkning</t>
        </is>
      </c>
      <c r="D658" s="1" t="n">
        <v>45163</v>
      </c>
      <c r="E658" s="1" t="n">
        <v>46322</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32096-2026</t>
        </is>
      </c>
      <c r="B659" t="inlineStr">
        <is>
          <t>avverkningsanmälan</t>
        </is>
      </c>
      <c r="C659" t="inlineStr">
        <is>
          <t>Föryngringsavverkning</t>
        </is>
      </c>
      <c r="D659" s="1" t="n">
        <v>46234</v>
      </c>
      <c r="E659" s="1" t="n">
        <v>46322</v>
      </c>
      <c r="F659" t="inlineStr">
        <is>
          <t>JÖNKÖPINGS LÄN</t>
        </is>
      </c>
      <c r="G659" t="inlineStr">
        <is>
          <t>VETLANDA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12792-2026</t>
        </is>
      </c>
      <c r="B660" t="inlineStr">
        <is>
          <t>avverkningsanmälan</t>
        </is>
      </c>
      <c r="C660" t="inlineStr">
        <is>
          <t>Föryngringsavverkning</t>
        </is>
      </c>
      <c r="D660" s="1" t="n">
        <v>46092</v>
      </c>
      <c r="E660" s="1" t="n">
        <v>46322</v>
      </c>
      <c r="F660" t="inlineStr">
        <is>
          <t>JÖNKÖPINGS LÄN</t>
        </is>
      </c>
      <c r="G660" t="inlineStr">
        <is>
          <t>VETLANDA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32100-2026</t>
        </is>
      </c>
      <c r="B661" t="inlineStr">
        <is>
          <t>avverkningsanmälan</t>
        </is>
      </c>
      <c r="C661" t="inlineStr">
        <is>
          <t>Föryngringsavverkning</t>
        </is>
      </c>
      <c r="D661" s="1" t="n">
        <v>46234</v>
      </c>
      <c r="E661" s="1" t="n">
        <v>46322</v>
      </c>
      <c r="F661" t="inlineStr">
        <is>
          <t>JÖNKÖPINGS LÄN</t>
        </is>
      </c>
      <c r="G661" t="inlineStr">
        <is>
          <t>VETLANDA</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64240-2021</t>
        </is>
      </c>
      <c r="B662" t="inlineStr">
        <is>
          <t>avverkningsanmälan</t>
        </is>
      </c>
      <c r="C662" t="inlineStr">
        <is>
          <t>Föryngringsavverkning</t>
        </is>
      </c>
      <c r="D662" s="1" t="n">
        <v>44510</v>
      </c>
      <c r="E662" s="1" t="n">
        <v>46322</v>
      </c>
      <c r="F662" t="inlineStr">
        <is>
          <t>JÖNKÖPINGS LÄN</t>
        </is>
      </c>
      <c r="G662" t="inlineStr">
        <is>
          <t>VETLANDA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32042-2026</t>
        </is>
      </c>
      <c r="B663" t="inlineStr">
        <is>
          <t>avverkningsanmälan</t>
        </is>
      </c>
      <c r="C663" t="inlineStr">
        <is>
          <t>Föryngringsavverkning</t>
        </is>
      </c>
      <c r="D663" s="1" t="n">
        <v>46233</v>
      </c>
      <c r="E663" s="1" t="n">
        <v>46322</v>
      </c>
      <c r="F663" t="inlineStr">
        <is>
          <t>JÖNKÖPINGS LÄN</t>
        </is>
      </c>
      <c r="G663" t="inlineStr">
        <is>
          <t>VETLANDA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32093-2026</t>
        </is>
      </c>
      <c r="B664" t="inlineStr">
        <is>
          <t>avverkningsanmälan</t>
        </is>
      </c>
      <c r="C664" t="inlineStr">
        <is>
          <t>Föryngringsavverkning</t>
        </is>
      </c>
      <c r="D664" s="1" t="n">
        <v>46234</v>
      </c>
      <c r="E664" s="1" t="n">
        <v>46322</v>
      </c>
      <c r="F664" t="inlineStr">
        <is>
          <t>JÖNKÖPINGS LÄN</t>
        </is>
      </c>
      <c r="G664" t="inlineStr">
        <is>
          <t>VETLANDA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61806-2025</t>
        </is>
      </c>
      <c r="B665" t="inlineStr">
        <is>
          <t>avverkningsanmälan</t>
        </is>
      </c>
      <c r="C665" t="inlineStr">
        <is>
          <t>Föryngringsavverkning</t>
        </is>
      </c>
      <c r="D665" s="1" t="n">
        <v>46002</v>
      </c>
      <c r="E665" s="1" t="n">
        <v>46322</v>
      </c>
      <c r="F665" t="inlineStr">
        <is>
          <t>JÖNKÖPINGS LÄN</t>
        </is>
      </c>
      <c r="G665" t="inlineStr">
        <is>
          <t>VETLANDA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13683-2026</t>
        </is>
      </c>
      <c r="B666" t="inlineStr">
        <is>
          <t>avverkningsanmälan</t>
        </is>
      </c>
      <c r="C666" t="inlineStr">
        <is>
          <t>Föryngringsavverkning</t>
        </is>
      </c>
      <c r="D666" s="1" t="n">
        <v>46097</v>
      </c>
      <c r="E666" s="1" t="n">
        <v>46322</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32185-2026</t>
        </is>
      </c>
      <c r="B667" t="inlineStr">
        <is>
          <t>avverkningsanmälan</t>
        </is>
      </c>
      <c r="C667" t="inlineStr">
        <is>
          <t>Föryngringsavverkning</t>
        </is>
      </c>
      <c r="D667" s="1" t="n">
        <v>46237</v>
      </c>
      <c r="E667" s="1" t="n">
        <v>46322</v>
      </c>
      <c r="F667" t="inlineStr">
        <is>
          <t>JÖNKÖPINGS LÄN</t>
        </is>
      </c>
      <c r="G667" t="inlineStr">
        <is>
          <t>VETLANDA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49420-2023</t>
        </is>
      </c>
      <c r="B668" t="inlineStr">
        <is>
          <t>avverkningsanmälan</t>
        </is>
      </c>
      <c r="C668" t="inlineStr">
        <is>
          <t>Föryngringsavverkning</t>
        </is>
      </c>
      <c r="D668" s="1" t="n">
        <v>45211</v>
      </c>
      <c r="E668" s="1" t="n">
        <v>46322</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13885-2026</t>
        </is>
      </c>
      <c r="B669" t="inlineStr">
        <is>
          <t>avverkningsanmälan</t>
        </is>
      </c>
      <c r="C669" t="inlineStr">
        <is>
          <t>Avverkning för att bevara och utveckla /försöksver</t>
        </is>
      </c>
      <c r="D669" s="1" t="n">
        <v>46098</v>
      </c>
      <c r="E669" s="1" t="n">
        <v>46322</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17234-2024</t>
        </is>
      </c>
      <c r="B670" t="inlineStr">
        <is>
          <t>avverkningsanmälan</t>
        </is>
      </c>
      <c r="C670" t="inlineStr">
        <is>
          <t>Föryngringsavverkning</t>
        </is>
      </c>
      <c r="D670" s="1" t="n">
        <v>45414</v>
      </c>
      <c r="E670" s="1" t="n">
        <v>46322</v>
      </c>
      <c r="F670" t="inlineStr">
        <is>
          <t>JÖNKÖPINGS LÄN</t>
        </is>
      </c>
      <c r="G670" t="inlineStr">
        <is>
          <t>VETLANDA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56909-2022</t>
        </is>
      </c>
      <c r="B671" t="inlineStr">
        <is>
          <t>avverkningsanmälan</t>
        </is>
      </c>
      <c r="C671" t="inlineStr">
        <is>
          <t>Föryngringsavverkning</t>
        </is>
      </c>
      <c r="D671" s="1" t="n">
        <v>44894</v>
      </c>
      <c r="E671" s="1" t="n">
        <v>46322</v>
      </c>
      <c r="F671" t="inlineStr">
        <is>
          <t>JÖNKÖPINGS LÄN</t>
        </is>
      </c>
      <c r="G671" t="inlineStr">
        <is>
          <t>VETLANDA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33416-2024</t>
        </is>
      </c>
      <c r="B672" t="inlineStr">
        <is>
          <t>avverkningsanmälan</t>
        </is>
      </c>
      <c r="C672" t="inlineStr">
        <is>
          <t>Föryngringsavverkning</t>
        </is>
      </c>
      <c r="D672" s="1" t="n">
        <v>45519</v>
      </c>
      <c r="E672" s="1" t="n">
        <v>46322</v>
      </c>
      <c r="F672" t="inlineStr">
        <is>
          <t>JÖNKÖPINGS LÄN</t>
        </is>
      </c>
      <c r="G672" t="inlineStr">
        <is>
          <t>VETLANDA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2815-2024</t>
        </is>
      </c>
      <c r="B673" t="inlineStr">
        <is>
          <t>avverkningsanmälan</t>
        </is>
      </c>
      <c r="C673" t="inlineStr">
        <is>
          <t>Föryngringsavverkning</t>
        </is>
      </c>
      <c r="D673" s="1" t="n">
        <v>45314</v>
      </c>
      <c r="E673" s="1" t="n">
        <v>46322</v>
      </c>
      <c r="F673" t="inlineStr">
        <is>
          <t>JÖNKÖPINGS LÄN</t>
        </is>
      </c>
      <c r="G673" t="inlineStr">
        <is>
          <t>VETLANDA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14180-2026</t>
        </is>
      </c>
      <c r="B674" t="inlineStr">
        <is>
          <t>avverkningsanmälan</t>
        </is>
      </c>
      <c r="C674" t="inlineStr">
        <is>
          <t>Föryngringsavverkning</t>
        </is>
      </c>
      <c r="D674" s="1" t="n">
        <v>46099</v>
      </c>
      <c r="E674" s="1" t="n">
        <v>46322</v>
      </c>
      <c r="F674" t="inlineStr">
        <is>
          <t>JÖNKÖPINGS LÄN</t>
        </is>
      </c>
      <c r="G674" t="inlineStr">
        <is>
          <t>VETLANDA</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19953-2024</t>
        </is>
      </c>
      <c r="B675" t="inlineStr">
        <is>
          <t>avverkningsanmälan</t>
        </is>
      </c>
      <c r="C675" t="inlineStr">
        <is>
          <t>Föryngringsavverkning</t>
        </is>
      </c>
      <c r="D675" s="1" t="n">
        <v>45433</v>
      </c>
      <c r="E675" s="1" t="n">
        <v>46322</v>
      </c>
      <c r="F675" t="inlineStr">
        <is>
          <t>JÖNKÖPINGS LÄN</t>
        </is>
      </c>
      <c r="G675" t="inlineStr">
        <is>
          <t>VETLANDA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27437-2023</t>
        </is>
      </c>
      <c r="B676" t="inlineStr">
        <is>
          <t>avverkningsanmälan</t>
        </is>
      </c>
      <c r="C676" t="inlineStr">
        <is>
          <t>Föryngringsavverkning</t>
        </is>
      </c>
      <c r="D676" s="1" t="n">
        <v>45097</v>
      </c>
      <c r="E676" s="1" t="n">
        <v>46322</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22715-2024</t>
        </is>
      </c>
      <c r="B677" t="inlineStr">
        <is>
          <t>avverkningsanmälan</t>
        </is>
      </c>
      <c r="C677" t="inlineStr">
        <is>
          <t>Föryngringsavverkning</t>
        </is>
      </c>
      <c r="D677" s="1" t="n">
        <v>45448</v>
      </c>
      <c r="E677" s="1" t="n">
        <v>46322</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14361-2026</t>
        </is>
      </c>
      <c r="B678" t="inlineStr">
        <is>
          <t>avverkningsanmälan</t>
        </is>
      </c>
      <c r="C678" t="inlineStr">
        <is>
          <t>Föryngringsavverkning</t>
        </is>
      </c>
      <c r="D678" s="1" t="n">
        <v>46100</v>
      </c>
      <c r="E678" s="1" t="n">
        <v>46322</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14815-2026</t>
        </is>
      </c>
      <c r="B679" t="inlineStr">
        <is>
          <t>avverkningsanmälan</t>
        </is>
      </c>
      <c r="C679" t="inlineStr">
        <is>
          <t>Avverkning för att bevara och utveckla /försöksver</t>
        </is>
      </c>
      <c r="D679" s="1" t="n">
        <v>46104</v>
      </c>
      <c r="E679" s="1" t="n">
        <v>46322</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14816-2026</t>
        </is>
      </c>
      <c r="B680" t="inlineStr">
        <is>
          <t>avverkningsanmälan</t>
        </is>
      </c>
      <c r="C680" t="inlineStr">
        <is>
          <t>Avverkning för att bevara och utveckla /försöksver</t>
        </is>
      </c>
      <c r="D680" s="1" t="n">
        <v>46104</v>
      </c>
      <c r="E680" s="1" t="n">
        <v>46322</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60607-2024</t>
        </is>
      </c>
      <c r="B681" t="inlineStr">
        <is>
          <t>avverkningsanmälan</t>
        </is>
      </c>
      <c r="C681" t="inlineStr">
        <is>
          <t>Föryngringsavverkning</t>
        </is>
      </c>
      <c r="D681" s="1" t="n">
        <v>45644</v>
      </c>
      <c r="E681" s="1" t="n">
        <v>46322</v>
      </c>
      <c r="F681" t="inlineStr">
        <is>
          <t>JÖNKÖPINGS LÄN</t>
        </is>
      </c>
      <c r="G681" t="inlineStr">
        <is>
          <t>VETLANDA</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61721-2024</t>
        </is>
      </c>
      <c r="B682" t="inlineStr">
        <is>
          <t>avverkningsanmälan</t>
        </is>
      </c>
      <c r="C682" t="inlineStr">
        <is>
          <t>Föryngringsavverkning</t>
        </is>
      </c>
      <c r="D682" s="1" t="n">
        <v>45649</v>
      </c>
      <c r="E682" s="1" t="n">
        <v>46322</v>
      </c>
      <c r="F682" t="inlineStr">
        <is>
          <t>JÖNKÖPINGS LÄN</t>
        </is>
      </c>
      <c r="G682" t="inlineStr">
        <is>
          <t>VETLANDA</t>
        </is>
      </c>
      <c r="H682" t="inlineStr">
        <is>
          <t>Kyrkan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31463-2023</t>
        </is>
      </c>
      <c r="B683" t="inlineStr">
        <is>
          <t>avverkningsanmälan</t>
        </is>
      </c>
      <c r="C683" t="inlineStr">
        <is>
          <t>Föryngringsavverkning</t>
        </is>
      </c>
      <c r="D683" s="1" t="n">
        <v>45114</v>
      </c>
      <c r="E683" s="1" t="n">
        <v>46322</v>
      </c>
      <c r="F683" t="inlineStr">
        <is>
          <t>JÖNKÖPINGS LÄN</t>
        </is>
      </c>
      <c r="G683" t="inlineStr">
        <is>
          <t>VETLANDA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15707-2026</t>
        </is>
      </c>
      <c r="B684" t="inlineStr">
        <is>
          <t>avverkningsanmälan</t>
        </is>
      </c>
      <c r="C684" t="inlineStr">
        <is>
          <t>Föryngringsavverkning</t>
        </is>
      </c>
      <c r="D684" s="1" t="n">
        <v>46107</v>
      </c>
      <c r="E684" s="1" t="n">
        <v>46322</v>
      </c>
      <c r="F684" t="inlineStr">
        <is>
          <t>JÖNKÖPINGS LÄN</t>
        </is>
      </c>
      <c r="G684" t="inlineStr">
        <is>
          <t>VETLANDA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48207-2022</t>
        </is>
      </c>
      <c r="B685" t="inlineStr">
        <is>
          <t>avverkningsanmälan</t>
        </is>
      </c>
      <c r="C685" t="inlineStr">
        <is>
          <t>Föryngringsavverkning</t>
        </is>
      </c>
      <c r="D685" s="1" t="n">
        <v>44858</v>
      </c>
      <c r="E685" s="1" t="n">
        <v>46322</v>
      </c>
      <c r="F685" t="inlineStr">
        <is>
          <t>JÖNKÖPINGS LÄN</t>
        </is>
      </c>
      <c r="G685" t="inlineStr">
        <is>
          <t>VETLANDA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15706-2026</t>
        </is>
      </c>
      <c r="B686" t="inlineStr">
        <is>
          <t>avverkningsanmälan</t>
        </is>
      </c>
      <c r="C686" t="inlineStr">
        <is>
          <t>Föryngringsavverkning</t>
        </is>
      </c>
      <c r="D686" s="1" t="n">
        <v>46107</v>
      </c>
      <c r="E686" s="1" t="n">
        <v>46322</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38155-2024</t>
        </is>
      </c>
      <c r="B687" t="inlineStr">
        <is>
          <t>avverkningsanmälan</t>
        </is>
      </c>
      <c r="C687" t="inlineStr">
        <is>
          <t>Föryngringsavverkning</t>
        </is>
      </c>
      <c r="D687" s="1" t="n">
        <v>45545</v>
      </c>
      <c r="E687" s="1" t="n">
        <v>46322</v>
      </c>
      <c r="F687" t="inlineStr">
        <is>
          <t>JÖNKÖPINGS LÄN</t>
        </is>
      </c>
      <c r="G687" t="inlineStr">
        <is>
          <t>VETLANDA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58432-2023</t>
        </is>
      </c>
      <c r="B688" t="inlineStr">
        <is>
          <t>avverkningsanmälan</t>
        </is>
      </c>
      <c r="C688" t="inlineStr">
        <is>
          <t>Föryngringsavverkning</t>
        </is>
      </c>
      <c r="D688" s="1" t="n">
        <v>45250</v>
      </c>
      <c r="E688" s="1" t="n">
        <v>46322</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52201-2023</t>
        </is>
      </c>
      <c r="B689" t="inlineStr">
        <is>
          <t>avverkningsanmälan</t>
        </is>
      </c>
      <c r="C689" t="inlineStr">
        <is>
          <t>Föryngringsavverkning</t>
        </is>
      </c>
      <c r="D689" s="1" t="n">
        <v>45224</v>
      </c>
      <c r="E689" s="1" t="n">
        <v>46322</v>
      </c>
      <c r="F689" t="inlineStr">
        <is>
          <t>JÖNKÖPINGS LÄN</t>
        </is>
      </c>
      <c r="G689" t="inlineStr">
        <is>
          <t>VETLANDA</t>
        </is>
      </c>
      <c r="H689" t="inlineStr">
        <is>
          <t>Sveaskog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15709-2026</t>
        </is>
      </c>
      <c r="B690" t="inlineStr">
        <is>
          <t>avverkningsanmälan</t>
        </is>
      </c>
      <c r="C690" t="inlineStr">
        <is>
          <t>Föryngringsavverkning</t>
        </is>
      </c>
      <c r="D690" s="1" t="n">
        <v>46107</v>
      </c>
      <c r="E690" s="1" t="n">
        <v>46322</v>
      </c>
      <c r="F690" t="inlineStr">
        <is>
          <t>JÖNKÖPINGS LÄN</t>
        </is>
      </c>
      <c r="G690" t="inlineStr">
        <is>
          <t>VETLANDA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16239-2026</t>
        </is>
      </c>
      <c r="B691" t="inlineStr">
        <is>
          <t>avverkningsanmälan</t>
        </is>
      </c>
      <c r="C691" t="inlineStr">
        <is>
          <t>Föryngringsavverkning</t>
        </is>
      </c>
      <c r="D691" s="1" t="n">
        <v>46111</v>
      </c>
      <c r="E691" s="1" t="n">
        <v>46322</v>
      </c>
      <c r="F691" t="inlineStr">
        <is>
          <t>JÖNKÖPINGS LÄN</t>
        </is>
      </c>
      <c r="G691" t="inlineStr">
        <is>
          <t>VETLANDA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16426-2026</t>
        </is>
      </c>
      <c r="B692" t="inlineStr">
        <is>
          <t>avverkningsanmälan</t>
        </is>
      </c>
      <c r="C692" t="inlineStr">
        <is>
          <t>Föryngringsavverkning</t>
        </is>
      </c>
      <c r="D692" s="1" t="n">
        <v>46111</v>
      </c>
      <c r="E692" s="1" t="n">
        <v>46322</v>
      </c>
      <c r="F692" t="inlineStr">
        <is>
          <t>JÖNKÖPINGS LÄN</t>
        </is>
      </c>
      <c r="G692" t="inlineStr">
        <is>
          <t>VETLANDA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18514-2025</t>
        </is>
      </c>
      <c r="B693" t="inlineStr">
        <is>
          <t>avverkningsanmälan</t>
        </is>
      </c>
      <c r="C693" t="inlineStr">
        <is>
          <t>Föryngringsavverkning</t>
        </is>
      </c>
      <c r="D693" s="1" t="n">
        <v>45763</v>
      </c>
      <c r="E693" s="1" t="n">
        <v>46322</v>
      </c>
      <c r="F693" t="inlineStr">
        <is>
          <t>JÖNKÖPINGS LÄN</t>
        </is>
      </c>
      <c r="G693" t="inlineStr">
        <is>
          <t>VETLANDA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1958-2025</t>
        </is>
      </c>
      <c r="B694" t="inlineStr">
        <is>
          <t>avverkningsanmälan</t>
        </is>
      </c>
      <c r="C694" t="inlineStr">
        <is>
          <t>Föryngringsavverkning</t>
        </is>
      </c>
      <c r="D694" s="1" t="n">
        <v>45672</v>
      </c>
      <c r="E694" s="1" t="n">
        <v>46322</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61201-2023</t>
        </is>
      </c>
      <c r="B695" t="inlineStr">
        <is>
          <t>avverkningsanmälan</t>
        </is>
      </c>
      <c r="C695" t="inlineStr">
        <is>
          <t>Föryngringsavverkning</t>
        </is>
      </c>
      <c r="D695" s="1" t="n">
        <v>45264</v>
      </c>
      <c r="E695" s="1" t="n">
        <v>46322</v>
      </c>
      <c r="F695" t="inlineStr">
        <is>
          <t>JÖNKÖPINGS LÄN</t>
        </is>
      </c>
      <c r="G695" t="inlineStr">
        <is>
          <t>VETLANDA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34493-2024</t>
        </is>
      </c>
      <c r="B696" t="inlineStr">
        <is>
          <t>avverkningsanmälan</t>
        </is>
      </c>
      <c r="C696" t="inlineStr">
        <is>
          <t>Avverkning för annat ändamål</t>
        </is>
      </c>
      <c r="D696" s="1" t="n">
        <v>45525</v>
      </c>
      <c r="E696" s="1" t="n">
        <v>46322</v>
      </c>
      <c r="F696" t="inlineStr">
        <is>
          <t>JÖNKÖPINGS LÄN</t>
        </is>
      </c>
      <c r="G696" t="inlineStr">
        <is>
          <t>VETLANDA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6383-2023</t>
        </is>
      </c>
      <c r="B697" t="inlineStr">
        <is>
          <t>avverkningsanmälan</t>
        </is>
      </c>
      <c r="C697" t="inlineStr">
        <is>
          <t>Föryngringsavverkning</t>
        </is>
      </c>
      <c r="D697" s="1" t="n">
        <v>44965</v>
      </c>
      <c r="E697" s="1" t="n">
        <v>46322</v>
      </c>
      <c r="F697" t="inlineStr">
        <is>
          <t>JÖNKÖPINGS LÄN</t>
        </is>
      </c>
      <c r="G697" t="inlineStr">
        <is>
          <t>VETLANDA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603-2023</t>
        </is>
      </c>
      <c r="B698" t="inlineStr">
        <is>
          <t>avverkningsanmälan</t>
        </is>
      </c>
      <c r="C698" t="inlineStr">
        <is>
          <t>Föryngringsavverkning</t>
        </is>
      </c>
      <c r="D698" s="1" t="n">
        <v>44926</v>
      </c>
      <c r="E698" s="1" t="n">
        <v>46322</v>
      </c>
      <c r="F698" t="inlineStr">
        <is>
          <t>JÖNKÖPINGS LÄN</t>
        </is>
      </c>
      <c r="G698" t="inlineStr">
        <is>
          <t>VETLANDA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606-2023</t>
        </is>
      </c>
      <c r="B699" t="inlineStr">
        <is>
          <t>avverkningsanmälan</t>
        </is>
      </c>
      <c r="C699" t="inlineStr">
        <is>
          <t>Föryngringsavverkning</t>
        </is>
      </c>
      <c r="D699" s="1" t="n">
        <v>44926</v>
      </c>
      <c r="E699" s="1" t="n">
        <v>46322</v>
      </c>
      <c r="F699" t="inlineStr">
        <is>
          <t>JÖNKÖPINGS LÄN</t>
        </is>
      </c>
      <c r="G699" t="inlineStr">
        <is>
          <t>VETLANDA</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17562-2026</t>
        </is>
      </c>
      <c r="B700" t="inlineStr">
        <is>
          <t>avverkningsanmälan</t>
        </is>
      </c>
      <c r="C700" t="inlineStr">
        <is>
          <t>Avverkning för att bevara och utveckla /försöksver</t>
        </is>
      </c>
      <c r="D700" s="1" t="n">
        <v>46121</v>
      </c>
      <c r="E700" s="1" t="n">
        <v>46322</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15400-2024</t>
        </is>
      </c>
      <c r="B701" t="inlineStr">
        <is>
          <t>avverkningsanmälan</t>
        </is>
      </c>
      <c r="C701" t="inlineStr">
        <is>
          <t>Föryngringsavverkning</t>
        </is>
      </c>
      <c r="D701" s="1" t="n">
        <v>45401</v>
      </c>
      <c r="E701" s="1" t="n">
        <v>46322</v>
      </c>
      <c r="F701" t="inlineStr">
        <is>
          <t>JÖNKÖPINGS LÄN</t>
        </is>
      </c>
      <c r="G701" t="inlineStr">
        <is>
          <t>VETLANDA</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17837-2026</t>
        </is>
      </c>
      <c r="B702" t="inlineStr">
        <is>
          <t>avverkningsanmälan</t>
        </is>
      </c>
      <c r="C702" t="inlineStr">
        <is>
          <t>Föryngringsavverkning</t>
        </is>
      </c>
      <c r="D702" s="1" t="n">
        <v>46122</v>
      </c>
      <c r="E702" s="1" t="n">
        <v>46322</v>
      </c>
      <c r="F702" t="inlineStr">
        <is>
          <t>JÖNKÖPINGS LÄN</t>
        </is>
      </c>
      <c r="G702" t="inlineStr">
        <is>
          <t>VETLANDA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32631-2026</t>
        </is>
      </c>
      <c r="B703" t="inlineStr">
        <is>
          <t>avverkningsanmälan</t>
        </is>
      </c>
      <c r="C703" t="inlineStr">
        <is>
          <t>Föryngringsavverkning</t>
        </is>
      </c>
      <c r="D703" s="1" t="n">
        <v>46240</v>
      </c>
      <c r="E703" s="1" t="n">
        <v>46322</v>
      </c>
      <c r="F703" t="inlineStr">
        <is>
          <t>JÖNKÖPINGS LÄN</t>
        </is>
      </c>
      <c r="G703" t="inlineStr">
        <is>
          <t>VETLANDA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17561-2026</t>
        </is>
      </c>
      <c r="B704" t="inlineStr">
        <is>
          <t>avverkningsanmälan</t>
        </is>
      </c>
      <c r="C704" t="inlineStr">
        <is>
          <t>Föryngringsavverkning</t>
        </is>
      </c>
      <c r="D704" s="1" t="n">
        <v>46121</v>
      </c>
      <c r="E704" s="1" t="n">
        <v>46322</v>
      </c>
      <c r="F704" t="inlineStr">
        <is>
          <t>JÖNKÖPINGS LÄN</t>
        </is>
      </c>
      <c r="G704" t="inlineStr">
        <is>
          <t>VETLANDA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14113-2024</t>
        </is>
      </c>
      <c r="B705" t="inlineStr">
        <is>
          <t>avverkningsanmälan</t>
        </is>
      </c>
      <c r="C705" t="inlineStr">
        <is>
          <t>Föryngringsavverkning</t>
        </is>
      </c>
      <c r="D705" s="1" t="n">
        <v>45392</v>
      </c>
      <c r="E705" s="1" t="n">
        <v>46322</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14435-2024</t>
        </is>
      </c>
      <c r="B706" t="inlineStr">
        <is>
          <t>avverkningsanmälan</t>
        </is>
      </c>
      <c r="C706" t="inlineStr">
        <is>
          <t>Föryngringsavverkning</t>
        </is>
      </c>
      <c r="D706" s="1" t="n">
        <v>45394</v>
      </c>
      <c r="E706" s="1" t="n">
        <v>46322</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18379-2026</t>
        </is>
      </c>
      <c r="B707" t="inlineStr">
        <is>
          <t>avverkningsanmälan</t>
        </is>
      </c>
      <c r="C707" t="inlineStr">
        <is>
          <t>Föryngringsavverkning</t>
        </is>
      </c>
      <c r="D707" s="1" t="n">
        <v>46126</v>
      </c>
      <c r="E707" s="1" t="n">
        <v>46322</v>
      </c>
      <c r="F707" t="inlineStr">
        <is>
          <t>JÖNKÖPINGS LÄN</t>
        </is>
      </c>
      <c r="G707" t="inlineStr">
        <is>
          <t>VETLANDA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6830-2022</t>
        </is>
      </c>
      <c r="B708" t="inlineStr">
        <is>
          <t>avverkningsanmälan</t>
        </is>
      </c>
      <c r="C708" t="inlineStr">
        <is>
          <t>Föryngringsavverkning</t>
        </is>
      </c>
      <c r="D708" s="1" t="n">
        <v>44602</v>
      </c>
      <c r="E708" s="1" t="n">
        <v>46322</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18671-2026</t>
        </is>
      </c>
      <c r="B709" t="inlineStr">
        <is>
          <t>avverkningsanmälan</t>
        </is>
      </c>
      <c r="C709" t="inlineStr">
        <is>
          <t>Föryngringsavverkning</t>
        </is>
      </c>
      <c r="D709" s="1" t="n">
        <v>46128</v>
      </c>
      <c r="E709" s="1" t="n">
        <v>46322</v>
      </c>
      <c r="F709" t="inlineStr">
        <is>
          <t>JÖNKÖPINGS LÄN</t>
        </is>
      </c>
      <c r="G709" t="inlineStr">
        <is>
          <t>VETLANDA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18676-2026</t>
        </is>
      </c>
      <c r="B710" t="inlineStr">
        <is>
          <t>avverkningsanmälan</t>
        </is>
      </c>
      <c r="C710" t="inlineStr">
        <is>
          <t>Föryngringsavverkning</t>
        </is>
      </c>
      <c r="D710" s="1" t="n">
        <v>46128</v>
      </c>
      <c r="E710" s="1" t="n">
        <v>46322</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18677-2026</t>
        </is>
      </c>
      <c r="B711" t="inlineStr">
        <is>
          <t>avverkningsanmälan</t>
        </is>
      </c>
      <c r="C711" t="inlineStr">
        <is>
          <t>Föryngringsavverkning</t>
        </is>
      </c>
      <c r="D711" s="1" t="n">
        <v>46128</v>
      </c>
      <c r="E711" s="1" t="n">
        <v>46322</v>
      </c>
      <c r="F711" t="inlineStr">
        <is>
          <t>JÖNKÖPINGS LÄN</t>
        </is>
      </c>
      <c r="G711" t="inlineStr">
        <is>
          <t>VETLANDA</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18675-2026</t>
        </is>
      </c>
      <c r="B712" t="inlineStr">
        <is>
          <t>avverkningsanmälan</t>
        </is>
      </c>
      <c r="C712" t="inlineStr">
        <is>
          <t>Föryngringsavverkning</t>
        </is>
      </c>
      <c r="D712" s="1" t="n">
        <v>46128</v>
      </c>
      <c r="E712" s="1" t="n">
        <v>46322</v>
      </c>
      <c r="F712" t="inlineStr">
        <is>
          <t>JÖNKÖPINGS LÄN</t>
        </is>
      </c>
      <c r="G712" t="inlineStr">
        <is>
          <t>VETLANDA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13756-2023</t>
        </is>
      </c>
      <c r="B713" t="inlineStr">
        <is>
          <t>avverkningsanmälan</t>
        </is>
      </c>
      <c r="C713" t="inlineStr">
        <is>
          <t>Föryngringsavverkning</t>
        </is>
      </c>
      <c r="D713" s="1" t="n">
        <v>45007</v>
      </c>
      <c r="E713" s="1" t="n">
        <v>46322</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43437-2024</t>
        </is>
      </c>
      <c r="B714" t="inlineStr">
        <is>
          <t>avverkningsanmälan</t>
        </is>
      </c>
      <c r="C714" t="inlineStr">
        <is>
          <t>Föryngringsavverkning</t>
        </is>
      </c>
      <c r="D714" s="1" t="n">
        <v>45568</v>
      </c>
      <c r="E714" s="1" t="n">
        <v>46322</v>
      </c>
      <c r="F714" t="inlineStr">
        <is>
          <t>JÖNKÖPINGS LÄN</t>
        </is>
      </c>
      <c r="G714" t="inlineStr">
        <is>
          <t>VETLANDA</t>
        </is>
      </c>
      <c r="H714" t="inlineStr">
        <is>
          <t>Kyrkan</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18494-2026</t>
        </is>
      </c>
      <c r="B715" t="inlineStr">
        <is>
          <t>avverkningsanmälan</t>
        </is>
      </c>
      <c r="C715" t="inlineStr">
        <is>
          <t>Föryngringsavverkning</t>
        </is>
      </c>
      <c r="D715" s="1" t="n">
        <v>46127</v>
      </c>
      <c r="E715" s="1" t="n">
        <v>46322</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18673-2026</t>
        </is>
      </c>
      <c r="B716" t="inlineStr">
        <is>
          <t>avverkningsanmälan</t>
        </is>
      </c>
      <c r="C716" t="inlineStr">
        <is>
          <t>Föryngringsavverkning</t>
        </is>
      </c>
      <c r="D716" s="1" t="n">
        <v>46128</v>
      </c>
      <c r="E716" s="1" t="n">
        <v>46322</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471-2024</t>
        </is>
      </c>
      <c r="B717" t="inlineStr">
        <is>
          <t>avverkningsanmälan</t>
        </is>
      </c>
      <c r="C717" t="inlineStr">
        <is>
          <t>Föryngringsavverkning</t>
        </is>
      </c>
      <c r="D717" s="1" t="n">
        <v>45297</v>
      </c>
      <c r="E717" s="1" t="n">
        <v>46322</v>
      </c>
      <c r="F717" t="inlineStr">
        <is>
          <t>JÖNKÖPINGS LÄN</t>
        </is>
      </c>
      <c r="G717" t="inlineStr">
        <is>
          <t>VETLANDA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54905-2023</t>
        </is>
      </c>
      <c r="B718" t="inlineStr">
        <is>
          <t>avverkningsanmälan</t>
        </is>
      </c>
      <c r="C718" t="inlineStr">
        <is>
          <t>Föryngringsavverkning</t>
        </is>
      </c>
      <c r="D718" s="1" t="n">
        <v>45236</v>
      </c>
      <c r="E718" s="1" t="n">
        <v>46322</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38513-2026</t>
        </is>
      </c>
      <c r="B719" t="inlineStr">
        <is>
          <t>avverkningsanmälan</t>
        </is>
      </c>
      <c r="C719" t="inlineStr">
        <is>
          <t>Föryngringsavverkning</t>
        </is>
      </c>
      <c r="D719" s="1" t="n">
        <v>46283</v>
      </c>
      <c r="E719" s="1" t="n">
        <v>46322</v>
      </c>
      <c r="F719" t="inlineStr">
        <is>
          <t>JÖNKÖPINGS LÄN</t>
        </is>
      </c>
      <c r="G719" t="inlineStr">
        <is>
          <t>VETLANDA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56414-2024</t>
        </is>
      </c>
      <c r="B720" t="inlineStr">
        <is>
          <t>avverkningsanmälan</t>
        </is>
      </c>
      <c r="C720" t="inlineStr">
        <is>
          <t>Föryngringsavverkning</t>
        </is>
      </c>
      <c r="D720" s="1" t="n">
        <v>45625</v>
      </c>
      <c r="E720" s="1" t="n">
        <v>46322</v>
      </c>
      <c r="F720" t="inlineStr">
        <is>
          <t>JÖNKÖPINGS LÄN</t>
        </is>
      </c>
      <c r="G720" t="inlineStr">
        <is>
          <t>VETLANDA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19625-2026</t>
        </is>
      </c>
      <c r="B721" t="inlineStr">
        <is>
          <t>avverkningsanmälan</t>
        </is>
      </c>
      <c r="C721" t="inlineStr">
        <is>
          <t>Föryngringsavverkning</t>
        </is>
      </c>
      <c r="D721" s="1" t="n">
        <v>46133</v>
      </c>
      <c r="E721" s="1" t="n">
        <v>46322</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29207-2023</t>
        </is>
      </c>
      <c r="B722" t="inlineStr">
        <is>
          <t>avverkningsanmälan</t>
        </is>
      </c>
      <c r="C722" t="inlineStr">
        <is>
          <t>Föryngringsavverkning</t>
        </is>
      </c>
      <c r="D722" s="1" t="n">
        <v>45105</v>
      </c>
      <c r="E722" s="1" t="n">
        <v>46322</v>
      </c>
      <c r="F722" t="inlineStr">
        <is>
          <t>JÖNKÖPINGS LÄN</t>
        </is>
      </c>
      <c r="G722" t="inlineStr">
        <is>
          <t>VETLANDA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19628-2026</t>
        </is>
      </c>
      <c r="B723" t="inlineStr">
        <is>
          <t>avverkningsanmälan</t>
        </is>
      </c>
      <c r="C723" t="inlineStr">
        <is>
          <t>Föryngringsavverkning</t>
        </is>
      </c>
      <c r="D723" s="1" t="n">
        <v>46133</v>
      </c>
      <c r="E723" s="1" t="n">
        <v>46322</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48751-2022</t>
        </is>
      </c>
      <c r="B724" t="inlineStr">
        <is>
          <t>avverkningsanmälan</t>
        </is>
      </c>
      <c r="C724" t="inlineStr">
        <is>
          <t>Föryngringsavverkning</t>
        </is>
      </c>
      <c r="D724" s="1" t="n">
        <v>44859</v>
      </c>
      <c r="E724" s="1" t="n">
        <v>46322</v>
      </c>
      <c r="F724" t="inlineStr">
        <is>
          <t>JÖNKÖPINGS LÄN</t>
        </is>
      </c>
      <c r="G724" t="inlineStr">
        <is>
          <t>VETLANDA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2496-2025</t>
        </is>
      </c>
      <c r="B725" t="inlineStr">
        <is>
          <t>avverkningsanmälan</t>
        </is>
      </c>
      <c r="C725" t="inlineStr">
        <is>
          <t>Föryngringsavverkning</t>
        </is>
      </c>
      <c r="D725" s="1" t="n">
        <v>45674</v>
      </c>
      <c r="E725" s="1" t="n">
        <v>46322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41902-2025</t>
        </is>
      </c>
      <c r="B726" t="inlineStr">
        <is>
          <t>avverkningsanmälan</t>
        </is>
      </c>
      <c r="C726" t="inlineStr">
        <is>
          <t>Föryngringsavverkning</t>
        </is>
      </c>
      <c r="D726" s="1" t="n">
        <v>45903</v>
      </c>
      <c r="E726" s="1" t="n">
        <v>46322</v>
      </c>
      <c r="F726" t="inlineStr">
        <is>
          <t>JÖNKÖPINGS LÄN</t>
        </is>
      </c>
      <c r="G726" t="inlineStr">
        <is>
          <t>VETLANDA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32691-2025</t>
        </is>
      </c>
      <c r="B727" t="inlineStr">
        <is>
          <t>avverkningsanmälan</t>
        </is>
      </c>
      <c r="C727" t="inlineStr">
        <is>
          <t>Föryngringsavverkning</t>
        </is>
      </c>
      <c r="D727" s="1" t="n">
        <v>45839</v>
      </c>
      <c r="E727" s="1" t="n">
        <v>46322</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6433-2025</t>
        </is>
      </c>
      <c r="B728" t="inlineStr">
        <is>
          <t>avverkningsanmälan</t>
        </is>
      </c>
      <c r="C728" t="inlineStr">
        <is>
          <t>Föryngringsavverkning</t>
        </is>
      </c>
      <c r="D728" s="1" t="n">
        <v>45699</v>
      </c>
      <c r="E728" s="1" t="n">
        <v>46322</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30366-2025</t>
        </is>
      </c>
      <c r="B729" t="inlineStr">
        <is>
          <t>avverkningsanmälan</t>
        </is>
      </c>
      <c r="C729" t="inlineStr">
        <is>
          <t>Föryngringsavverkning</t>
        </is>
      </c>
      <c r="D729" s="1" t="n">
        <v>45827</v>
      </c>
      <c r="E729" s="1" t="n">
        <v>46322</v>
      </c>
      <c r="F729" t="inlineStr">
        <is>
          <t>JÖNKÖPINGS LÄN</t>
        </is>
      </c>
      <c r="G729" t="inlineStr">
        <is>
          <t>VETLANDA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2671-2026</t>
        </is>
      </c>
      <c r="B730" t="inlineStr">
        <is>
          <t>avverkningsanmälan</t>
        </is>
      </c>
      <c r="C730" t="inlineStr">
        <is>
          <t>Föryngringsavverkning</t>
        </is>
      </c>
      <c r="D730" s="1" t="n">
        <v>46037</v>
      </c>
      <c r="E730" s="1" t="n">
        <v>46322</v>
      </c>
      <c r="F730" t="inlineStr">
        <is>
          <t>JÖNKÖPINGS LÄN</t>
        </is>
      </c>
      <c r="G730" t="inlineStr">
        <is>
          <t>VETLANDA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50433-2025</t>
        </is>
      </c>
      <c r="B731" t="inlineStr">
        <is>
          <t>avverkningsanmälan</t>
        </is>
      </c>
      <c r="C731" t="inlineStr">
        <is>
          <t>Föryngringsavverkning</t>
        </is>
      </c>
      <c r="D731" s="1" t="n">
        <v>45944</v>
      </c>
      <c r="E731" s="1" t="n">
        <v>46322</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30607-2023</t>
        </is>
      </c>
      <c r="B732" t="inlineStr">
        <is>
          <t>avverkningsanmälan</t>
        </is>
      </c>
      <c r="C732" t="inlineStr">
        <is>
          <t>Föryngringsavverkning</t>
        </is>
      </c>
      <c r="D732" s="1" t="n">
        <v>45112</v>
      </c>
      <c r="E732" s="1" t="n">
        <v>46322</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32892-2026</t>
        </is>
      </c>
      <c r="B733" t="inlineStr">
        <is>
          <t>avverkningsanmälan</t>
        </is>
      </c>
      <c r="C733" t="inlineStr">
        <is>
          <t>Föryngringsavverkning</t>
        </is>
      </c>
      <c r="D733" s="1" t="n">
        <v>46244</v>
      </c>
      <c r="E733" s="1" t="n">
        <v>46322</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39990-2025</t>
        </is>
      </c>
      <c r="B734" t="inlineStr">
        <is>
          <t>avverkningsanmälan</t>
        </is>
      </c>
      <c r="C734" t="inlineStr">
        <is>
          <t>Föryngringsavverkning</t>
        </is>
      </c>
      <c r="D734" s="1" t="n">
        <v>45891</v>
      </c>
      <c r="E734" s="1" t="n">
        <v>46322</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2549-2024</t>
        </is>
      </c>
      <c r="B735" t="inlineStr">
        <is>
          <t>avverkningsanmälan</t>
        </is>
      </c>
      <c r="C735" t="inlineStr">
        <is>
          <t>Föryngringsavverkning</t>
        </is>
      </c>
      <c r="D735" s="1" t="n">
        <v>45313</v>
      </c>
      <c r="E735" s="1" t="n">
        <v>46322</v>
      </c>
      <c r="F735" t="inlineStr">
        <is>
          <t>JÖNKÖPINGS LÄN</t>
        </is>
      </c>
      <c r="G735" t="inlineStr">
        <is>
          <t>VETLANDA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25011-2025</t>
        </is>
      </c>
      <c r="B736" t="inlineStr">
        <is>
          <t>avverkningsanmälan</t>
        </is>
      </c>
      <c r="C736" t="inlineStr">
        <is>
          <t>Föryngringsavverkning</t>
        </is>
      </c>
      <c r="D736" s="1" t="n">
        <v>45799</v>
      </c>
      <c r="E736" s="1" t="n">
        <v>46322</v>
      </c>
      <c r="F736" t="inlineStr">
        <is>
          <t>JÖNKÖPINGS LÄN</t>
        </is>
      </c>
      <c r="G736" t="inlineStr">
        <is>
          <t>VETLANDA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1631-2024</t>
        </is>
      </c>
      <c r="B737" t="inlineStr">
        <is>
          <t>avverkningsanmälan</t>
        </is>
      </c>
      <c r="C737" t="inlineStr">
        <is>
          <t>Föryngringsavverkning</t>
        </is>
      </c>
      <c r="D737" s="1" t="n">
        <v>45306</v>
      </c>
      <c r="E737" s="1" t="n">
        <v>46322</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14674-2022</t>
        </is>
      </c>
      <c r="B738" t="inlineStr">
        <is>
          <t>avverkningsanmälan</t>
        </is>
      </c>
      <c r="C738" t="inlineStr">
        <is>
          <t>Föryngringsavverkning</t>
        </is>
      </c>
      <c r="D738" s="1" t="n">
        <v>44655</v>
      </c>
      <c r="E738" s="1" t="n">
        <v>46322</v>
      </c>
      <c r="F738" t="inlineStr">
        <is>
          <t>JÖNKÖPINGS LÄN</t>
        </is>
      </c>
      <c r="G738" t="inlineStr">
        <is>
          <t>VETLANDA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7833-2023</t>
        </is>
      </c>
      <c r="B739" t="inlineStr">
        <is>
          <t>avverkningsanmälan</t>
        </is>
      </c>
      <c r="C739" t="inlineStr">
        <is>
          <t>Föryngringsavverkning</t>
        </is>
      </c>
      <c r="D739" s="1" t="n">
        <v>44970</v>
      </c>
      <c r="E739" s="1" t="n">
        <v>46322</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47768-2025</t>
        </is>
      </c>
      <c r="B740" t="inlineStr">
        <is>
          <t>avverkningsanmälan</t>
        </is>
      </c>
      <c r="C740" t="inlineStr">
        <is>
          <t>Föryngringsavverkning</t>
        </is>
      </c>
      <c r="D740" s="1" t="n">
        <v>45931</v>
      </c>
      <c r="E740" s="1" t="n">
        <v>46322</v>
      </c>
      <c r="F740" t="inlineStr">
        <is>
          <t>JÖNKÖPINGS LÄN</t>
        </is>
      </c>
      <c r="G740" t="inlineStr">
        <is>
          <t>VETLANDA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4964-2024</t>
        </is>
      </c>
      <c r="B741" t="inlineStr">
        <is>
          <t>avverkningsanmälan</t>
        </is>
      </c>
      <c r="C741" t="inlineStr">
        <is>
          <t>Föryngringsavverkning</t>
        </is>
      </c>
      <c r="D741" s="1" t="n">
        <v>45329</v>
      </c>
      <c r="E741" s="1" t="n">
        <v>46322</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64198-2021</t>
        </is>
      </c>
      <c r="B742" t="inlineStr">
        <is>
          <t>avverkningsanmälan</t>
        </is>
      </c>
      <c r="C742" t="inlineStr">
        <is>
          <t>Föryngringsavverkning</t>
        </is>
      </c>
      <c r="D742" s="1" t="n">
        <v>44510</v>
      </c>
      <c r="E742" s="1" t="n">
        <v>46322</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46143-2022</t>
        </is>
      </c>
      <c r="B743" t="inlineStr">
        <is>
          <t>avverkningsanmälan</t>
        </is>
      </c>
      <c r="C743" t="inlineStr">
        <is>
          <t>Föryngringsavverkning</t>
        </is>
      </c>
      <c r="D743" s="1" t="n">
        <v>44847</v>
      </c>
      <c r="E743" s="1" t="n">
        <v>46322</v>
      </c>
      <c r="F743" t="inlineStr">
        <is>
          <t>JÖNKÖPINGS LÄN</t>
        </is>
      </c>
      <c r="G743" t="inlineStr">
        <is>
          <t>VETLANDA</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40257-2025</t>
        </is>
      </c>
      <c r="B744" t="inlineStr">
        <is>
          <t>avverkningsanmälan</t>
        </is>
      </c>
      <c r="C744" t="inlineStr">
        <is>
          <t>Föryngringsavverkning</t>
        </is>
      </c>
      <c r="D744" s="1" t="n">
        <v>45895</v>
      </c>
      <c r="E744" s="1" t="n">
        <v>46322</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38275-2025</t>
        </is>
      </c>
      <c r="B745" t="inlineStr">
        <is>
          <t>avverkningsanmälan</t>
        </is>
      </c>
      <c r="C745" t="inlineStr">
        <is>
          <t>Föryngringsavverkning</t>
        </is>
      </c>
      <c r="D745" s="1" t="n">
        <v>45883</v>
      </c>
      <c r="E745" s="1" t="n">
        <v>46322</v>
      </c>
      <c r="F745" t="inlineStr">
        <is>
          <t>JÖNKÖPINGS LÄN</t>
        </is>
      </c>
      <c r="G745" t="inlineStr">
        <is>
          <t>VETLANDA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42493-2023</t>
        </is>
      </c>
      <c r="B746" t="inlineStr">
        <is>
          <t>avverkningsanmälan</t>
        </is>
      </c>
      <c r="C746" t="inlineStr">
        <is>
          <t>Föryngringsavverkning</t>
        </is>
      </c>
      <c r="D746" s="1" t="n">
        <v>45180</v>
      </c>
      <c r="E746" s="1" t="n">
        <v>46322</v>
      </c>
      <c r="F746" t="inlineStr">
        <is>
          <t>JÖNKÖPINGS LÄN</t>
        </is>
      </c>
      <c r="G746" t="inlineStr">
        <is>
          <t>VETLANDA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40884-2023</t>
        </is>
      </c>
      <c r="B747" t="inlineStr">
        <is>
          <t>avverkningsanmälan</t>
        </is>
      </c>
      <c r="C747" t="inlineStr">
        <is>
          <t>Föryngringsavverkning</t>
        </is>
      </c>
      <c r="D747" s="1" t="n">
        <v>45173</v>
      </c>
      <c r="E747" s="1" t="n">
        <v>46322</v>
      </c>
      <c r="F747" t="inlineStr">
        <is>
          <t>JÖNKÖPINGS LÄN</t>
        </is>
      </c>
      <c r="G747" t="inlineStr">
        <is>
          <t>VETLANDA</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40890-2023</t>
        </is>
      </c>
      <c r="B748" t="inlineStr">
        <is>
          <t>avverkningsanmälan</t>
        </is>
      </c>
      <c r="C748" t="inlineStr">
        <is>
          <t>Föryngringsavverkning</t>
        </is>
      </c>
      <c r="D748" s="1" t="n">
        <v>45173</v>
      </c>
      <c r="E748" s="1" t="n">
        <v>46322</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52301-2025</t>
        </is>
      </c>
      <c r="B749" t="inlineStr">
        <is>
          <t>avverkningsanmälan</t>
        </is>
      </c>
      <c r="C749" t="inlineStr">
        <is>
          <t>Föryngringsavverkning</t>
        </is>
      </c>
      <c r="D749" s="1" t="n">
        <v>45953</v>
      </c>
      <c r="E749" s="1" t="n">
        <v>46322</v>
      </c>
      <c r="F749" t="inlineStr">
        <is>
          <t>JÖNKÖPINGS LÄN</t>
        </is>
      </c>
      <c r="G749" t="inlineStr">
        <is>
          <t>VETLANDA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33298-2026</t>
        </is>
      </c>
      <c r="B750" t="inlineStr">
        <is>
          <t>avverkningsanmälan</t>
        </is>
      </c>
      <c r="C750" t="inlineStr">
        <is>
          <t>Avverkning för annat ändamål</t>
        </is>
      </c>
      <c r="D750" s="1" t="n">
        <v>46245</v>
      </c>
      <c r="E750" s="1" t="n">
        <v>46322</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32893-2026</t>
        </is>
      </c>
      <c r="B751" t="inlineStr">
        <is>
          <t>avverkningsanmälan</t>
        </is>
      </c>
      <c r="C751" t="inlineStr">
        <is>
          <t>Föryngringsavverkning</t>
        </is>
      </c>
      <c r="D751" s="1" t="n">
        <v>46244</v>
      </c>
      <c r="E751" s="1" t="n">
        <v>46322</v>
      </c>
      <c r="F751" t="inlineStr">
        <is>
          <t>JÖNKÖPINGS LÄN</t>
        </is>
      </c>
      <c r="G751" t="inlineStr">
        <is>
          <t>VETLANDA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7366-2024</t>
        </is>
      </c>
      <c r="B752" t="inlineStr">
        <is>
          <t>avverkningsanmälan</t>
        </is>
      </c>
      <c r="C752" t="inlineStr">
        <is>
          <t>Föryngringsavverkning</t>
        </is>
      </c>
      <c r="D752" s="1" t="n">
        <v>45345</v>
      </c>
      <c r="E752" s="1" t="n">
        <v>46322</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34799-2024</t>
        </is>
      </c>
      <c r="B753" t="inlineStr">
        <is>
          <t>avverkningsanmälan</t>
        </is>
      </c>
      <c r="C753" t="inlineStr">
        <is>
          <t>Föryngringsavverkning</t>
        </is>
      </c>
      <c r="D753" s="1" t="n">
        <v>45526</v>
      </c>
      <c r="E753" s="1" t="n">
        <v>46322</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40448-2023</t>
        </is>
      </c>
      <c r="B754" t="inlineStr">
        <is>
          <t>avverkningsanmälan</t>
        </is>
      </c>
      <c r="C754" t="inlineStr">
        <is>
          <t>Föryngringsavverkning</t>
        </is>
      </c>
      <c r="D754" s="1" t="n">
        <v>45170</v>
      </c>
      <c r="E754" s="1" t="n">
        <v>46322</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40453-2023</t>
        </is>
      </c>
      <c r="B755" t="inlineStr">
        <is>
          <t>avverkningsanmälan</t>
        </is>
      </c>
      <c r="C755" t="inlineStr">
        <is>
          <t>Föryngringsavverkning</t>
        </is>
      </c>
      <c r="D755" s="1" t="n">
        <v>45170</v>
      </c>
      <c r="E755" s="1" t="n">
        <v>46322</v>
      </c>
      <c r="F755" t="inlineStr">
        <is>
          <t>JÖNKÖPINGS LÄN</t>
        </is>
      </c>
      <c r="G755" t="inlineStr">
        <is>
          <t>VETLANDA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41686-2025</t>
        </is>
      </c>
      <c r="B756" t="inlineStr">
        <is>
          <t>avverkningsanmälan</t>
        </is>
      </c>
      <c r="C756" t="inlineStr">
        <is>
          <t>Föryngringsavverkning</t>
        </is>
      </c>
      <c r="D756" s="1" t="n">
        <v>45902</v>
      </c>
      <c r="E756" s="1" t="n">
        <v>46322</v>
      </c>
      <c r="F756" t="inlineStr">
        <is>
          <t>JÖNKÖPINGS LÄN</t>
        </is>
      </c>
      <c r="G756" t="inlineStr">
        <is>
          <t>VETLANDA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16478-2026</t>
        </is>
      </c>
      <c r="B757" t="inlineStr">
        <is>
          <t>avverkningsanmälan</t>
        </is>
      </c>
      <c r="C757" t="inlineStr">
        <is>
          <t>Avverkning för annat ändamål</t>
        </is>
      </c>
      <c r="D757" s="1" t="n">
        <v>46112</v>
      </c>
      <c r="E757" s="1" t="n">
        <v>46322</v>
      </c>
      <c r="F757" t="inlineStr">
        <is>
          <t>JÖNKÖPINGS LÄN</t>
        </is>
      </c>
      <c r="G757" t="inlineStr">
        <is>
          <t>VETLANDA</t>
        </is>
      </c>
      <c r="H757" t="inlineStr">
        <is>
          <t>Kommuner</t>
        </is>
      </c>
      <c r="I757" t="n">
        <v>11.1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54406-2025</t>
        </is>
      </c>
      <c r="B758" t="inlineStr">
        <is>
          <t>avverkningsanmälan</t>
        </is>
      </c>
      <c r="C758" t="inlineStr">
        <is>
          <t>Föryngringsavverkning</t>
        </is>
      </c>
      <c r="D758" s="1" t="n">
        <v>45965</v>
      </c>
      <c r="E758" s="1" t="n">
        <v>46322</v>
      </c>
      <c r="F758" t="inlineStr">
        <is>
          <t>JÖNKÖPINGS LÄN</t>
        </is>
      </c>
      <c r="G758" t="inlineStr">
        <is>
          <t>VETLANDA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34498-2024</t>
        </is>
      </c>
      <c r="B759" t="inlineStr">
        <is>
          <t>avverkningsanmälan</t>
        </is>
      </c>
      <c r="C759" t="inlineStr">
        <is>
          <t>Föryngringsavverkning</t>
        </is>
      </c>
      <c r="D759" s="1" t="n">
        <v>45525</v>
      </c>
      <c r="E759" s="1" t="n">
        <v>46322</v>
      </c>
      <c r="F759" t="inlineStr">
        <is>
          <t>JÖNKÖPINGS LÄN</t>
        </is>
      </c>
      <c r="G759" t="inlineStr">
        <is>
          <t>VETLANDA</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22253-2025</t>
        </is>
      </c>
      <c r="B760" t="inlineStr">
        <is>
          <t>avverkningsanmälan</t>
        </is>
      </c>
      <c r="C760" t="inlineStr">
        <is>
          <t>Föryngringsavverkning</t>
        </is>
      </c>
      <c r="D760" s="1" t="n">
        <v>45785</v>
      </c>
      <c r="E760" s="1" t="n">
        <v>46322</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43854-2025</t>
        </is>
      </c>
      <c r="B761" t="inlineStr">
        <is>
          <t>avverkningsanmälan</t>
        </is>
      </c>
      <c r="C761" t="inlineStr">
        <is>
          <t>Föryngringsavverkning</t>
        </is>
      </c>
      <c r="D761" s="1" t="n">
        <v>45912</v>
      </c>
      <c r="E761" s="1" t="n">
        <v>46322</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1314-2024</t>
        </is>
      </c>
      <c r="B762" t="inlineStr">
        <is>
          <t>avverkningsanmälan</t>
        </is>
      </c>
      <c r="C762" t="inlineStr">
        <is>
          <t>Föryngringsavverkning</t>
        </is>
      </c>
      <c r="D762" s="1" t="n">
        <v>45303</v>
      </c>
      <c r="E762" s="1" t="n">
        <v>46322</v>
      </c>
      <c r="F762" t="inlineStr">
        <is>
          <t>JÖNKÖPINGS LÄN</t>
        </is>
      </c>
      <c r="G762" t="inlineStr">
        <is>
          <t>VETLANDA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33245-2025</t>
        </is>
      </c>
      <c r="B763" t="inlineStr">
        <is>
          <t>avverkningsanmälan</t>
        </is>
      </c>
      <c r="C763" t="inlineStr">
        <is>
          <t>Föryngringsavverkning</t>
        </is>
      </c>
      <c r="D763" s="1" t="n">
        <v>45840</v>
      </c>
      <c r="E763" s="1" t="n">
        <v>46322</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28838-2023</t>
        </is>
      </c>
      <c r="B764" t="inlineStr">
        <is>
          <t>avverkningsanmälan</t>
        </is>
      </c>
      <c r="C764" t="inlineStr">
        <is>
          <t>Föryngringsavverkning</t>
        </is>
      </c>
      <c r="D764" s="1" t="n">
        <v>45104</v>
      </c>
      <c r="E764" s="1" t="n">
        <v>46322</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36040-2025</t>
        </is>
      </c>
      <c r="B765" t="inlineStr">
        <is>
          <t>avverkningsanmälan</t>
        </is>
      </c>
      <c r="C765" t="inlineStr">
        <is>
          <t>Föryngringsavverkning</t>
        </is>
      </c>
      <c r="D765" s="1" t="n">
        <v>45866</v>
      </c>
      <c r="E765" s="1" t="n">
        <v>46322</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46285-2025</t>
        </is>
      </c>
      <c r="B766" t="inlineStr">
        <is>
          <t>avverkningsanmälan</t>
        </is>
      </c>
      <c r="C766" t="inlineStr">
        <is>
          <t>Föryngringsavverkning</t>
        </is>
      </c>
      <c r="D766" s="1" t="n">
        <v>45925</v>
      </c>
      <c r="E766" s="1" t="n">
        <v>46322</v>
      </c>
      <c r="F766" t="inlineStr">
        <is>
          <t>JÖNKÖPINGS LÄN</t>
        </is>
      </c>
      <c r="G766" t="inlineStr">
        <is>
          <t>VETLANDA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55398-2025</t>
        </is>
      </c>
      <c r="B767" t="inlineStr">
        <is>
          <t>avverkningsanmälan</t>
        </is>
      </c>
      <c r="C767" t="inlineStr">
        <is>
          <t>Föryngringsavverkning</t>
        </is>
      </c>
      <c r="D767" s="1" t="n">
        <v>45971</v>
      </c>
      <c r="E767" s="1" t="n">
        <v>46322</v>
      </c>
      <c r="F767" t="inlineStr">
        <is>
          <t>JÖNKÖPINGS LÄN</t>
        </is>
      </c>
      <c r="G767" t="inlineStr">
        <is>
          <t>VETLANDA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62324-2025</t>
        </is>
      </c>
      <c r="B768" t="inlineStr">
        <is>
          <t>avverkningsanmälan</t>
        </is>
      </c>
      <c r="C768" t="inlineStr">
        <is>
          <t>Föryngringsavverkning</t>
        </is>
      </c>
      <c r="D768" s="1" t="n">
        <v>46006</v>
      </c>
      <c r="E768" s="1" t="n">
        <v>46322</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18517-2025</t>
        </is>
      </c>
      <c r="B769" t="inlineStr">
        <is>
          <t>avverkningsanmälan</t>
        </is>
      </c>
      <c r="C769" t="inlineStr">
        <is>
          <t>Föryngringsavverkning</t>
        </is>
      </c>
      <c r="D769" s="1" t="n">
        <v>45763</v>
      </c>
      <c r="E769" s="1" t="n">
        <v>46322</v>
      </c>
      <c r="F769" t="inlineStr">
        <is>
          <t>JÖNKÖPINGS LÄN</t>
        </is>
      </c>
      <c r="G769" t="inlineStr">
        <is>
          <t>VETLANDA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31021-2023</t>
        </is>
      </c>
      <c r="B770" t="inlineStr">
        <is>
          <t>avverkningsanmälan</t>
        </is>
      </c>
      <c r="C770" t="inlineStr">
        <is>
          <t>Föryngringsavverkning</t>
        </is>
      </c>
      <c r="D770" s="1" t="n">
        <v>45113</v>
      </c>
      <c r="E770" s="1" t="n">
        <v>46322</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22299-2024</t>
        </is>
      </c>
      <c r="B771" t="inlineStr">
        <is>
          <t>avverkningsanmälan</t>
        </is>
      </c>
      <c r="C771" t="inlineStr">
        <is>
          <t>Föryngringsavverkning</t>
        </is>
      </c>
      <c r="D771" s="1" t="n">
        <v>45446</v>
      </c>
      <c r="E771" s="1" t="n">
        <v>46322</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20805-2024</t>
        </is>
      </c>
      <c r="B772" t="inlineStr">
        <is>
          <t>avverkningsanmälan</t>
        </is>
      </c>
      <c r="C772" t="inlineStr">
        <is>
          <t>Föryngringsavverkning</t>
        </is>
      </c>
      <c r="D772" s="1" t="n">
        <v>45438</v>
      </c>
      <c r="E772" s="1" t="n">
        <v>46322</v>
      </c>
      <c r="F772" t="inlineStr">
        <is>
          <t>JÖNKÖPINGS LÄN</t>
        </is>
      </c>
      <c r="G772" t="inlineStr">
        <is>
          <t>VETLANDA</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5492-2025</t>
        </is>
      </c>
      <c r="B773" t="inlineStr">
        <is>
          <t>avverkningsanmälan</t>
        </is>
      </c>
      <c r="C773" t="inlineStr">
        <is>
          <t>Föryngringsavverkning</t>
        </is>
      </c>
      <c r="D773" s="1" t="n">
        <v>45693</v>
      </c>
      <c r="E773" s="1" t="n">
        <v>46322</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39387-2025</t>
        </is>
      </c>
      <c r="B774" t="inlineStr">
        <is>
          <t>avverkningsanmälan</t>
        </is>
      </c>
      <c r="C774" t="inlineStr">
        <is>
          <t>Föryngringsavverkning</t>
        </is>
      </c>
      <c r="D774" s="1" t="n">
        <v>45889</v>
      </c>
      <c r="E774" s="1" t="n">
        <v>46322</v>
      </c>
      <c r="F774" t="inlineStr">
        <is>
          <t>JÖNKÖPINGS LÄN</t>
        </is>
      </c>
      <c r="G774" t="inlineStr">
        <is>
          <t>VETLANDA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22230-2025</t>
        </is>
      </c>
      <c r="B775" t="inlineStr">
        <is>
          <t>avverkningsanmälan</t>
        </is>
      </c>
      <c r="C775" t="inlineStr">
        <is>
          <t>Föryngringsavverkning</t>
        </is>
      </c>
      <c r="D775" s="1" t="n">
        <v>45785</v>
      </c>
      <c r="E775" s="1" t="n">
        <v>46322</v>
      </c>
      <c r="F775" t="inlineStr">
        <is>
          <t>JÖNKÖPINGS LÄN</t>
        </is>
      </c>
      <c r="G775" t="inlineStr">
        <is>
          <t>VETLANDA</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39489-2026</t>
        </is>
      </c>
      <c r="B776" t="inlineStr">
        <is>
          <t>avverkningsanmälan</t>
        </is>
      </c>
      <c r="C776" t="inlineStr">
        <is>
          <t>Föryngringsavverkning</t>
        </is>
      </c>
      <c r="D776" s="1" t="n">
        <v>46289</v>
      </c>
      <c r="E776" s="1" t="n">
        <v>46322</v>
      </c>
      <c r="F776" t="inlineStr">
        <is>
          <t>JÖNKÖPINGS LÄN</t>
        </is>
      </c>
      <c r="G776" t="inlineStr">
        <is>
          <t>VETLANDA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33679-2025</t>
        </is>
      </c>
      <c r="B777" t="inlineStr">
        <is>
          <t>avverkningsanmälan</t>
        </is>
      </c>
      <c r="C777" t="inlineStr">
        <is>
          <t>Föryngringsavverkning</t>
        </is>
      </c>
      <c r="D777" s="1" t="n">
        <v>45841</v>
      </c>
      <c r="E777" s="1" t="n">
        <v>46322</v>
      </c>
      <c r="F777" t="inlineStr">
        <is>
          <t>JÖNKÖPINGS LÄN</t>
        </is>
      </c>
      <c r="G777" t="inlineStr">
        <is>
          <t>VETLANDA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42878-2023</t>
        </is>
      </c>
      <c r="B778" t="inlineStr">
        <is>
          <t>avverkningsanmälan</t>
        </is>
      </c>
      <c r="C778" t="inlineStr">
        <is>
          <t>Föryngringsavverkning</t>
        </is>
      </c>
      <c r="D778" s="1" t="n">
        <v>45182</v>
      </c>
      <c r="E778" s="1" t="n">
        <v>46322</v>
      </c>
      <c r="F778" t="inlineStr">
        <is>
          <t>JÖNKÖPINGS LÄN</t>
        </is>
      </c>
      <c r="G778" t="inlineStr">
        <is>
          <t>VETLANDA</t>
        </is>
      </c>
      <c r="H778" t="inlineStr">
        <is>
          <t>Sveaskog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42902-2023</t>
        </is>
      </c>
      <c r="B779" t="inlineStr">
        <is>
          <t>avverkningsanmälan</t>
        </is>
      </c>
      <c r="C779" t="inlineStr">
        <is>
          <t>Föryngringsavverkning</t>
        </is>
      </c>
      <c r="D779" s="1" t="n">
        <v>45182</v>
      </c>
      <c r="E779" s="1" t="n">
        <v>46322</v>
      </c>
      <c r="F779" t="inlineStr">
        <is>
          <t>JÖNKÖPINGS LÄN</t>
        </is>
      </c>
      <c r="G779" t="inlineStr">
        <is>
          <t>VETLANDA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52172-2024</t>
        </is>
      </c>
      <c r="B780" t="inlineStr">
        <is>
          <t>avverkningsanmälan</t>
        </is>
      </c>
      <c r="C780" t="inlineStr">
        <is>
          <t>Föryngringsavverkning</t>
        </is>
      </c>
      <c r="D780" s="1" t="n">
        <v>45608</v>
      </c>
      <c r="E780" s="1" t="n">
        <v>46322</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36774-2025</t>
        </is>
      </c>
      <c r="B781" t="inlineStr">
        <is>
          <t>avverkningsanmälan</t>
        </is>
      </c>
      <c r="C781" t="inlineStr">
        <is>
          <t>Föryngringsavverkning</t>
        </is>
      </c>
      <c r="D781" s="1" t="n">
        <v>45873</v>
      </c>
      <c r="E781" s="1" t="n">
        <v>46322</v>
      </c>
      <c r="F781" t="inlineStr">
        <is>
          <t>JÖNKÖPINGS LÄN</t>
        </is>
      </c>
      <c r="G781" t="inlineStr">
        <is>
          <t>VETLANDA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7519-2022</t>
        </is>
      </c>
      <c r="B782" t="inlineStr">
        <is>
          <t>avverkningsanmälan</t>
        </is>
      </c>
      <c r="C782" t="inlineStr">
        <is>
          <t>Föryngringsavverkning</t>
        </is>
      </c>
      <c r="D782" s="1" t="n">
        <v>44607</v>
      </c>
      <c r="E782" s="1" t="n">
        <v>46322</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55467-2025</t>
        </is>
      </c>
      <c r="B783" t="inlineStr">
        <is>
          <t>avverkningsanmälan</t>
        </is>
      </c>
      <c r="C783" t="inlineStr">
        <is>
          <t>Föryngringsavverkning</t>
        </is>
      </c>
      <c r="D783" s="1" t="n">
        <v>45971</v>
      </c>
      <c r="E783" s="1" t="n">
        <v>46322</v>
      </c>
      <c r="F783" t="inlineStr">
        <is>
          <t>JÖNKÖPINGS LÄN</t>
        </is>
      </c>
      <c r="G783" t="inlineStr">
        <is>
          <t>VETLANDA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52674-2024</t>
        </is>
      </c>
      <c r="B784" t="inlineStr">
        <is>
          <t>avverkningsanmälan</t>
        </is>
      </c>
      <c r="C784" t="inlineStr">
        <is>
          <t>Föryngringsavverkning</t>
        </is>
      </c>
      <c r="D784" s="1" t="n">
        <v>45610</v>
      </c>
      <c r="E784" s="1" t="n">
        <v>46322</v>
      </c>
      <c r="F784" t="inlineStr">
        <is>
          <t>JÖNKÖPINGS LÄN</t>
        </is>
      </c>
      <c r="G784" t="inlineStr">
        <is>
          <t>VETLANDA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17962-2026</t>
        </is>
      </c>
      <c r="B785" t="inlineStr">
        <is>
          <t>avverkningsanmälan</t>
        </is>
      </c>
      <c r="C785" t="inlineStr">
        <is>
          <t>Föryngringsavverkning</t>
        </is>
      </c>
      <c r="D785" s="1" t="n">
        <v>46122</v>
      </c>
      <c r="E785" s="1" t="n">
        <v>46322</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36630-2023</t>
        </is>
      </c>
      <c r="B786" t="inlineStr">
        <is>
          <t>avverkningsanmälan</t>
        </is>
      </c>
      <c r="C786" t="inlineStr">
        <is>
          <t>Föryngringsavverkning</t>
        </is>
      </c>
      <c r="D786" s="1" t="n">
        <v>45153</v>
      </c>
      <c r="E786" s="1" t="n">
        <v>46322</v>
      </c>
      <c r="F786" t="inlineStr">
        <is>
          <t>JÖNKÖPINGS LÄN</t>
        </is>
      </c>
      <c r="G786" t="inlineStr">
        <is>
          <t>VETLANDA</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1444-2025</t>
        </is>
      </c>
      <c r="B787" t="inlineStr">
        <is>
          <t>avverkningsanmälan</t>
        </is>
      </c>
      <c r="C787" t="inlineStr">
        <is>
          <t>Föryngringsavverkning</t>
        </is>
      </c>
      <c r="D787" s="1" t="n">
        <v>45669</v>
      </c>
      <c r="E787" s="1" t="n">
        <v>46322</v>
      </c>
      <c r="F787" t="inlineStr">
        <is>
          <t>JÖNKÖPINGS LÄN</t>
        </is>
      </c>
      <c r="G787" t="inlineStr">
        <is>
          <t>VETLANDA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17106-2025</t>
        </is>
      </c>
      <c r="B788" t="inlineStr">
        <is>
          <t>avverkningsanmälan</t>
        </is>
      </c>
      <c r="C788" t="inlineStr">
        <is>
          <t>Föryngringsavverkning</t>
        </is>
      </c>
      <c r="D788" s="1" t="n">
        <v>45755</v>
      </c>
      <c r="E788" s="1" t="n">
        <v>46322</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1583-2025</t>
        </is>
      </c>
      <c r="B789" t="inlineStr">
        <is>
          <t>avverkningsanmälan</t>
        </is>
      </c>
      <c r="C789" t="inlineStr">
        <is>
          <t>Föryngringsavverkning</t>
        </is>
      </c>
      <c r="D789" s="1" t="n">
        <v>45670</v>
      </c>
      <c r="E789" s="1" t="n">
        <v>46322</v>
      </c>
      <c r="F789" t="inlineStr">
        <is>
          <t>JÖNKÖPINGS LÄN</t>
        </is>
      </c>
      <c r="G789" t="inlineStr">
        <is>
          <t>VETLANDA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29751-2025</t>
        </is>
      </c>
      <c r="B790" t="inlineStr">
        <is>
          <t>avverkningsanmälan</t>
        </is>
      </c>
      <c r="C790" t="inlineStr">
        <is>
          <t>Föryngringsavverkning</t>
        </is>
      </c>
      <c r="D790" s="1" t="n">
        <v>45825</v>
      </c>
      <c r="E790" s="1" t="n">
        <v>46322</v>
      </c>
      <c r="F790" t="inlineStr">
        <is>
          <t>JÖNKÖPINGS LÄN</t>
        </is>
      </c>
      <c r="G790" t="inlineStr">
        <is>
          <t>VETLANDA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7592-2024</t>
        </is>
      </c>
      <c r="B791" t="inlineStr">
        <is>
          <t>avverkningsanmälan</t>
        </is>
      </c>
      <c r="C791" t="inlineStr">
        <is>
          <t>Föryngringsavverkning</t>
        </is>
      </c>
      <c r="D791" s="1" t="n">
        <v>45348</v>
      </c>
      <c r="E791" s="1" t="n">
        <v>46322</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32695-2025</t>
        </is>
      </c>
      <c r="B792" t="inlineStr">
        <is>
          <t>avverkningsanmälan</t>
        </is>
      </c>
      <c r="C792" t="inlineStr">
        <is>
          <t>Föryngringsavverkning</t>
        </is>
      </c>
      <c r="D792" s="1" t="n">
        <v>45839</v>
      </c>
      <c r="E792" s="1" t="n">
        <v>46322</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39488-2026</t>
        </is>
      </c>
      <c r="B793" t="inlineStr">
        <is>
          <t>avverkningsanmälan</t>
        </is>
      </c>
      <c r="C793" t="inlineStr">
        <is>
          <t>Föryngringsavverkning</t>
        </is>
      </c>
      <c r="D793" s="1" t="n">
        <v>46289</v>
      </c>
      <c r="E793" s="1" t="n">
        <v>46322</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2849-2024</t>
        </is>
      </c>
      <c r="B794" t="inlineStr">
        <is>
          <t>avverkningsanmälan</t>
        </is>
      </c>
      <c r="C794" t="inlineStr">
        <is>
          <t>Föryngringsavverkning</t>
        </is>
      </c>
      <c r="D794" s="1" t="n">
        <v>45315</v>
      </c>
      <c r="E794" s="1" t="n">
        <v>46322</v>
      </c>
      <c r="F794" t="inlineStr">
        <is>
          <t>JÖNKÖPINGS LÄN</t>
        </is>
      </c>
      <c r="G794" t="inlineStr">
        <is>
          <t>VETLANDA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25198-2024</t>
        </is>
      </c>
      <c r="B795" t="inlineStr">
        <is>
          <t>avverkningsanmälan</t>
        </is>
      </c>
      <c r="C795" t="inlineStr">
        <is>
          <t>Föryngringsavverkning</t>
        </is>
      </c>
      <c r="D795" s="1" t="n">
        <v>45462</v>
      </c>
      <c r="E795" s="1" t="n">
        <v>46322</v>
      </c>
      <c r="F795" t="inlineStr">
        <is>
          <t>JÖNKÖPINGS LÄN</t>
        </is>
      </c>
      <c r="G795" t="inlineStr">
        <is>
          <t>VETLANDA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70836-2021</t>
        </is>
      </c>
      <c r="B796" t="inlineStr">
        <is>
          <t>avverkningsanmälan</t>
        </is>
      </c>
      <c r="C796" t="inlineStr">
        <is>
          <t>Föryngringsavverkning</t>
        </is>
      </c>
      <c r="D796" s="1" t="n">
        <v>44538</v>
      </c>
      <c r="E796" s="1" t="n">
        <v>46322</v>
      </c>
      <c r="F796" t="inlineStr">
        <is>
          <t>JÖNKÖPINGS LÄN</t>
        </is>
      </c>
      <c r="G796" t="inlineStr">
        <is>
          <t>VETLANDA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22954-2024</t>
        </is>
      </c>
      <c r="B797" t="inlineStr">
        <is>
          <t>avverkningsanmälan</t>
        </is>
      </c>
      <c r="C797" t="inlineStr">
        <is>
          <t>Föryngringsavverkning</t>
        </is>
      </c>
      <c r="D797" s="1" t="n">
        <v>45449</v>
      </c>
      <c r="E797" s="1" t="n">
        <v>46322</v>
      </c>
      <c r="F797" t="inlineStr">
        <is>
          <t>JÖNKÖPINGS LÄN</t>
        </is>
      </c>
      <c r="G797" t="inlineStr">
        <is>
          <t>VETLANDA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33026-2022</t>
        </is>
      </c>
      <c r="B798" t="inlineStr">
        <is>
          <t>avverkningsanmälan</t>
        </is>
      </c>
      <c r="C798" t="inlineStr">
        <is>
          <t>Föryngringsavverkning</t>
        </is>
      </c>
      <c r="D798" s="1" t="n">
        <v>44785</v>
      </c>
      <c r="E798" s="1" t="n">
        <v>46322</v>
      </c>
      <c r="F798" t="inlineStr">
        <is>
          <t>JÖNKÖPINGS LÄN</t>
        </is>
      </c>
      <c r="G798" t="inlineStr">
        <is>
          <t>VETLANDA</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5940-2026</t>
        </is>
      </c>
      <c r="B799" t="inlineStr">
        <is>
          <t>avverkningsanmälan</t>
        </is>
      </c>
      <c r="C799" t="inlineStr">
        <is>
          <t>Föryngringsavverkning</t>
        </is>
      </c>
      <c r="D799" s="1" t="n">
        <v>46052</v>
      </c>
      <c r="E799" s="1" t="n">
        <v>46322</v>
      </c>
      <c r="F799" t="inlineStr">
        <is>
          <t>JÖNKÖPINGS LÄN</t>
        </is>
      </c>
      <c r="G799" t="inlineStr">
        <is>
          <t>VETLANDA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38269-2025</t>
        </is>
      </c>
      <c r="B800" t="inlineStr">
        <is>
          <t>avverkningsanmälan</t>
        </is>
      </c>
      <c r="C800" t="inlineStr">
        <is>
          <t>Föryngringsavverkning</t>
        </is>
      </c>
      <c r="D800" s="1" t="n">
        <v>45883</v>
      </c>
      <c r="E800" s="1" t="n">
        <v>46322</v>
      </c>
      <c r="F800" t="inlineStr">
        <is>
          <t>JÖNKÖPINGS LÄN</t>
        </is>
      </c>
      <c r="G800" t="inlineStr">
        <is>
          <t>VETLANDA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4416-2024</t>
        </is>
      </c>
      <c r="B801" t="inlineStr">
        <is>
          <t>avverkningsanmälan</t>
        </is>
      </c>
      <c r="C801" t="inlineStr">
        <is>
          <t>Föryngringsavverkning</t>
        </is>
      </c>
      <c r="D801" s="1" t="n">
        <v>45327</v>
      </c>
      <c r="E801" s="1" t="n">
        <v>46322</v>
      </c>
      <c r="F801" t="inlineStr">
        <is>
          <t>JÖNKÖPINGS LÄN</t>
        </is>
      </c>
      <c r="G801" t="inlineStr">
        <is>
          <t>VETLANDA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39087-2023</t>
        </is>
      </c>
      <c r="B802" t="inlineStr">
        <is>
          <t>avverkningsanmälan</t>
        </is>
      </c>
      <c r="C802" t="inlineStr">
        <is>
          <t>Föryngringsavverkning</t>
        </is>
      </c>
      <c r="D802" s="1" t="n">
        <v>45164</v>
      </c>
      <c r="E802" s="1" t="n">
        <v>46322</v>
      </c>
      <c r="F802" t="inlineStr">
        <is>
          <t>JÖNKÖPINGS LÄN</t>
        </is>
      </c>
      <c r="G802" t="inlineStr">
        <is>
          <t>VETLANDA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5136-2025</t>
        </is>
      </c>
      <c r="B803" t="inlineStr">
        <is>
          <t>avverkningsanmälan</t>
        </is>
      </c>
      <c r="C803" t="inlineStr">
        <is>
          <t>Föryngringsavverkning</t>
        </is>
      </c>
      <c r="D803" s="1" t="n">
        <v>45691</v>
      </c>
      <c r="E803" s="1" t="n">
        <v>46322</v>
      </c>
      <c r="F803" t="inlineStr">
        <is>
          <t>JÖNKÖPINGS LÄN</t>
        </is>
      </c>
      <c r="G803" t="inlineStr">
        <is>
          <t>VETLANDA</t>
        </is>
      </c>
      <c r="H803" t="inlineStr">
        <is>
          <t>Sveaskog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5180-2024</t>
        </is>
      </c>
      <c r="B804" t="inlineStr">
        <is>
          <t>avverkningsanmälan</t>
        </is>
      </c>
      <c r="C804" t="inlineStr">
        <is>
          <t>Föryngringsavverkning</t>
        </is>
      </c>
      <c r="D804" s="1" t="n">
        <v>45330</v>
      </c>
      <c r="E804" s="1" t="n">
        <v>46322</v>
      </c>
      <c r="F804" t="inlineStr">
        <is>
          <t>JÖNKÖPINGS LÄN</t>
        </is>
      </c>
      <c r="G804" t="inlineStr">
        <is>
          <t>VETLANDA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33200-2026</t>
        </is>
      </c>
      <c r="B805" t="inlineStr">
        <is>
          <t>avverkningsanmälan</t>
        </is>
      </c>
      <c r="C805" t="inlineStr">
        <is>
          <t>Föryngringsavverkning</t>
        </is>
      </c>
      <c r="D805" s="1" t="n">
        <v>46246</v>
      </c>
      <c r="E805" s="1" t="n">
        <v>46322</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12003-2023</t>
        </is>
      </c>
      <c r="B806" t="inlineStr">
        <is>
          <t>avverkningsanmälan</t>
        </is>
      </c>
      <c r="C806" t="inlineStr">
        <is>
          <t>Föryngringsavverkning</t>
        </is>
      </c>
      <c r="D806" s="1" t="n">
        <v>44995</v>
      </c>
      <c r="E806" s="1" t="n">
        <v>46322</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5277-2025</t>
        </is>
      </c>
      <c r="B807" t="inlineStr">
        <is>
          <t>avverkningsanmälan</t>
        </is>
      </c>
      <c r="C807" t="inlineStr">
        <is>
          <t>Föryngringsavverkning</t>
        </is>
      </c>
      <c r="D807" s="1" t="n">
        <v>45692</v>
      </c>
      <c r="E807" s="1" t="n">
        <v>46322</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37930-2026</t>
        </is>
      </c>
      <c r="B808" t="inlineStr">
        <is>
          <t>avverkningsanmälan</t>
        </is>
      </c>
      <c r="C808" t="inlineStr">
        <is>
          <t>Föryngringsavverkning</t>
        </is>
      </c>
      <c r="D808" s="1" t="n">
        <v>46280</v>
      </c>
      <c r="E808" s="1" t="n">
        <v>46322</v>
      </c>
      <c r="F808" t="inlineStr">
        <is>
          <t>JÖNKÖPINGS LÄN</t>
        </is>
      </c>
      <c r="G808" t="inlineStr">
        <is>
          <t>VETLANDA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29493-2023</t>
        </is>
      </c>
      <c r="B809" t="inlineStr">
        <is>
          <t>avverkningsanmälan</t>
        </is>
      </c>
      <c r="C809" t="inlineStr">
        <is>
          <t>Föryngringsavverkning</t>
        </is>
      </c>
      <c r="D809" s="1" t="n">
        <v>45106</v>
      </c>
      <c r="E809" s="1" t="n">
        <v>46322</v>
      </c>
      <c r="F809" t="inlineStr">
        <is>
          <t>JÖNKÖPINGS LÄN</t>
        </is>
      </c>
      <c r="G809" t="inlineStr">
        <is>
          <t>VETLANDA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44647-2024</t>
        </is>
      </c>
      <c r="B810" t="inlineStr">
        <is>
          <t>avverkningsanmälan</t>
        </is>
      </c>
      <c r="C810" t="inlineStr">
        <is>
          <t>Föryngringsavverkning</t>
        </is>
      </c>
      <c r="D810" s="1" t="n">
        <v>45574</v>
      </c>
      <c r="E810" s="1" t="n">
        <v>46322</v>
      </c>
      <c r="F810" t="inlineStr">
        <is>
          <t>JÖNKÖPINGS LÄN</t>
        </is>
      </c>
      <c r="G810" t="inlineStr">
        <is>
          <t>VETLANDA</t>
        </is>
      </c>
      <c r="H810" t="inlineStr">
        <is>
          <t>Sveaskog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54239-2024</t>
        </is>
      </c>
      <c r="B811" t="inlineStr">
        <is>
          <t>avverkningsanmälan</t>
        </is>
      </c>
      <c r="C811" t="inlineStr">
        <is>
          <t>Föryngringsavverkning</t>
        </is>
      </c>
      <c r="D811" s="1" t="n">
        <v>45616</v>
      </c>
      <c r="E811" s="1" t="n">
        <v>46322</v>
      </c>
      <c r="F811" t="inlineStr">
        <is>
          <t>JÖNKÖPINGS LÄN</t>
        </is>
      </c>
      <c r="G811" t="inlineStr">
        <is>
          <t>VETLANDA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40042-2026</t>
        </is>
      </c>
      <c r="B812" t="inlineStr">
        <is>
          <t>avverkningsanmälan</t>
        </is>
      </c>
      <c r="C812" t="inlineStr">
        <is>
          <t>Föryngringsavverkning</t>
        </is>
      </c>
      <c r="D812" s="1" t="n">
        <v>46293</v>
      </c>
      <c r="E812" s="1" t="n">
        <v>46322</v>
      </c>
      <c r="F812" t="inlineStr">
        <is>
          <t>JÖNKÖPINGS LÄN</t>
        </is>
      </c>
      <c r="G812" t="inlineStr">
        <is>
          <t>VETLANDA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32020-2024</t>
        </is>
      </c>
      <c r="B813" t="inlineStr">
        <is>
          <t>avverkningsanmälan</t>
        </is>
      </c>
      <c r="C813" t="inlineStr">
        <is>
          <t>Föryngringsavverkning</t>
        </is>
      </c>
      <c r="D813" s="1" t="n">
        <v>45510</v>
      </c>
      <c r="E813" s="1" t="n">
        <v>46322</v>
      </c>
      <c r="F813" t="inlineStr">
        <is>
          <t>JÖNKÖPINGS LÄN</t>
        </is>
      </c>
      <c r="G813" t="inlineStr">
        <is>
          <t>VETLANDA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25659-2026</t>
        </is>
      </c>
      <c r="B814" t="inlineStr">
        <is>
          <t>avverkningsanmälan</t>
        </is>
      </c>
      <c r="C814" t="inlineStr">
        <is>
          <t>Föryngringsavverkning</t>
        </is>
      </c>
      <c r="D814" s="1" t="n">
        <v>46178</v>
      </c>
      <c r="E814" s="1" t="n">
        <v>46322</v>
      </c>
      <c r="F814" t="inlineStr">
        <is>
          <t>JÖNKÖPINGS LÄN</t>
        </is>
      </c>
      <c r="G814" t="inlineStr">
        <is>
          <t>VETLANDA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51228-2023</t>
        </is>
      </c>
      <c r="B815" t="inlineStr">
        <is>
          <t>avverkningsanmälan</t>
        </is>
      </c>
      <c r="C815" t="inlineStr">
        <is>
          <t>Föryngringsavverkning</t>
        </is>
      </c>
      <c r="D815" s="1" t="n">
        <v>45219</v>
      </c>
      <c r="E815" s="1" t="n">
        <v>46322</v>
      </c>
      <c r="F815" t="inlineStr">
        <is>
          <t>JÖNKÖPINGS LÄN</t>
        </is>
      </c>
      <c r="G815" t="inlineStr">
        <is>
          <t>VETLANDA</t>
        </is>
      </c>
      <c r="H815" t="inlineStr">
        <is>
          <t>Sveaskog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25664-2026</t>
        </is>
      </c>
      <c r="B816" t="inlineStr">
        <is>
          <t>avverkningsanmälan</t>
        </is>
      </c>
      <c r="C816" t="inlineStr">
        <is>
          <t>Avverkning för annat ändamål</t>
        </is>
      </c>
      <c r="D816" s="1" t="n">
        <v>46178</v>
      </c>
      <c r="E816" s="1" t="n">
        <v>46322</v>
      </c>
      <c r="F816" t="inlineStr">
        <is>
          <t>JÖNKÖPINGS LÄN</t>
        </is>
      </c>
      <c r="G816" t="inlineStr">
        <is>
          <t>VETLANDA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63451-2023</t>
        </is>
      </c>
      <c r="B817" t="inlineStr">
        <is>
          <t>avverkningsanmälan</t>
        </is>
      </c>
      <c r="C817" t="inlineStr">
        <is>
          <t>Föryngringsavverkning</t>
        </is>
      </c>
      <c r="D817" s="1" t="n">
        <v>45274</v>
      </c>
      <c r="E817" s="1" t="n">
        <v>46322</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58433-2023</t>
        </is>
      </c>
      <c r="B818" t="inlineStr">
        <is>
          <t>avverkningsanmälan</t>
        </is>
      </c>
      <c r="C818" t="inlineStr">
        <is>
          <t>Föryngringsavverkning</t>
        </is>
      </c>
      <c r="D818" s="1" t="n">
        <v>45250</v>
      </c>
      <c r="E818" s="1" t="n">
        <v>46322</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3819-2022</t>
        </is>
      </c>
      <c r="B819" t="inlineStr">
        <is>
          <t>avverkningsanmälan</t>
        </is>
      </c>
      <c r="C819" t="inlineStr">
        <is>
          <t>Föryngringsavverkning</t>
        </is>
      </c>
      <c r="D819" s="1" t="n">
        <v>44587</v>
      </c>
      <c r="E819" s="1" t="n">
        <v>46322</v>
      </c>
      <c r="F819" t="inlineStr">
        <is>
          <t>JÖNKÖPINGS LÄN</t>
        </is>
      </c>
      <c r="G819" t="inlineStr">
        <is>
          <t>VETLANDA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32651-2022</t>
        </is>
      </c>
      <c r="B820" t="inlineStr">
        <is>
          <t>avverkningsanmälan</t>
        </is>
      </c>
      <c r="C820" t="inlineStr">
        <is>
          <t>Föryngringsavverkning</t>
        </is>
      </c>
      <c r="D820" s="1" t="n">
        <v>44783</v>
      </c>
      <c r="E820" s="1" t="n">
        <v>46322</v>
      </c>
      <c r="F820" t="inlineStr">
        <is>
          <t>JÖNKÖPINGS LÄN</t>
        </is>
      </c>
      <c r="G820" t="inlineStr">
        <is>
          <t>VETLANDA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30346-2025</t>
        </is>
      </c>
      <c r="B821" t="inlineStr">
        <is>
          <t>avverkningsanmälan</t>
        </is>
      </c>
      <c r="C821" t="inlineStr">
        <is>
          <t>Föryngringsavverkning</t>
        </is>
      </c>
      <c r="D821" s="1" t="n">
        <v>45827</v>
      </c>
      <c r="E821" s="1" t="n">
        <v>46322</v>
      </c>
      <c r="F821" t="inlineStr">
        <is>
          <t>JÖNKÖPINGS LÄN</t>
        </is>
      </c>
      <c r="G821" t="inlineStr">
        <is>
          <t>VETLANDA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42364-2022</t>
        </is>
      </c>
      <c r="B822" t="inlineStr">
        <is>
          <t>avverkningsanmälan</t>
        </is>
      </c>
      <c r="C822" t="inlineStr">
        <is>
          <t>Föryngringsavverkning</t>
        </is>
      </c>
      <c r="D822" s="1" t="n">
        <v>44830</v>
      </c>
      <c r="E822" s="1" t="n">
        <v>46322</v>
      </c>
      <c r="F822" t="inlineStr">
        <is>
          <t>JÖNKÖPINGS LÄN</t>
        </is>
      </c>
      <c r="G822" t="inlineStr">
        <is>
          <t>VETLANDA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37846-2024</t>
        </is>
      </c>
      <c r="B823" t="inlineStr">
        <is>
          <t>avverkningsanmälan</t>
        </is>
      </c>
      <c r="C823" t="inlineStr">
        <is>
          <t>Föryngringsavverkning</t>
        </is>
      </c>
      <c r="D823" s="1" t="n">
        <v>45544</v>
      </c>
      <c r="E823" s="1" t="n">
        <v>46322</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33767-2023</t>
        </is>
      </c>
      <c r="B824" t="inlineStr">
        <is>
          <t>avverkningsanmälan</t>
        </is>
      </c>
      <c r="C824" t="inlineStr">
        <is>
          <t>Föryngringsavverkning</t>
        </is>
      </c>
      <c r="D824" s="1" t="n">
        <v>45133</v>
      </c>
      <c r="E824" s="1" t="n">
        <v>46322</v>
      </c>
      <c r="F824" t="inlineStr">
        <is>
          <t>JÖNKÖPINGS LÄN</t>
        </is>
      </c>
      <c r="G824" t="inlineStr">
        <is>
          <t>VETLANDA</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16547-2024</t>
        </is>
      </c>
      <c r="B825" t="inlineStr">
        <is>
          <t>avverkningsanmälan</t>
        </is>
      </c>
      <c r="C825" t="inlineStr">
        <is>
          <t>Föryngringsavverkning</t>
        </is>
      </c>
      <c r="D825" s="1" t="n">
        <v>45408</v>
      </c>
      <c r="E825" s="1" t="n">
        <v>46322</v>
      </c>
      <c r="F825" t="inlineStr">
        <is>
          <t>JÖNKÖPINGS LÄN</t>
        </is>
      </c>
      <c r="G825" t="inlineStr">
        <is>
          <t>VETLANDA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43371-2022</t>
        </is>
      </c>
      <c r="B826" t="inlineStr">
        <is>
          <t>avverkningsanmälan</t>
        </is>
      </c>
      <c r="C826" t="inlineStr">
        <is>
          <t>Föryngringsavverkning</t>
        </is>
      </c>
      <c r="D826" s="1" t="n">
        <v>44834</v>
      </c>
      <c r="E826" s="1" t="n">
        <v>46322</v>
      </c>
      <c r="F826" t="inlineStr">
        <is>
          <t>JÖNKÖPINGS LÄN</t>
        </is>
      </c>
      <c r="G826" t="inlineStr">
        <is>
          <t>VETLANDA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10593-2024</t>
        </is>
      </c>
      <c r="B827" t="inlineStr">
        <is>
          <t>avverkningsanmälan</t>
        </is>
      </c>
      <c r="C827" t="inlineStr">
        <is>
          <t>Föryngringsavverkning</t>
        </is>
      </c>
      <c r="D827" s="1" t="n">
        <v>45366</v>
      </c>
      <c r="E827" s="1" t="n">
        <v>46322</v>
      </c>
      <c r="F827" t="inlineStr">
        <is>
          <t>JÖNKÖPINGS LÄN</t>
        </is>
      </c>
      <c r="G827" t="inlineStr">
        <is>
          <t>VETLANDA</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38726-2022</t>
        </is>
      </c>
      <c r="B828" t="inlineStr">
        <is>
          <t>avverkningsanmälan</t>
        </is>
      </c>
      <c r="C828" t="inlineStr">
        <is>
          <t>Föryngringsavverkning</t>
        </is>
      </c>
      <c r="D828" s="1" t="n">
        <v>44815</v>
      </c>
      <c r="E828" s="1" t="n">
        <v>46322</v>
      </c>
      <c r="F828" t="inlineStr">
        <is>
          <t>JÖNKÖPINGS LÄN</t>
        </is>
      </c>
      <c r="G828" t="inlineStr">
        <is>
          <t>VETLANDA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22177-2023</t>
        </is>
      </c>
      <c r="B829" t="inlineStr">
        <is>
          <t>avverkningsanmälan</t>
        </is>
      </c>
      <c r="C829" t="inlineStr">
        <is>
          <t>Föryngringsavverkning</t>
        </is>
      </c>
      <c r="D829" s="1" t="n">
        <v>45069</v>
      </c>
      <c r="E829" s="1" t="n">
        <v>46322</v>
      </c>
      <c r="F829" t="inlineStr">
        <is>
          <t>JÖNKÖPINGS LÄN</t>
        </is>
      </c>
      <c r="G829" t="inlineStr">
        <is>
          <t>VETLANDA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21283-2024</t>
        </is>
      </c>
      <c r="B830" t="inlineStr">
        <is>
          <t>avverkningsanmälan</t>
        </is>
      </c>
      <c r="C830" t="inlineStr">
        <is>
          <t>Avverkning för att bevara och utveckla /försöksver</t>
        </is>
      </c>
      <c r="D830" s="1" t="n">
        <v>45440</v>
      </c>
      <c r="E830" s="1" t="n">
        <v>46322</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7041-2025</t>
        </is>
      </c>
      <c r="B831" t="inlineStr">
        <is>
          <t>avverkningsanmälan</t>
        </is>
      </c>
      <c r="C831" t="inlineStr">
        <is>
          <t>Föryngringsavverkning</t>
        </is>
      </c>
      <c r="D831" s="1" t="n">
        <v>45701</v>
      </c>
      <c r="E831" s="1" t="n">
        <v>46322</v>
      </c>
      <c r="F831" t="inlineStr">
        <is>
          <t>JÖNKÖPINGS LÄN</t>
        </is>
      </c>
      <c r="G831" t="inlineStr">
        <is>
          <t>VETLANDA</t>
        </is>
      </c>
      <c r="H831" t="inlineStr">
        <is>
          <t>Sveaskog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1221-2024</t>
        </is>
      </c>
      <c r="B832" t="inlineStr">
        <is>
          <t>avverkningsanmälan</t>
        </is>
      </c>
      <c r="C832" t="inlineStr">
        <is>
          <t>Föryngringsavverkning</t>
        </is>
      </c>
      <c r="D832" s="1" t="n">
        <v>45302</v>
      </c>
      <c r="E832" s="1" t="n">
        <v>46322</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48006-2024</t>
        </is>
      </c>
      <c r="B833" t="inlineStr">
        <is>
          <t>avverkningsanmälan</t>
        </is>
      </c>
      <c r="C833" t="inlineStr">
        <is>
          <t>Föryngringsavverkning</t>
        </is>
      </c>
      <c r="D833" s="1" t="n">
        <v>45589</v>
      </c>
      <c r="E833" s="1" t="n">
        <v>46322</v>
      </c>
      <c r="F833" t="inlineStr">
        <is>
          <t>JÖNKÖPINGS LÄN</t>
        </is>
      </c>
      <c r="G833" t="inlineStr">
        <is>
          <t>VETLANDA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40062-2026</t>
        </is>
      </c>
      <c r="B834" t="inlineStr">
        <is>
          <t>avverkningsanmälan</t>
        </is>
      </c>
      <c r="C834" t="inlineStr">
        <is>
          <t>Föryngringsavverkning</t>
        </is>
      </c>
      <c r="D834" s="1" t="n">
        <v>46293</v>
      </c>
      <c r="E834" s="1" t="n">
        <v>46322</v>
      </c>
      <c r="F834" t="inlineStr">
        <is>
          <t>JÖNKÖPINGS LÄN</t>
        </is>
      </c>
      <c r="G834" t="inlineStr">
        <is>
          <t>VETLANDA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53782-2024</t>
        </is>
      </c>
      <c r="B835" t="inlineStr">
        <is>
          <t>avverkningsanmälan</t>
        </is>
      </c>
      <c r="C835" t="inlineStr">
        <is>
          <t>Föryngringsavverkning</t>
        </is>
      </c>
      <c r="D835" s="1" t="n">
        <v>45615</v>
      </c>
      <c r="E835" s="1" t="n">
        <v>46322</v>
      </c>
      <c r="F835" t="inlineStr">
        <is>
          <t>JÖNKÖPINGS LÄN</t>
        </is>
      </c>
      <c r="G835" t="inlineStr">
        <is>
          <t>VETLANDA</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31019-2023</t>
        </is>
      </c>
      <c r="B836" t="inlineStr">
        <is>
          <t>avverkningsanmälan</t>
        </is>
      </c>
      <c r="C836" t="inlineStr">
        <is>
          <t>Föryngringsavverkning</t>
        </is>
      </c>
      <c r="D836" s="1" t="n">
        <v>45113</v>
      </c>
      <c r="E836" s="1" t="n">
        <v>46322</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17847-2022</t>
        </is>
      </c>
      <c r="B837" t="inlineStr">
        <is>
          <t>avverkningsanmälan</t>
        </is>
      </c>
      <c r="C837" t="inlineStr">
        <is>
          <t>Föryngringsavverkning</t>
        </is>
      </c>
      <c r="D837" s="1" t="n">
        <v>44683</v>
      </c>
      <c r="E837" s="1" t="n">
        <v>46322</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39815-2026</t>
        </is>
      </c>
      <c r="B838" t="inlineStr">
        <is>
          <t>avverkningsanmälan</t>
        </is>
      </c>
      <c r="C838" t="inlineStr">
        <is>
          <t>Föryngringsavverkning</t>
        </is>
      </c>
      <c r="D838" s="1" t="n">
        <v>46290</v>
      </c>
      <c r="E838" s="1" t="n">
        <v>46322</v>
      </c>
      <c r="F838" t="inlineStr">
        <is>
          <t>JÖNKÖPINGS LÄN</t>
        </is>
      </c>
      <c r="G838" t="inlineStr">
        <is>
          <t>VETLANDA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38397-2024</t>
        </is>
      </c>
      <c r="B839" t="inlineStr">
        <is>
          <t>avverkningsanmälan</t>
        </is>
      </c>
      <c r="C839" t="inlineStr">
        <is>
          <t>Föryngringsavverkning</t>
        </is>
      </c>
      <c r="D839" s="1" t="n">
        <v>45546</v>
      </c>
      <c r="E839" s="1" t="n">
        <v>46322</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44261-2022</t>
        </is>
      </c>
      <c r="B840" t="inlineStr">
        <is>
          <t>avverkningsanmälan</t>
        </is>
      </c>
      <c r="C840" t="inlineStr">
        <is>
          <t>Föryngringsavverkning</t>
        </is>
      </c>
      <c r="D840" s="1" t="n">
        <v>44839</v>
      </c>
      <c r="E840" s="1" t="n">
        <v>46322</v>
      </c>
      <c r="F840" t="inlineStr">
        <is>
          <t>JÖNKÖPINGS LÄN</t>
        </is>
      </c>
      <c r="G840" t="inlineStr">
        <is>
          <t>VETLANDA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46259-2025</t>
        </is>
      </c>
      <c r="B841" t="inlineStr">
        <is>
          <t>avverkningsanmälan</t>
        </is>
      </c>
      <c r="C841" t="inlineStr">
        <is>
          <t>Föryngringsavverkning</t>
        </is>
      </c>
      <c r="D841" s="1" t="n">
        <v>45925</v>
      </c>
      <c r="E841" s="1" t="n">
        <v>46322</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7828-2023</t>
        </is>
      </c>
      <c r="B842" t="inlineStr">
        <is>
          <t>avverkningsanmälan</t>
        </is>
      </c>
      <c r="C842" t="inlineStr">
        <is>
          <t>Föryngringsavverkning</t>
        </is>
      </c>
      <c r="D842" s="1" t="n">
        <v>44970</v>
      </c>
      <c r="E842" s="1" t="n">
        <v>46322</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53327-2023</t>
        </is>
      </c>
      <c r="B843" t="inlineStr">
        <is>
          <t>avverkningsanmälan</t>
        </is>
      </c>
      <c r="C843" t="inlineStr">
        <is>
          <t>Föryngringsavverkning</t>
        </is>
      </c>
      <c r="D843" s="1" t="n">
        <v>45222</v>
      </c>
      <c r="E843" s="1" t="n">
        <v>46322</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43147-2023</t>
        </is>
      </c>
      <c r="B844" t="inlineStr">
        <is>
          <t>avverkningsanmälan</t>
        </is>
      </c>
      <c r="C844" t="inlineStr">
        <is>
          <t>Föryngringsavverkning</t>
        </is>
      </c>
      <c r="D844" s="1" t="n">
        <v>45183</v>
      </c>
      <c r="E844" s="1" t="n">
        <v>46322</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7091-2023</t>
        </is>
      </c>
      <c r="B845" t="inlineStr">
        <is>
          <t>avverkningsanmälan</t>
        </is>
      </c>
      <c r="C845" t="inlineStr">
        <is>
          <t>Avverkning för att bevara och utveckla /försöksver</t>
        </is>
      </c>
      <c r="D845" s="1" t="n">
        <v>44965</v>
      </c>
      <c r="E845" s="1" t="n">
        <v>46322</v>
      </c>
      <c r="F845" t="inlineStr">
        <is>
          <t>JÖNKÖPINGS LÄN</t>
        </is>
      </c>
      <c r="G845" t="inlineStr">
        <is>
          <t>VETLANDA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12621-2023</t>
        </is>
      </c>
      <c r="B846" t="inlineStr">
        <is>
          <t>avverkningsanmälan</t>
        </is>
      </c>
      <c r="C846" t="inlineStr">
        <is>
          <t>Föryngringsavverkning</t>
        </is>
      </c>
      <c r="D846" s="1" t="n">
        <v>45000</v>
      </c>
      <c r="E846" s="1" t="n">
        <v>46322</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43234-2023</t>
        </is>
      </c>
      <c r="B847" t="inlineStr">
        <is>
          <t>avverkningsanmälan</t>
        </is>
      </c>
      <c r="C847" t="inlineStr">
        <is>
          <t>Föryngringsavverkning</t>
        </is>
      </c>
      <c r="D847" s="1" t="n">
        <v>45183</v>
      </c>
      <c r="E847" s="1" t="n">
        <v>46322</v>
      </c>
      <c r="F847" t="inlineStr">
        <is>
          <t>JÖNKÖPINGS LÄN</t>
        </is>
      </c>
      <c r="G847" t="inlineStr">
        <is>
          <t>VETLANDA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7710-2025</t>
        </is>
      </c>
      <c r="B848" t="inlineStr">
        <is>
          <t>avverkningsanmälan</t>
        </is>
      </c>
      <c r="C848" t="inlineStr">
        <is>
          <t>Föryngringsavverkning</t>
        </is>
      </c>
      <c r="D848" s="1" t="n">
        <v>45706</v>
      </c>
      <c r="E848" s="1" t="n">
        <v>46322</v>
      </c>
      <c r="F848" t="inlineStr">
        <is>
          <t>JÖNKÖPINGS LÄN</t>
        </is>
      </c>
      <c r="G848" t="inlineStr">
        <is>
          <t>VETLANDA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21999-2026</t>
        </is>
      </c>
      <c r="B849" t="inlineStr">
        <is>
          <t>avverkningsanmälan</t>
        </is>
      </c>
      <c r="C849" t="inlineStr">
        <is>
          <t>Föryngringsavverkning</t>
        </is>
      </c>
      <c r="D849" s="1" t="n">
        <v>46153</v>
      </c>
      <c r="E849" s="1" t="n">
        <v>46322</v>
      </c>
      <c r="F849" t="inlineStr">
        <is>
          <t>JÖNKÖPINGS LÄN</t>
        </is>
      </c>
      <c r="G849" t="inlineStr">
        <is>
          <t>VETLANDA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44169-2022</t>
        </is>
      </c>
      <c r="B850" t="inlineStr">
        <is>
          <t>avverkningsanmälan</t>
        </is>
      </c>
      <c r="C850" t="inlineStr">
        <is>
          <t>Föryngringsavverkning</t>
        </is>
      </c>
      <c r="D850" s="1" t="n">
        <v>44839</v>
      </c>
      <c r="E850" s="1" t="n">
        <v>46322</v>
      </c>
      <c r="F850" t="inlineStr">
        <is>
          <t>JÖNKÖPINGS LÄN</t>
        </is>
      </c>
      <c r="G850" t="inlineStr">
        <is>
          <t>VETLANDA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63081-2025</t>
        </is>
      </c>
      <c r="B851" t="inlineStr">
        <is>
          <t>avverkningsanmälan</t>
        </is>
      </c>
      <c r="C851" t="inlineStr">
        <is>
          <t>Föryngringsavverkning</t>
        </is>
      </c>
      <c r="D851" s="1" t="n">
        <v>46009</v>
      </c>
      <c r="E851" s="1" t="n">
        <v>46322</v>
      </c>
      <c r="F851" t="inlineStr">
        <is>
          <t>JÖNKÖPINGS LÄN</t>
        </is>
      </c>
      <c r="G851" t="inlineStr">
        <is>
          <t>VETLANDA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22212-2026</t>
        </is>
      </c>
      <c r="B852" t="inlineStr">
        <is>
          <t>avverkningsanmälan</t>
        </is>
      </c>
      <c r="C852" t="inlineStr">
        <is>
          <t>Föryngringsavverkning</t>
        </is>
      </c>
      <c r="D852" s="1" t="n">
        <v>46153</v>
      </c>
      <c r="E852" s="1" t="n">
        <v>46322</v>
      </c>
      <c r="F852" t="inlineStr">
        <is>
          <t>JÖNKÖPINGS LÄN</t>
        </is>
      </c>
      <c r="G852" t="inlineStr">
        <is>
          <t>VETLANDA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29413-2022</t>
        </is>
      </c>
      <c r="B853" t="inlineStr">
        <is>
          <t>avverkningsanmälan</t>
        </is>
      </c>
      <c r="C853" t="inlineStr">
        <is>
          <t>Föryngringsavverkning</t>
        </is>
      </c>
      <c r="D853" s="1" t="n">
        <v>44753</v>
      </c>
      <c r="E853" s="1" t="n">
        <v>46322</v>
      </c>
      <c r="F853" t="inlineStr">
        <is>
          <t>JÖNKÖPINGS LÄN</t>
        </is>
      </c>
      <c r="G853" t="inlineStr">
        <is>
          <t>VETLANDA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22209-2026</t>
        </is>
      </c>
      <c r="B854" t="inlineStr">
        <is>
          <t>avverkningsanmälan</t>
        </is>
      </c>
      <c r="C854" t="inlineStr">
        <is>
          <t>Föryngringsavverkning</t>
        </is>
      </c>
      <c r="D854" s="1" t="n">
        <v>46153</v>
      </c>
      <c r="E854" s="1" t="n">
        <v>46322</v>
      </c>
      <c r="F854" t="inlineStr">
        <is>
          <t>JÖNKÖPINGS LÄN</t>
        </is>
      </c>
      <c r="G854" t="inlineStr">
        <is>
          <t>VETLANDA</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22263-2026</t>
        </is>
      </c>
      <c r="B855" t="inlineStr">
        <is>
          <t>avverkningsanmälan</t>
        </is>
      </c>
      <c r="C855" t="inlineStr">
        <is>
          <t>Föryngringsavverkning</t>
        </is>
      </c>
      <c r="D855" s="1" t="n">
        <v>46154</v>
      </c>
      <c r="E855" s="1" t="n">
        <v>46322</v>
      </c>
      <c r="F855" t="inlineStr">
        <is>
          <t>JÖNKÖPINGS LÄN</t>
        </is>
      </c>
      <c r="G855" t="inlineStr">
        <is>
          <t>VETLANDA</t>
        </is>
      </c>
      <c r="H855" t="inlineStr">
        <is>
          <t>Sveaskog</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36052-2025</t>
        </is>
      </c>
      <c r="B856" t="inlineStr">
        <is>
          <t>avverkningsanmälan</t>
        </is>
      </c>
      <c r="C856" t="inlineStr">
        <is>
          <t>Föryngringsavverkning</t>
        </is>
      </c>
      <c r="D856" s="1" t="n">
        <v>45866</v>
      </c>
      <c r="E856" s="1" t="n">
        <v>46322</v>
      </c>
      <c r="F856" t="inlineStr">
        <is>
          <t>JÖNKÖPINGS LÄN</t>
        </is>
      </c>
      <c r="G856" t="inlineStr">
        <is>
          <t>VETLANDA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59713-2024</t>
        </is>
      </c>
      <c r="B857" t="inlineStr">
        <is>
          <t>avverkningsanmälan</t>
        </is>
      </c>
      <c r="C857" t="inlineStr">
        <is>
          <t>Föryngringsavverkning</t>
        </is>
      </c>
      <c r="D857" s="1" t="n">
        <v>45639</v>
      </c>
      <c r="E857" s="1" t="n">
        <v>46322</v>
      </c>
      <c r="F857" t="inlineStr">
        <is>
          <t>JÖNKÖPINGS LÄN</t>
        </is>
      </c>
      <c r="G857" t="inlineStr">
        <is>
          <t>VETLANDA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34058-2026</t>
        </is>
      </c>
      <c r="B858" t="inlineStr">
        <is>
          <t>avverkningsanmälan</t>
        </is>
      </c>
      <c r="C858" t="inlineStr">
        <is>
          <t>Föryngringsavverkning</t>
        </is>
      </c>
      <c r="D858" s="1" t="n">
        <v>46252</v>
      </c>
      <c r="E858" s="1" t="n">
        <v>46322</v>
      </c>
      <c r="F858" t="inlineStr">
        <is>
          <t>JÖNKÖPINGS LÄN</t>
        </is>
      </c>
      <c r="G858" t="inlineStr">
        <is>
          <t>VETLANDA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35835-2022</t>
        </is>
      </c>
      <c r="B859" t="inlineStr">
        <is>
          <t>avverkningsanmälan</t>
        </is>
      </c>
      <c r="C859" t="inlineStr">
        <is>
          <t>Föryngringsavverkning</t>
        </is>
      </c>
      <c r="D859" s="1" t="n">
        <v>44802</v>
      </c>
      <c r="E859" s="1" t="n">
        <v>46322</v>
      </c>
      <c r="F859" t="inlineStr">
        <is>
          <t>JÖNKÖPINGS LÄN</t>
        </is>
      </c>
      <c r="G859" t="inlineStr">
        <is>
          <t>VETLANDA</t>
        </is>
      </c>
      <c r="H859" t="inlineStr">
        <is>
          <t>Kyrkan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18240-2026</t>
        </is>
      </c>
      <c r="B860" t="inlineStr">
        <is>
          <t>avverkningsanmälan</t>
        </is>
      </c>
      <c r="C860" t="inlineStr">
        <is>
          <t>Föryngringsavverkning</t>
        </is>
      </c>
      <c r="D860" s="1" t="n">
        <v>46126</v>
      </c>
      <c r="E860" s="1" t="n">
        <v>46322</v>
      </c>
      <c r="F860" t="inlineStr">
        <is>
          <t>JÖNKÖPINGS LÄN</t>
        </is>
      </c>
      <c r="G860" t="inlineStr">
        <is>
          <t>VETLANDA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22254-2024</t>
        </is>
      </c>
      <c r="B861" t="inlineStr">
        <is>
          <t>avverkningsanmälan</t>
        </is>
      </c>
      <c r="C861" t="inlineStr">
        <is>
          <t>Föryngringsavverkning</t>
        </is>
      </c>
      <c r="D861" s="1" t="n">
        <v>45446</v>
      </c>
      <c r="E861" s="1" t="n">
        <v>46322</v>
      </c>
      <c r="F861" t="inlineStr">
        <is>
          <t>JÖNKÖPINGS LÄN</t>
        </is>
      </c>
      <c r="G861" t="inlineStr">
        <is>
          <t>VETLANDA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316-2023</t>
        </is>
      </c>
      <c r="B862" t="inlineStr">
        <is>
          <t>avverkningsanmälan</t>
        </is>
      </c>
      <c r="C862" t="inlineStr">
        <is>
          <t>Föryngringsavverkning</t>
        </is>
      </c>
      <c r="D862" s="1" t="n">
        <v>44929</v>
      </c>
      <c r="E862" s="1" t="n">
        <v>46322</v>
      </c>
      <c r="F862" t="inlineStr">
        <is>
          <t>JÖNKÖPINGS LÄN</t>
        </is>
      </c>
      <c r="G862" t="inlineStr">
        <is>
          <t>VETLANDA</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27793-2022</t>
        </is>
      </c>
      <c r="B863" t="inlineStr">
        <is>
          <t>avverkningsanmälan</t>
        </is>
      </c>
      <c r="C863" t="inlineStr">
        <is>
          <t>Föryngringsavverkning</t>
        </is>
      </c>
      <c r="D863" s="1" t="n">
        <v>44743</v>
      </c>
      <c r="E863" s="1" t="n">
        <v>46322</v>
      </c>
      <c r="F863" t="inlineStr">
        <is>
          <t>JÖNKÖPINGS LÄN</t>
        </is>
      </c>
      <c r="G863" t="inlineStr">
        <is>
          <t>VETLANDA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15171-2024</t>
        </is>
      </c>
      <c r="B864" t="inlineStr">
        <is>
          <t>avverkningsanmälan</t>
        </is>
      </c>
      <c r="C864" t="inlineStr">
        <is>
          <t>Avverkning för annat ändamål</t>
        </is>
      </c>
      <c r="D864" s="1" t="n">
        <v>45400</v>
      </c>
      <c r="E864" s="1" t="n">
        <v>46322</v>
      </c>
      <c r="F864" t="inlineStr">
        <is>
          <t>JÖNKÖPINGS LÄN</t>
        </is>
      </c>
      <c r="G864" t="inlineStr">
        <is>
          <t>VETLANDA</t>
        </is>
      </c>
      <c r="H864" t="inlineStr">
        <is>
          <t>Kommuner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22986-2026</t>
        </is>
      </c>
      <c r="B865" t="inlineStr">
        <is>
          <t>avverkningsanmälan</t>
        </is>
      </c>
      <c r="C865" t="inlineStr">
        <is>
          <t>Föryngringsavverkning</t>
        </is>
      </c>
      <c r="D865" s="1" t="n">
        <v>46160</v>
      </c>
      <c r="E865" s="1" t="n">
        <v>46322</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23054-2026</t>
        </is>
      </c>
      <c r="B866" t="inlineStr">
        <is>
          <t>avverkningsanmälan</t>
        </is>
      </c>
      <c r="C866" t="inlineStr">
        <is>
          <t>Föryngringsavverkning</t>
        </is>
      </c>
      <c r="D866" s="1" t="n">
        <v>46161</v>
      </c>
      <c r="E866" s="1" t="n">
        <v>46322</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23004-2026</t>
        </is>
      </c>
      <c r="B867" t="inlineStr">
        <is>
          <t>avverkningsanmälan</t>
        </is>
      </c>
      <c r="C867" t="inlineStr">
        <is>
          <t>Föryngringsavverkning</t>
        </is>
      </c>
      <c r="D867" s="1" t="n">
        <v>46160</v>
      </c>
      <c r="E867" s="1" t="n">
        <v>46322</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40469-2023</t>
        </is>
      </c>
      <c r="B868" t="inlineStr">
        <is>
          <t>avverkningsanmälan</t>
        </is>
      </c>
      <c r="C868" t="inlineStr">
        <is>
          <t>Föryngringsavverkning</t>
        </is>
      </c>
      <c r="D868" s="1" t="n">
        <v>45170</v>
      </c>
      <c r="E868" s="1" t="n">
        <v>46322</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30795-2024</t>
        </is>
      </c>
      <c r="B869" t="inlineStr">
        <is>
          <t>avverkningsanmälan</t>
        </is>
      </c>
      <c r="C869" t="inlineStr">
        <is>
          <t>Föryngringsavverkning</t>
        </is>
      </c>
      <c r="D869" s="1" t="n">
        <v>45497</v>
      </c>
      <c r="E869" s="1" t="n">
        <v>46322</v>
      </c>
      <c r="F869" t="inlineStr">
        <is>
          <t>JÖNKÖPINGS LÄN</t>
        </is>
      </c>
      <c r="G869" t="inlineStr">
        <is>
          <t>VETLANDA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30797-2024</t>
        </is>
      </c>
      <c r="B870" t="inlineStr">
        <is>
          <t>avverkningsanmälan</t>
        </is>
      </c>
      <c r="C870" t="inlineStr">
        <is>
          <t>Föryngringsavverkning</t>
        </is>
      </c>
      <c r="D870" s="1" t="n">
        <v>45497</v>
      </c>
      <c r="E870" s="1" t="n">
        <v>46322</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18071-2025</t>
        </is>
      </c>
      <c r="B871" t="inlineStr">
        <is>
          <t>avverkningsanmälan</t>
        </is>
      </c>
      <c r="C871" t="inlineStr">
        <is>
          <t>Föryngringsavverkning</t>
        </is>
      </c>
      <c r="D871" s="1" t="n">
        <v>45761</v>
      </c>
      <c r="E871" s="1" t="n">
        <v>46322</v>
      </c>
      <c r="F871" t="inlineStr">
        <is>
          <t>JÖNKÖPINGS LÄN</t>
        </is>
      </c>
      <c r="G871" t="inlineStr">
        <is>
          <t>VETLANDA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22989-2026</t>
        </is>
      </c>
      <c r="B872" t="inlineStr">
        <is>
          <t>avverkningsanmälan</t>
        </is>
      </c>
      <c r="C872" t="inlineStr">
        <is>
          <t>Föryngringsavverkning</t>
        </is>
      </c>
      <c r="D872" s="1" t="n">
        <v>46160</v>
      </c>
      <c r="E872" s="1" t="n">
        <v>46322</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8197-2026</t>
        </is>
      </c>
      <c r="B873" t="inlineStr">
        <is>
          <t>avverkningsanmälan</t>
        </is>
      </c>
      <c r="C873" t="inlineStr">
        <is>
          <t>Föryngringsavverkning</t>
        </is>
      </c>
      <c r="D873" s="1" t="n">
        <v>46064</v>
      </c>
      <c r="E873" s="1" t="n">
        <v>46322</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47297-2025</t>
        </is>
      </c>
      <c r="B874" t="inlineStr">
        <is>
          <t>avverkningsanmälan</t>
        </is>
      </c>
      <c r="C874" t="inlineStr">
        <is>
          <t>Föryngringsavverkning</t>
        </is>
      </c>
      <c r="D874" s="1" t="n">
        <v>45930</v>
      </c>
      <c r="E874" s="1" t="n">
        <v>46322</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32143-2023</t>
        </is>
      </c>
      <c r="B875" t="inlineStr">
        <is>
          <t>avverkningsanmälan</t>
        </is>
      </c>
      <c r="C875" t="inlineStr">
        <is>
          <t>Föryngringsavverkning</t>
        </is>
      </c>
      <c r="D875" s="1" t="n">
        <v>45119</v>
      </c>
      <c r="E875" s="1" t="n">
        <v>46322</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15502-2024</t>
        </is>
      </c>
      <c r="B876" t="inlineStr">
        <is>
          <t>avverkningsanmälan</t>
        </is>
      </c>
      <c r="C876" t="inlineStr">
        <is>
          <t>Föryngringsavverkning</t>
        </is>
      </c>
      <c r="D876" s="1" t="n">
        <v>45401</v>
      </c>
      <c r="E876" s="1" t="n">
        <v>46322</v>
      </c>
      <c r="F876" t="inlineStr">
        <is>
          <t>JÖNKÖPINGS LÄN</t>
        </is>
      </c>
      <c r="G876" t="inlineStr">
        <is>
          <t>VETLANDA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22991-2026</t>
        </is>
      </c>
      <c r="B877" t="inlineStr">
        <is>
          <t>avverkningsanmälan</t>
        </is>
      </c>
      <c r="C877" t="inlineStr">
        <is>
          <t>Föryngringsavverkning</t>
        </is>
      </c>
      <c r="D877" s="1" t="n">
        <v>46160</v>
      </c>
      <c r="E877" s="1" t="n">
        <v>46322</v>
      </c>
      <c r="F877" t="inlineStr">
        <is>
          <t>JÖNKÖPINGS LÄN</t>
        </is>
      </c>
      <c r="G877" t="inlineStr">
        <is>
          <t>VETLANDA</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3956-2023</t>
        </is>
      </c>
      <c r="B878" t="inlineStr">
        <is>
          <t>avverkningsanmälan</t>
        </is>
      </c>
      <c r="C878" t="inlineStr">
        <is>
          <t>Föryngringsavverkning</t>
        </is>
      </c>
      <c r="D878" s="1" t="n">
        <v>44952</v>
      </c>
      <c r="E878" s="1" t="n">
        <v>46322</v>
      </c>
      <c r="F878" t="inlineStr">
        <is>
          <t>JÖNKÖPINGS LÄN</t>
        </is>
      </c>
      <c r="G878" t="inlineStr">
        <is>
          <t>VETLANDA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30704-2023</t>
        </is>
      </c>
      <c r="B879" t="inlineStr">
        <is>
          <t>avverkningsanmälan</t>
        </is>
      </c>
      <c r="C879" t="inlineStr">
        <is>
          <t>Föryngringsavverkning</t>
        </is>
      </c>
      <c r="D879" s="1" t="n">
        <v>45112</v>
      </c>
      <c r="E879" s="1" t="n">
        <v>46322</v>
      </c>
      <c r="F879" t="inlineStr">
        <is>
          <t>JÖNKÖPINGS LÄN</t>
        </is>
      </c>
      <c r="G879" t="inlineStr">
        <is>
          <t>VETLANDA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23531-2026</t>
        </is>
      </c>
      <c r="B880" t="inlineStr">
        <is>
          <t>avverkningsanmälan</t>
        </is>
      </c>
      <c r="C880" t="inlineStr">
        <is>
          <t>Föryngringsavverkning</t>
        </is>
      </c>
      <c r="D880" s="1" t="n">
        <v>46163</v>
      </c>
      <c r="E880" s="1" t="n">
        <v>46322</v>
      </c>
      <c r="F880" t="inlineStr">
        <is>
          <t>JÖNKÖPINGS LÄN</t>
        </is>
      </c>
      <c r="G880" t="inlineStr">
        <is>
          <t>VETLANDA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29684-2023</t>
        </is>
      </c>
      <c r="B881" t="inlineStr">
        <is>
          <t>avverkningsanmälan</t>
        </is>
      </c>
      <c r="C881" t="inlineStr">
        <is>
          <t>Föryngringsavverkning</t>
        </is>
      </c>
      <c r="D881" s="1" t="n">
        <v>45107</v>
      </c>
      <c r="E881" s="1" t="n">
        <v>46322</v>
      </c>
      <c r="F881" t="inlineStr">
        <is>
          <t>JÖNKÖPINGS LÄN</t>
        </is>
      </c>
      <c r="G881" t="inlineStr">
        <is>
          <t>VETLANDA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28361-2022</t>
        </is>
      </c>
      <c r="B882" t="inlineStr">
        <is>
          <t>avverkningsanmälan</t>
        </is>
      </c>
      <c r="C882" t="inlineStr">
        <is>
          <t>Föryngringsavverkning</t>
        </is>
      </c>
      <c r="D882" s="1" t="n">
        <v>44747</v>
      </c>
      <c r="E882" s="1" t="n">
        <v>46322</v>
      </c>
      <c r="F882" t="inlineStr">
        <is>
          <t>JÖNKÖPINGS LÄN</t>
        </is>
      </c>
      <c r="G882" t="inlineStr">
        <is>
          <t>VETLANDA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34802-2024</t>
        </is>
      </c>
      <c r="B883" t="inlineStr">
        <is>
          <t>avverkningsanmälan</t>
        </is>
      </c>
      <c r="C883" t="inlineStr">
        <is>
          <t>Föryngringsavverkning</t>
        </is>
      </c>
      <c r="D883" s="1" t="n">
        <v>45526</v>
      </c>
      <c r="E883" s="1" t="n">
        <v>46322</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6197-2022</t>
        </is>
      </c>
      <c r="B884" t="inlineStr">
        <is>
          <t>avverkningsanmälan</t>
        </is>
      </c>
      <c r="C884" t="inlineStr">
        <is>
          <t>Föryngringsavverkning</t>
        </is>
      </c>
      <c r="D884" s="1" t="n">
        <v>44600</v>
      </c>
      <c r="E884" s="1" t="n">
        <v>46322</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23195-2026</t>
        </is>
      </c>
      <c r="B885" t="inlineStr">
        <is>
          <t>avverkningsanmälan</t>
        </is>
      </c>
      <c r="C885" t="inlineStr">
        <is>
          <t>Föryngringsavverkning</t>
        </is>
      </c>
      <c r="D885" s="1" t="n">
        <v>46161</v>
      </c>
      <c r="E885" s="1" t="n">
        <v>46322</v>
      </c>
      <c r="F885" t="inlineStr">
        <is>
          <t>JÖNKÖPINGS LÄN</t>
        </is>
      </c>
      <c r="G885" t="inlineStr">
        <is>
          <t>VETLANDA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43510-2024</t>
        </is>
      </c>
      <c r="B886" t="inlineStr">
        <is>
          <t>avverkningsanmälan</t>
        </is>
      </c>
      <c r="C886" t="inlineStr">
        <is>
          <t>Föryngringsavverkning</t>
        </is>
      </c>
      <c r="D886" s="1" t="n">
        <v>45569</v>
      </c>
      <c r="E886" s="1" t="n">
        <v>46322</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632-2023</t>
        </is>
      </c>
      <c r="B887" t="inlineStr">
        <is>
          <t>avverkningsanmälan</t>
        </is>
      </c>
      <c r="C887" t="inlineStr">
        <is>
          <t>Föryngringsavverkning</t>
        </is>
      </c>
      <c r="D887" s="1" t="n">
        <v>44930</v>
      </c>
      <c r="E887" s="1" t="n">
        <v>46322</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47363-2025</t>
        </is>
      </c>
      <c r="B888" t="inlineStr">
        <is>
          <t>avverkningsanmälan</t>
        </is>
      </c>
      <c r="C888" t="inlineStr">
        <is>
          <t>Föryngringsavverkning</t>
        </is>
      </c>
      <c r="D888" s="1" t="n">
        <v>45930</v>
      </c>
      <c r="E888" s="1" t="n">
        <v>46322</v>
      </c>
      <c r="F888" t="inlineStr">
        <is>
          <t>JÖNKÖPINGS LÄN</t>
        </is>
      </c>
      <c r="G888" t="inlineStr">
        <is>
          <t>VETLANDA</t>
        </is>
      </c>
      <c r="H888" t="inlineStr">
        <is>
          <t>Kyrkan</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16796-2023</t>
        </is>
      </c>
      <c r="B889" t="inlineStr">
        <is>
          <t>avverkningsanmälan</t>
        </is>
      </c>
      <c r="C889" t="inlineStr">
        <is>
          <t>Föryngringsavverkning</t>
        </is>
      </c>
      <c r="D889" s="1" t="n">
        <v>45033</v>
      </c>
      <c r="E889" s="1" t="n">
        <v>46322</v>
      </c>
      <c r="F889" t="inlineStr">
        <is>
          <t>JÖNKÖPINGS LÄN</t>
        </is>
      </c>
      <c r="G889" t="inlineStr">
        <is>
          <t>VETLANDA</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44034-2024</t>
        </is>
      </c>
      <c r="B890" t="inlineStr">
        <is>
          <t>avverkningsanmälan</t>
        </is>
      </c>
      <c r="C890" t="inlineStr">
        <is>
          <t>Föryngringsavverkning</t>
        </is>
      </c>
      <c r="D890" s="1" t="n">
        <v>45572</v>
      </c>
      <c r="E890" s="1" t="n">
        <v>46322</v>
      </c>
      <c r="F890" t="inlineStr">
        <is>
          <t>JÖNKÖPINGS LÄN</t>
        </is>
      </c>
      <c r="G890" t="inlineStr">
        <is>
          <t>VETLANDA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33595-2026</t>
        </is>
      </c>
      <c r="B891" t="inlineStr">
        <is>
          <t>avverkningsanmälan</t>
        </is>
      </c>
      <c r="C891" t="inlineStr">
        <is>
          <t>Föryngringsavverkning</t>
        </is>
      </c>
      <c r="D891" s="1" t="n">
        <v>46248</v>
      </c>
      <c r="E891" s="1" t="n">
        <v>46322</v>
      </c>
      <c r="F891" t="inlineStr">
        <is>
          <t>JÖNKÖPINGS LÄN</t>
        </is>
      </c>
      <c r="G891" t="inlineStr">
        <is>
          <t>VETLANDA</t>
        </is>
      </c>
      <c r="H891" t="inlineStr">
        <is>
          <t>Kyrkan</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6635-2024</t>
        </is>
      </c>
      <c r="B892" t="inlineStr">
        <is>
          <t>avverkningsanmälan</t>
        </is>
      </c>
      <c r="C892" t="inlineStr">
        <is>
          <t>Föryngringsavverkning</t>
        </is>
      </c>
      <c r="D892" s="1" t="n">
        <v>45341</v>
      </c>
      <c r="E892" s="1" t="n">
        <v>46322</v>
      </c>
      <c r="F892" t="inlineStr">
        <is>
          <t>JÖNKÖPINGS LÄN</t>
        </is>
      </c>
      <c r="G892" t="inlineStr">
        <is>
          <t>VETLANDA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7625-2024</t>
        </is>
      </c>
      <c r="B893" t="inlineStr">
        <is>
          <t>avverkningsanmälan</t>
        </is>
      </c>
      <c r="C893" t="inlineStr">
        <is>
          <t>Föryngringsavverkning</t>
        </is>
      </c>
      <c r="D893" s="1" t="n">
        <v>45348</v>
      </c>
      <c r="E893" s="1" t="n">
        <v>46322</v>
      </c>
      <c r="F893" t="inlineStr">
        <is>
          <t>JÖNKÖPINGS LÄN</t>
        </is>
      </c>
      <c r="G893" t="inlineStr">
        <is>
          <t>VETLANDA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40776-2026</t>
        </is>
      </c>
      <c r="B894" t="inlineStr">
        <is>
          <t>avverkningsanmälan</t>
        </is>
      </c>
      <c r="C894" t="inlineStr">
        <is>
          <t>Föryngringsavverkning</t>
        </is>
      </c>
      <c r="D894" s="1" t="n">
        <v>46296</v>
      </c>
      <c r="E894" s="1" t="n">
        <v>46322</v>
      </c>
      <c r="F894" t="inlineStr">
        <is>
          <t>JÖNKÖPINGS LÄN</t>
        </is>
      </c>
      <c r="G894" t="inlineStr">
        <is>
          <t>VETLANDA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26925-2022</t>
        </is>
      </c>
      <c r="B895" t="inlineStr">
        <is>
          <t>avverkningsanmälan</t>
        </is>
      </c>
      <c r="C895" t="inlineStr">
        <is>
          <t>Föryngringsavverkning</t>
        </is>
      </c>
      <c r="D895" s="1" t="n">
        <v>44740</v>
      </c>
      <c r="E895" s="1" t="n">
        <v>46322</v>
      </c>
      <c r="F895" t="inlineStr">
        <is>
          <t>JÖNKÖPINGS LÄN</t>
        </is>
      </c>
      <c r="G895" t="inlineStr">
        <is>
          <t>VETLANDA</t>
        </is>
      </c>
      <c r="H895" t="inlineStr">
        <is>
          <t>Kyrkan</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33584-2026</t>
        </is>
      </c>
      <c r="B896" t="inlineStr">
        <is>
          <t>avverkningsanmälan</t>
        </is>
      </c>
      <c r="C896" t="inlineStr">
        <is>
          <t>Föryngringsavverkning</t>
        </is>
      </c>
      <c r="D896" s="1" t="n">
        <v>46247</v>
      </c>
      <c r="E896" s="1" t="n">
        <v>46322</v>
      </c>
      <c r="F896" t="inlineStr">
        <is>
          <t>JÖNKÖPINGS LÄN</t>
        </is>
      </c>
      <c r="G896" t="inlineStr">
        <is>
          <t>VETLANDA</t>
        </is>
      </c>
      <c r="H896" t="inlineStr">
        <is>
          <t>Kyrkan</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33592-2026</t>
        </is>
      </c>
      <c r="B897" t="inlineStr">
        <is>
          <t>avverkningsanmälan</t>
        </is>
      </c>
      <c r="C897" t="inlineStr">
        <is>
          <t>Föryngringsavverkning</t>
        </is>
      </c>
      <c r="D897" s="1" t="n">
        <v>46247</v>
      </c>
      <c r="E897" s="1" t="n">
        <v>46322</v>
      </c>
      <c r="F897" t="inlineStr">
        <is>
          <t>JÖNKÖPINGS LÄN</t>
        </is>
      </c>
      <c r="G897" t="inlineStr">
        <is>
          <t>VETLANDA</t>
        </is>
      </c>
      <c r="H897" t="inlineStr">
        <is>
          <t>Kyrkan</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16070-2024</t>
        </is>
      </c>
      <c r="B898" t="inlineStr">
        <is>
          <t>avverkningsanmälan</t>
        </is>
      </c>
      <c r="C898" t="inlineStr">
        <is>
          <t>Föryngringsavverkning</t>
        </is>
      </c>
      <c r="D898" s="1" t="n">
        <v>45406</v>
      </c>
      <c r="E898" s="1" t="n">
        <v>46322</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12201-2023</t>
        </is>
      </c>
      <c r="B899" t="inlineStr">
        <is>
          <t>avverkningsanmälan</t>
        </is>
      </c>
      <c r="C899" t="inlineStr">
        <is>
          <t>Föryngringsavverkning</t>
        </is>
      </c>
      <c r="D899" s="1" t="n">
        <v>44998</v>
      </c>
      <c r="E899" s="1" t="n">
        <v>46322</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40888-2026</t>
        </is>
      </c>
      <c r="B900" t="inlineStr">
        <is>
          <t>avverkningsanmälan</t>
        </is>
      </c>
      <c r="C900" t="inlineStr">
        <is>
          <t>Föryngringsavverkning</t>
        </is>
      </c>
      <c r="D900" s="1" t="n">
        <v>46297</v>
      </c>
      <c r="E900" s="1" t="n">
        <v>46322</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40735-2026</t>
        </is>
      </c>
      <c r="B901" t="inlineStr">
        <is>
          <t>avverkningsanmälan</t>
        </is>
      </c>
      <c r="C901" t="inlineStr">
        <is>
          <t>Avverkning för att bevara och utveckla /försöksver</t>
        </is>
      </c>
      <c r="D901" s="1" t="n">
        <v>46296</v>
      </c>
      <c r="E901" s="1" t="n">
        <v>46322</v>
      </c>
      <c r="F901" t="inlineStr">
        <is>
          <t>JÖNKÖPINGS LÄN</t>
        </is>
      </c>
      <c r="G901" t="inlineStr">
        <is>
          <t>VETLANDA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1103-2024</t>
        </is>
      </c>
      <c r="B902" t="inlineStr">
        <is>
          <t>avverkningsanmälan</t>
        </is>
      </c>
      <c r="C902" t="inlineStr">
        <is>
          <t>Föryngringsavverkning</t>
        </is>
      </c>
      <c r="D902" s="1" t="n">
        <v>45302</v>
      </c>
      <c r="E902" s="1" t="n">
        <v>46322</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52427-2022</t>
        </is>
      </c>
      <c r="B903" t="inlineStr">
        <is>
          <t>avverkningsanmälan</t>
        </is>
      </c>
      <c r="C903" t="inlineStr">
        <is>
          <t>Föryngringsavverkning</t>
        </is>
      </c>
      <c r="D903" s="1" t="n">
        <v>44869</v>
      </c>
      <c r="E903" s="1" t="n">
        <v>46322</v>
      </c>
      <c r="F903" t="inlineStr">
        <is>
          <t>JÖNKÖPINGS LÄN</t>
        </is>
      </c>
      <c r="G903" t="inlineStr">
        <is>
          <t>VETLANDA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41320-2023</t>
        </is>
      </c>
      <c r="B904" t="inlineStr">
        <is>
          <t>avverkningsanmälan</t>
        </is>
      </c>
      <c r="C904" t="inlineStr">
        <is>
          <t>Föryngringsavverkning</t>
        </is>
      </c>
      <c r="D904" s="1" t="n">
        <v>45174</v>
      </c>
      <c r="E904" s="1" t="n">
        <v>46322</v>
      </c>
      <c r="F904" t="inlineStr">
        <is>
          <t>JÖNKÖPINGS LÄN</t>
        </is>
      </c>
      <c r="G904" t="inlineStr">
        <is>
          <t>VETLANDA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25164-2026</t>
        </is>
      </c>
      <c r="B905" t="inlineStr">
        <is>
          <t>avverkningsanmälan</t>
        </is>
      </c>
      <c r="C905" t="inlineStr">
        <is>
          <t>Föryngringsavverkning</t>
        </is>
      </c>
      <c r="D905" s="1" t="n">
        <v>46175</v>
      </c>
      <c r="E905" s="1" t="n">
        <v>46322</v>
      </c>
      <c r="F905" t="inlineStr">
        <is>
          <t>JÖNKÖPINGS LÄN</t>
        </is>
      </c>
      <c r="G905" t="inlineStr">
        <is>
          <t>VETLANDA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9889-2024</t>
        </is>
      </c>
      <c r="B906" t="inlineStr">
        <is>
          <t>avverkningsanmälan</t>
        </is>
      </c>
      <c r="C906" t="inlineStr">
        <is>
          <t>Föryngringsavverkning</t>
        </is>
      </c>
      <c r="D906" s="1" t="n">
        <v>45363</v>
      </c>
      <c r="E906" s="1" t="n">
        <v>46322</v>
      </c>
      <c r="F906" t="inlineStr">
        <is>
          <t>JÖNKÖPINGS LÄN</t>
        </is>
      </c>
      <c r="G906" t="inlineStr">
        <is>
          <t>VETLANDA</t>
        </is>
      </c>
      <c r="H906" t="inlineStr">
        <is>
          <t>Kyrkan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9892-2024</t>
        </is>
      </c>
      <c r="B907" t="inlineStr">
        <is>
          <t>avverkningsanmälan</t>
        </is>
      </c>
      <c r="C907" t="inlineStr">
        <is>
          <t>Föryngringsavverkning</t>
        </is>
      </c>
      <c r="D907" s="1" t="n">
        <v>45363</v>
      </c>
      <c r="E907" s="1" t="n">
        <v>46322</v>
      </c>
      <c r="F907" t="inlineStr">
        <is>
          <t>JÖNKÖPINGS LÄN</t>
        </is>
      </c>
      <c r="G907" t="inlineStr">
        <is>
          <t>VETLANDA</t>
        </is>
      </c>
      <c r="H907" t="inlineStr">
        <is>
          <t>Kyrkan</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9867-2024</t>
        </is>
      </c>
      <c r="B908" t="inlineStr">
        <is>
          <t>avverkningsanmälan</t>
        </is>
      </c>
      <c r="C908" t="inlineStr">
        <is>
          <t>Föryngringsavverkning</t>
        </is>
      </c>
      <c r="D908" s="1" t="n">
        <v>45363</v>
      </c>
      <c r="E908" s="1" t="n">
        <v>46322</v>
      </c>
      <c r="F908" t="inlineStr">
        <is>
          <t>JÖNKÖPINGS LÄN</t>
        </is>
      </c>
      <c r="G908" t="inlineStr">
        <is>
          <t>VETLANDA</t>
        </is>
      </c>
      <c r="H908" t="inlineStr">
        <is>
          <t>Kyrkan</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10044-2024</t>
        </is>
      </c>
      <c r="B909" t="inlineStr">
        <is>
          <t>avverkningsanmälan</t>
        </is>
      </c>
      <c r="C909" t="inlineStr">
        <is>
          <t>Föryngringsavverkning</t>
        </is>
      </c>
      <c r="D909" s="1" t="n">
        <v>45364</v>
      </c>
      <c r="E909" s="1" t="n">
        <v>46322</v>
      </c>
      <c r="F909" t="inlineStr">
        <is>
          <t>JÖNKÖPINGS LÄN</t>
        </is>
      </c>
      <c r="G909" t="inlineStr">
        <is>
          <t>VETLANDA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28841-2023</t>
        </is>
      </c>
      <c r="B910" t="inlineStr">
        <is>
          <t>avverkningsanmälan</t>
        </is>
      </c>
      <c r="C910" t="inlineStr">
        <is>
          <t>Föryngringsavverkning</t>
        </is>
      </c>
      <c r="D910" s="1" t="n">
        <v>45104</v>
      </c>
      <c r="E910" s="1" t="n">
        <v>46322</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64613-2023</t>
        </is>
      </c>
      <c r="B911" t="inlineStr">
        <is>
          <t>avverkningsanmälan</t>
        </is>
      </c>
      <c r="C911" t="inlineStr">
        <is>
          <t>Föryngringsavverkning</t>
        </is>
      </c>
      <c r="D911" s="1" t="n">
        <v>45281</v>
      </c>
      <c r="E911" s="1" t="n">
        <v>46322</v>
      </c>
      <c r="F911" t="inlineStr">
        <is>
          <t>JÖNKÖPINGS LÄN</t>
        </is>
      </c>
      <c r="G911" t="inlineStr">
        <is>
          <t>VETLANDA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34483-2024</t>
        </is>
      </c>
      <c r="B912" t="inlineStr">
        <is>
          <t>avverkningsanmälan</t>
        </is>
      </c>
      <c r="C912" t="inlineStr">
        <is>
          <t>Avverkning för annat ändamål</t>
        </is>
      </c>
      <c r="D912" s="1" t="n">
        <v>45525</v>
      </c>
      <c r="E912" s="1" t="n">
        <v>46322</v>
      </c>
      <c r="F912" t="inlineStr">
        <is>
          <t>JÖNKÖPINGS LÄN</t>
        </is>
      </c>
      <c r="G912" t="inlineStr">
        <is>
          <t>VETLANDA</t>
        </is>
      </c>
      <c r="I912" t="n">
        <v>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48656-2025</t>
        </is>
      </c>
      <c r="B913" t="inlineStr">
        <is>
          <t>avverkningsanmälan</t>
        </is>
      </c>
      <c r="C913" t="inlineStr">
        <is>
          <t>Föryngringsavverkning</t>
        </is>
      </c>
      <c r="D913" s="1" t="n">
        <v>45936</v>
      </c>
      <c r="E913" s="1" t="n">
        <v>46322</v>
      </c>
      <c r="F913" t="inlineStr">
        <is>
          <t>JÖNKÖPINGS LÄN</t>
        </is>
      </c>
      <c r="G913" t="inlineStr">
        <is>
          <t>VETLANDA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7811-2026</t>
        </is>
      </c>
      <c r="B914" t="inlineStr">
        <is>
          <t>avverkningsanmälan</t>
        </is>
      </c>
      <c r="C914" t="inlineStr">
        <is>
          <t>Föryngringsavverkning</t>
        </is>
      </c>
      <c r="D914" s="1" t="n">
        <v>46062</v>
      </c>
      <c r="E914" s="1" t="n">
        <v>46322</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13644-2023</t>
        </is>
      </c>
      <c r="B915" t="inlineStr">
        <is>
          <t>avverkningsanmälan</t>
        </is>
      </c>
      <c r="C915" t="inlineStr">
        <is>
          <t>Föryngringsavverkning</t>
        </is>
      </c>
      <c r="D915" s="1" t="n">
        <v>45006</v>
      </c>
      <c r="E915" s="1" t="n">
        <v>46322</v>
      </c>
      <c r="F915" t="inlineStr">
        <is>
          <t>JÖNKÖPINGS LÄN</t>
        </is>
      </c>
      <c r="G915" t="inlineStr">
        <is>
          <t>VETLANDA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47226-2023</t>
        </is>
      </c>
      <c r="B916" t="inlineStr">
        <is>
          <t>avverkningsanmälan</t>
        </is>
      </c>
      <c r="C916" t="inlineStr">
        <is>
          <t>Föryngringsavverkning</t>
        </is>
      </c>
      <c r="D916" s="1" t="n">
        <v>45202</v>
      </c>
      <c r="E916" s="1" t="n">
        <v>46322</v>
      </c>
      <c r="F916" t="inlineStr">
        <is>
          <t>JÖNKÖPINGS LÄN</t>
        </is>
      </c>
      <c r="G916" t="inlineStr">
        <is>
          <t>VETLANDA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42431-2024</t>
        </is>
      </c>
      <c r="B917" t="inlineStr">
        <is>
          <t>avverkningsanmälan</t>
        </is>
      </c>
      <c r="C917" t="inlineStr">
        <is>
          <t>Föryngringsavverkning</t>
        </is>
      </c>
      <c r="D917" s="1" t="n">
        <v>45563</v>
      </c>
      <c r="E917" s="1" t="n">
        <v>46322</v>
      </c>
      <c r="F917" t="inlineStr">
        <is>
          <t>JÖNKÖPINGS LÄN</t>
        </is>
      </c>
      <c r="G917" t="inlineStr">
        <is>
          <t>VETLANDA</t>
        </is>
      </c>
      <c r="H917" t="inlineStr">
        <is>
          <t>Kyrkan</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8991-2024</t>
        </is>
      </c>
      <c r="B918" t="inlineStr">
        <is>
          <t>avverkningsanmälan</t>
        </is>
      </c>
      <c r="C918" t="inlineStr">
        <is>
          <t>Föryngringsavverkning</t>
        </is>
      </c>
      <c r="D918" s="1" t="n">
        <v>45357</v>
      </c>
      <c r="E918" s="1" t="n">
        <v>46322</v>
      </c>
      <c r="F918" t="inlineStr">
        <is>
          <t>JÖNKÖPINGS LÄN</t>
        </is>
      </c>
      <c r="G918" t="inlineStr">
        <is>
          <t>VETLANDA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40824-2026</t>
        </is>
      </c>
      <c r="B919" t="inlineStr">
        <is>
          <t>avverkningsanmälan</t>
        </is>
      </c>
      <c r="C919" t="inlineStr">
        <is>
          <t>Föryngringsavverkning</t>
        </is>
      </c>
      <c r="D919" s="1" t="n">
        <v>46295</v>
      </c>
      <c r="E919" s="1" t="n">
        <v>46322</v>
      </c>
      <c r="F919" t="inlineStr">
        <is>
          <t>JÖNKÖPINGS LÄN</t>
        </is>
      </c>
      <c r="G919" t="inlineStr">
        <is>
          <t>VETLANDA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25655-2026</t>
        </is>
      </c>
      <c r="B920" t="inlineStr">
        <is>
          <t>avverkningsanmälan</t>
        </is>
      </c>
      <c r="C920" t="inlineStr">
        <is>
          <t>Föryngringsavverkning</t>
        </is>
      </c>
      <c r="D920" s="1" t="n">
        <v>46178</v>
      </c>
      <c r="E920" s="1" t="n">
        <v>46322</v>
      </c>
      <c r="F920" t="inlineStr">
        <is>
          <t>JÖNKÖPINGS LÄN</t>
        </is>
      </c>
      <c r="G920" t="inlineStr">
        <is>
          <t>VETLANDA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40876-2023</t>
        </is>
      </c>
      <c r="B921" t="inlineStr">
        <is>
          <t>avverkningsanmälan</t>
        </is>
      </c>
      <c r="C921" t="inlineStr">
        <is>
          <t>Föryngringsavverkning</t>
        </is>
      </c>
      <c r="D921" s="1" t="n">
        <v>45173</v>
      </c>
      <c r="E921" s="1" t="n">
        <v>46322</v>
      </c>
      <c r="F921" t="inlineStr">
        <is>
          <t>JÖNKÖPINGS LÄN</t>
        </is>
      </c>
      <c r="G921" t="inlineStr">
        <is>
          <t>VETLANDA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25657-2026</t>
        </is>
      </c>
      <c r="B922" t="inlineStr">
        <is>
          <t>avverkningsanmälan</t>
        </is>
      </c>
      <c r="C922" t="inlineStr">
        <is>
          <t>Föryngringsavverkning</t>
        </is>
      </c>
      <c r="D922" s="1" t="n">
        <v>46178</v>
      </c>
      <c r="E922" s="1" t="n">
        <v>46322</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26289-2026</t>
        </is>
      </c>
      <c r="B923" t="inlineStr">
        <is>
          <t>avverkningsanmälan</t>
        </is>
      </c>
      <c r="C923" t="inlineStr">
        <is>
          <t>Föryngringsavverkning</t>
        </is>
      </c>
      <c r="D923" s="1" t="n">
        <v>46182</v>
      </c>
      <c r="E923" s="1" t="n">
        <v>46322</v>
      </c>
      <c r="F923" t="inlineStr">
        <is>
          <t>JÖNKÖPINGS LÄN</t>
        </is>
      </c>
      <c r="G923" t="inlineStr">
        <is>
          <t>VETLANDA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26297-2026</t>
        </is>
      </c>
      <c r="B924" t="inlineStr">
        <is>
          <t>avverkningsanmälan</t>
        </is>
      </c>
      <c r="C924" t="inlineStr">
        <is>
          <t>Föryngringsavverkning</t>
        </is>
      </c>
      <c r="D924" s="1" t="n">
        <v>46182</v>
      </c>
      <c r="E924" s="1" t="n">
        <v>46322</v>
      </c>
      <c r="F924" t="inlineStr">
        <is>
          <t>JÖNKÖPINGS LÄN</t>
        </is>
      </c>
      <c r="G924" t="inlineStr">
        <is>
          <t>VETLANDA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57308-2024</t>
        </is>
      </c>
      <c r="B925" t="inlineStr">
        <is>
          <t>avverkningsanmälan</t>
        </is>
      </c>
      <c r="C925" t="inlineStr">
        <is>
          <t>Föryngringsavverkning</t>
        </is>
      </c>
      <c r="D925" s="1" t="n">
        <v>45629</v>
      </c>
      <c r="E925" s="1" t="n">
        <v>46322</v>
      </c>
      <c r="F925" t="inlineStr">
        <is>
          <t>JÖNKÖPINGS LÄN</t>
        </is>
      </c>
      <c r="G925" t="inlineStr">
        <is>
          <t>VETLANDA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35118-2026</t>
        </is>
      </c>
      <c r="B926" t="inlineStr">
        <is>
          <t>avverkningsanmälan</t>
        </is>
      </c>
      <c r="C926" t="inlineStr">
        <is>
          <t>Föryngringsavverkning</t>
        </is>
      </c>
      <c r="D926" s="1" t="n">
        <v>46258</v>
      </c>
      <c r="E926" s="1" t="n">
        <v>46322</v>
      </c>
      <c r="F926" t="inlineStr">
        <is>
          <t>JÖNKÖPINGS LÄN</t>
        </is>
      </c>
      <c r="G926" t="inlineStr">
        <is>
          <t>VETLANDA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2772-2024</t>
        </is>
      </c>
      <c r="B927" t="inlineStr">
        <is>
          <t>avverkningsanmälan</t>
        </is>
      </c>
      <c r="C927" t="inlineStr">
        <is>
          <t>Föryngringsavverkning</t>
        </is>
      </c>
      <c r="D927" s="1" t="n">
        <v>45314</v>
      </c>
      <c r="E927" s="1" t="n">
        <v>46322</v>
      </c>
      <c r="F927" t="inlineStr">
        <is>
          <t>JÖNKÖPINGS LÄN</t>
        </is>
      </c>
      <c r="G927" t="inlineStr">
        <is>
          <t>VETLANDA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26282-2026</t>
        </is>
      </c>
      <c r="B928" t="inlineStr">
        <is>
          <t>avverkningsanmälan</t>
        </is>
      </c>
      <c r="C928" t="inlineStr">
        <is>
          <t>Föryngringsavverkning</t>
        </is>
      </c>
      <c r="D928" s="1" t="n">
        <v>46182</v>
      </c>
      <c r="E928" s="1" t="n">
        <v>46322</v>
      </c>
      <c r="F928" t="inlineStr">
        <is>
          <t>JÖNKÖPINGS LÄN</t>
        </is>
      </c>
      <c r="G928" t="inlineStr">
        <is>
          <t>VETLANDA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18193-2024</t>
        </is>
      </c>
      <c r="B929" t="inlineStr">
        <is>
          <t>avverkningsanmälan</t>
        </is>
      </c>
      <c r="C929" t="inlineStr">
        <is>
          <t>Föryngringsavverkning</t>
        </is>
      </c>
      <c r="D929" s="1" t="n">
        <v>45420</v>
      </c>
      <c r="E929" s="1" t="n">
        <v>46322</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27310-2026</t>
        </is>
      </c>
      <c r="B930" t="inlineStr">
        <is>
          <t>avverkningsanmälan</t>
        </is>
      </c>
      <c r="C930" t="inlineStr">
        <is>
          <t>Föryngringsavverkning</t>
        </is>
      </c>
      <c r="D930" s="1" t="n">
        <v>46184</v>
      </c>
      <c r="E930" s="1" t="n">
        <v>46322</v>
      </c>
      <c r="F930" t="inlineStr">
        <is>
          <t>JÖNKÖPINGS LÄN</t>
        </is>
      </c>
      <c r="G930" t="inlineStr">
        <is>
          <t>VETLANDA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45882-2023</t>
        </is>
      </c>
      <c r="B931" t="inlineStr">
        <is>
          <t>avverkningsanmälan</t>
        </is>
      </c>
      <c r="C931" t="inlineStr">
        <is>
          <t>Föryngringsavverkning</t>
        </is>
      </c>
      <c r="D931" s="1" t="n">
        <v>45195</v>
      </c>
      <c r="E931" s="1" t="n">
        <v>46322</v>
      </c>
      <c r="F931" t="inlineStr">
        <is>
          <t>JÖNKÖPINGS LÄN</t>
        </is>
      </c>
      <c r="G931" t="inlineStr">
        <is>
          <t>VETLANDA</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55372-2023</t>
        </is>
      </c>
      <c r="B932" t="inlineStr">
        <is>
          <t>avverkningsanmälan</t>
        </is>
      </c>
      <c r="C932" t="inlineStr">
        <is>
          <t>Föryngringsavverkning</t>
        </is>
      </c>
      <c r="D932" s="1" t="n">
        <v>45238</v>
      </c>
      <c r="E932" s="1" t="n">
        <v>46322</v>
      </c>
      <c r="F932" t="inlineStr">
        <is>
          <t>JÖNKÖPINGS LÄN</t>
        </is>
      </c>
      <c r="G932" t="inlineStr">
        <is>
          <t>VETLANDA</t>
        </is>
      </c>
      <c r="H932" t="inlineStr">
        <is>
          <t>Kyrkan</t>
        </is>
      </c>
      <c r="I932" t="n">
        <v>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27312-2026</t>
        </is>
      </c>
      <c r="B933" t="inlineStr">
        <is>
          <t>avverkningsanmälan</t>
        </is>
      </c>
      <c r="C933" t="inlineStr">
        <is>
          <t>Föryngringsavverkning</t>
        </is>
      </c>
      <c r="D933" s="1" t="n">
        <v>46184</v>
      </c>
      <c r="E933" s="1" t="n">
        <v>46322</v>
      </c>
      <c r="F933" t="inlineStr">
        <is>
          <t>JÖNKÖPINGS LÄN</t>
        </is>
      </c>
      <c r="G933" t="inlineStr">
        <is>
          <t>VETLANDA</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53790-2022</t>
        </is>
      </c>
      <c r="B934" t="inlineStr">
        <is>
          <t>avverkningsanmälan</t>
        </is>
      </c>
      <c r="C934" t="inlineStr">
        <is>
          <t>Föryngringsavverkning</t>
        </is>
      </c>
      <c r="D934" s="1" t="n">
        <v>44880</v>
      </c>
      <c r="E934" s="1" t="n">
        <v>46322</v>
      </c>
      <c r="F934" t="inlineStr">
        <is>
          <t>JÖNKÖPINGS LÄN</t>
        </is>
      </c>
      <c r="G934" t="inlineStr">
        <is>
          <t>VETLANDA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53794-2022</t>
        </is>
      </c>
      <c r="B935" t="inlineStr">
        <is>
          <t>avverkningsanmälan</t>
        </is>
      </c>
      <c r="C935" t="inlineStr">
        <is>
          <t>Föryngringsavverkning</t>
        </is>
      </c>
      <c r="D935" s="1" t="n">
        <v>44880</v>
      </c>
      <c r="E935" s="1" t="n">
        <v>46322</v>
      </c>
      <c r="F935" t="inlineStr">
        <is>
          <t>JÖNKÖPINGS LÄN</t>
        </is>
      </c>
      <c r="G935" t="inlineStr">
        <is>
          <t>VETLANDA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24259-2023</t>
        </is>
      </c>
      <c r="B936" t="inlineStr">
        <is>
          <t>avverkningsanmälan</t>
        </is>
      </c>
      <c r="C936" t="inlineStr">
        <is>
          <t>Föryngringsavverkning</t>
        </is>
      </c>
      <c r="D936" s="1" t="n">
        <v>45079</v>
      </c>
      <c r="E936" s="1" t="n">
        <v>46322</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27350-2026</t>
        </is>
      </c>
      <c r="B937" t="inlineStr">
        <is>
          <t>avverkningsanmälan</t>
        </is>
      </c>
      <c r="C937" t="inlineStr">
        <is>
          <t>Föryngringsavverkning</t>
        </is>
      </c>
      <c r="D937" s="1" t="n">
        <v>46184</v>
      </c>
      <c r="E937" s="1" t="n">
        <v>46322</v>
      </c>
      <c r="F937" t="inlineStr">
        <is>
          <t>JÖNKÖPINGS LÄN</t>
        </is>
      </c>
      <c r="G937" t="inlineStr">
        <is>
          <t>VETLANDA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26266-2023</t>
        </is>
      </c>
      <c r="B938" t="inlineStr">
        <is>
          <t>avverkningsanmälan</t>
        </is>
      </c>
      <c r="C938" t="inlineStr">
        <is>
          <t>Avverkning för annat ändamål</t>
        </is>
      </c>
      <c r="D938" s="1" t="n">
        <v>45091</v>
      </c>
      <c r="E938" s="1" t="n">
        <v>46322</v>
      </c>
      <c r="F938" t="inlineStr">
        <is>
          <t>JÖNKÖPINGS LÄN</t>
        </is>
      </c>
      <c r="G938" t="inlineStr">
        <is>
          <t>VETLANDA</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6880-2022</t>
        </is>
      </c>
      <c r="B939" t="inlineStr">
        <is>
          <t>avverkningsanmälan</t>
        </is>
      </c>
      <c r="C939" t="inlineStr">
        <is>
          <t>Föryngringsavverkning</t>
        </is>
      </c>
      <c r="D939" s="1" t="n">
        <v>44602</v>
      </c>
      <c r="E939" s="1" t="n">
        <v>46322</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38932-2023</t>
        </is>
      </c>
      <c r="B940" t="inlineStr">
        <is>
          <t>avverkningsanmälan</t>
        </is>
      </c>
      <c r="C940" t="inlineStr">
        <is>
          <t>Föryngringsavverkning</t>
        </is>
      </c>
      <c r="D940" s="1" t="n">
        <v>45163</v>
      </c>
      <c r="E940" s="1" t="n">
        <v>46322</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34702-2026</t>
        </is>
      </c>
      <c r="B941" t="inlineStr">
        <is>
          <t>avverkningsanmälan</t>
        </is>
      </c>
      <c r="C941" t="inlineStr">
        <is>
          <t>Föryngringsavverkning</t>
        </is>
      </c>
      <c r="D941" s="1" t="n">
        <v>46258</v>
      </c>
      <c r="E941" s="1" t="n">
        <v>46322</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67274-2021</t>
        </is>
      </c>
      <c r="B942" t="inlineStr">
        <is>
          <t>avverkningsanmälan</t>
        </is>
      </c>
      <c r="C942" t="inlineStr">
        <is>
          <t>Föryngringsavverkning</t>
        </is>
      </c>
      <c r="D942" s="1" t="n">
        <v>44523</v>
      </c>
      <c r="E942" s="1" t="n">
        <v>46322</v>
      </c>
      <c r="F942" t="inlineStr">
        <is>
          <t>JÖNKÖPINGS LÄN</t>
        </is>
      </c>
      <c r="G942" t="inlineStr">
        <is>
          <t>VETLANDA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17124-2022</t>
        </is>
      </c>
      <c r="B943" t="inlineStr">
        <is>
          <t>avverkningsanmälan</t>
        </is>
      </c>
      <c r="C943" t="inlineStr">
        <is>
          <t>Föryngringsavverkning</t>
        </is>
      </c>
      <c r="D943" s="1" t="n">
        <v>44677</v>
      </c>
      <c r="E943" s="1" t="n">
        <v>46322</v>
      </c>
      <c r="F943" t="inlineStr">
        <is>
          <t>JÖNKÖPINGS LÄN</t>
        </is>
      </c>
      <c r="G943" t="inlineStr">
        <is>
          <t>VETLANDA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1441-2024</t>
        </is>
      </c>
      <c r="B944" t="inlineStr">
        <is>
          <t>avverkningsanmälan</t>
        </is>
      </c>
      <c r="C944" t="inlineStr">
        <is>
          <t>Föryngringsavverkning</t>
        </is>
      </c>
      <c r="D944" s="1" t="n">
        <v>45303</v>
      </c>
      <c r="E944" s="1" t="n">
        <v>46322</v>
      </c>
      <c r="F944" t="inlineStr">
        <is>
          <t>JÖNKÖPINGS LÄN</t>
        </is>
      </c>
      <c r="G944" t="inlineStr">
        <is>
          <t>VETLANDA</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41577-2026</t>
        </is>
      </c>
      <c r="B945" t="inlineStr">
        <is>
          <t>avverkningsanmälan</t>
        </is>
      </c>
      <c r="C945" t="inlineStr">
        <is>
          <t>Föryngringsavverkning</t>
        </is>
      </c>
      <c r="D945" s="1" t="n">
        <v>46301</v>
      </c>
      <c r="E945" s="1" t="n">
        <v>46322</v>
      </c>
      <c r="F945" t="inlineStr">
        <is>
          <t>JÖNKÖPINGS LÄN</t>
        </is>
      </c>
      <c r="G945" t="inlineStr">
        <is>
          <t>VETLANDA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41404-2026</t>
        </is>
      </c>
      <c r="B946" t="inlineStr">
        <is>
          <t>avverkningsanmälan</t>
        </is>
      </c>
      <c r="C946" t="inlineStr">
        <is>
          <t>Föryngringsavverkning</t>
        </is>
      </c>
      <c r="D946" s="1" t="n">
        <v>46301</v>
      </c>
      <c r="E946" s="1" t="n">
        <v>46322</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4679-2022</t>
        </is>
      </c>
      <c r="B947" t="inlineStr">
        <is>
          <t>avverkningsanmälan</t>
        </is>
      </c>
      <c r="C947" t="inlineStr">
        <is>
          <t>Föryngringsavverkning</t>
        </is>
      </c>
      <c r="D947" s="1" t="n">
        <v>44592</v>
      </c>
      <c r="E947" s="1" t="n">
        <v>46322</v>
      </c>
      <c r="F947" t="inlineStr">
        <is>
          <t>JÖNKÖPINGS LÄN</t>
        </is>
      </c>
      <c r="G947" t="inlineStr">
        <is>
          <t>VETLANDA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27687-2024</t>
        </is>
      </c>
      <c r="B948" t="inlineStr">
        <is>
          <t>avverkningsanmälan</t>
        </is>
      </c>
      <c r="C948" t="inlineStr">
        <is>
          <t>Föryngringsavverkning</t>
        </is>
      </c>
      <c r="D948" s="1" t="n">
        <v>45475</v>
      </c>
      <c r="E948" s="1" t="n">
        <v>46322</v>
      </c>
      <c r="F948" t="inlineStr">
        <is>
          <t>JÖNKÖPINGS LÄN</t>
        </is>
      </c>
      <c r="G948" t="inlineStr">
        <is>
          <t>VETLANDA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35141-2026</t>
        </is>
      </c>
      <c r="B949" t="inlineStr">
        <is>
          <t>avverkningsanmälan</t>
        </is>
      </c>
      <c r="C949" t="inlineStr">
        <is>
          <t>Föryngringsavverkning</t>
        </is>
      </c>
      <c r="D949" s="1" t="n">
        <v>46259</v>
      </c>
      <c r="E949" s="1" t="n">
        <v>46322</v>
      </c>
      <c r="F949" t="inlineStr">
        <is>
          <t>JÖNKÖPINGS LÄN</t>
        </is>
      </c>
      <c r="G949" t="inlineStr">
        <is>
          <t>VETLANDA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49444-2023</t>
        </is>
      </c>
      <c r="B950" t="inlineStr">
        <is>
          <t>avverkningsanmälan</t>
        </is>
      </c>
      <c r="C950" t="inlineStr">
        <is>
          <t>Föryngringsavverkning</t>
        </is>
      </c>
      <c r="D950" s="1" t="n">
        <v>45211</v>
      </c>
      <c r="E950" s="1" t="n">
        <v>46322</v>
      </c>
      <c r="F950" t="inlineStr">
        <is>
          <t>JÖNKÖPINGS LÄN</t>
        </is>
      </c>
      <c r="G950" t="inlineStr">
        <is>
          <t>VETLANDA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8675-2024</t>
        </is>
      </c>
      <c r="B951" t="inlineStr">
        <is>
          <t>avverkningsanmälan</t>
        </is>
      </c>
      <c r="C951" t="inlineStr">
        <is>
          <t>Föryngringsavverkning</t>
        </is>
      </c>
      <c r="D951" s="1" t="n">
        <v>45352</v>
      </c>
      <c r="E951" s="1" t="n">
        <v>46322</v>
      </c>
      <c r="F951" t="inlineStr">
        <is>
          <t>JÖNKÖPINGS LÄN</t>
        </is>
      </c>
      <c r="G951" t="inlineStr">
        <is>
          <t>VETLANDA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36845-2024</t>
        </is>
      </c>
      <c r="B952" t="inlineStr">
        <is>
          <t>avverkningsanmälan</t>
        </is>
      </c>
      <c r="C952" t="inlineStr">
        <is>
          <t>Föryngringsavverkning</t>
        </is>
      </c>
      <c r="D952" s="1" t="n">
        <v>45538</v>
      </c>
      <c r="E952" s="1" t="n">
        <v>46322</v>
      </c>
      <c r="F952" t="inlineStr">
        <is>
          <t>JÖNKÖPINGS LÄN</t>
        </is>
      </c>
      <c r="G952" t="inlineStr">
        <is>
          <t>VETLANDA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4968-2024</t>
        </is>
      </c>
      <c r="B953" t="inlineStr">
        <is>
          <t>avverkningsanmälan</t>
        </is>
      </c>
      <c r="C953" t="inlineStr">
        <is>
          <t>Föryngringsavverkning</t>
        </is>
      </c>
      <c r="D953" s="1" t="n">
        <v>45329</v>
      </c>
      <c r="E953" s="1" t="n">
        <v>46322</v>
      </c>
      <c r="F953" t="inlineStr">
        <is>
          <t>JÖNKÖPINGS LÄN</t>
        </is>
      </c>
      <c r="G953" t="inlineStr">
        <is>
          <t>VETLANDA</t>
        </is>
      </c>
      <c r="H953" t="inlineStr">
        <is>
          <t>Kyrkan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2786-2024</t>
        </is>
      </c>
      <c r="B954" t="inlineStr">
        <is>
          <t>avverkningsanmälan</t>
        </is>
      </c>
      <c r="C954" t="inlineStr">
        <is>
          <t>Föryngringsavverkning</t>
        </is>
      </c>
      <c r="D954" s="1" t="n">
        <v>45314</v>
      </c>
      <c r="E954" s="1" t="n">
        <v>46322</v>
      </c>
      <c r="F954" t="inlineStr">
        <is>
          <t>JÖNKÖPINGS LÄN</t>
        </is>
      </c>
      <c r="G954" t="inlineStr">
        <is>
          <t>VETLANDA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22000-2026</t>
        </is>
      </c>
      <c r="B955" t="inlineStr">
        <is>
          <t>avverkningsanmälan</t>
        </is>
      </c>
      <c r="C955" t="inlineStr">
        <is>
          <t>Föryngringsavverkning</t>
        </is>
      </c>
      <c r="D955" s="1" t="n">
        <v>46153</v>
      </c>
      <c r="E955" s="1" t="n">
        <v>46322</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26884-2026</t>
        </is>
      </c>
      <c r="B956" t="inlineStr">
        <is>
          <t>avverkningsanmälan</t>
        </is>
      </c>
      <c r="C956" t="inlineStr">
        <is>
          <t>Föryngringsavverkning</t>
        </is>
      </c>
      <c r="D956" s="1" t="n">
        <v>46185</v>
      </c>
      <c r="E956" s="1" t="n">
        <v>46322</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40274-2026</t>
        </is>
      </c>
      <c r="B957" t="inlineStr">
        <is>
          <t>avverkningsanmälan</t>
        </is>
      </c>
      <c r="C957" t="inlineStr">
        <is>
          <t>Avverkning för annat ändamål</t>
        </is>
      </c>
      <c r="D957" s="1" t="n">
        <v>46294</v>
      </c>
      <c r="E957" s="1" t="n">
        <v>46322</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28207-2026</t>
        </is>
      </c>
      <c r="B958" t="inlineStr">
        <is>
          <t>avverkningsanmälan</t>
        </is>
      </c>
      <c r="C958" t="inlineStr">
        <is>
          <t>Föryngringsavverkning</t>
        </is>
      </c>
      <c r="D958" s="1" t="n">
        <v>46196</v>
      </c>
      <c r="E958" s="1" t="n">
        <v>46322</v>
      </c>
      <c r="F958" t="inlineStr">
        <is>
          <t>JÖNKÖPINGS LÄN</t>
        </is>
      </c>
      <c r="G958" t="inlineStr">
        <is>
          <t>VETLANDA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38724-2022</t>
        </is>
      </c>
      <c r="B959" t="inlineStr">
        <is>
          <t>avverkningsanmälan</t>
        </is>
      </c>
      <c r="C959" t="inlineStr">
        <is>
          <t>Föryngringsavverkning</t>
        </is>
      </c>
      <c r="D959" s="1" t="n">
        <v>44815</v>
      </c>
      <c r="E959" s="1" t="n">
        <v>46322</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41871-2026</t>
        </is>
      </c>
      <c r="B960" t="inlineStr">
        <is>
          <t>avverkningsanmälan</t>
        </is>
      </c>
      <c r="C960" t="inlineStr">
        <is>
          <t>Föryngringsavverkning</t>
        </is>
      </c>
      <c r="D960" s="1" t="n">
        <v>46303</v>
      </c>
      <c r="E960" s="1" t="n">
        <v>46322</v>
      </c>
      <c r="F960" t="inlineStr">
        <is>
          <t>JÖNKÖPINGS LÄN</t>
        </is>
      </c>
      <c r="G960" t="inlineStr">
        <is>
          <t>VETLANDA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38475-2025</t>
        </is>
      </c>
      <c r="B961" t="inlineStr">
        <is>
          <t>avverkningsanmälan</t>
        </is>
      </c>
      <c r="C961" t="inlineStr">
        <is>
          <t>Föryngringsavverkning</t>
        </is>
      </c>
      <c r="D961" s="1" t="n">
        <v>45884</v>
      </c>
      <c r="E961" s="1" t="n">
        <v>46322</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41933-2026</t>
        </is>
      </c>
      <c r="B962" t="inlineStr">
        <is>
          <t>avverkningsanmälan</t>
        </is>
      </c>
      <c r="C962" t="inlineStr">
        <is>
          <t>Föryngringsavverkning</t>
        </is>
      </c>
      <c r="D962" s="1" t="n">
        <v>46303</v>
      </c>
      <c r="E962" s="1" t="n">
        <v>46322</v>
      </c>
      <c r="F962" t="inlineStr">
        <is>
          <t>JÖNKÖPINGS LÄN</t>
        </is>
      </c>
      <c r="G962" t="inlineStr">
        <is>
          <t>VETLANDA</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25662-2026</t>
        </is>
      </c>
      <c r="B963" t="inlineStr">
        <is>
          <t>avverkningsanmälan</t>
        </is>
      </c>
      <c r="C963" t="inlineStr">
        <is>
          <t>Föryngringsavverkning</t>
        </is>
      </c>
      <c r="D963" s="1" t="n">
        <v>46178</v>
      </c>
      <c r="E963" s="1" t="n">
        <v>46322</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60986-2021</t>
        </is>
      </c>
      <c r="B964" t="inlineStr">
        <is>
          <t>avverkningsanmälan</t>
        </is>
      </c>
      <c r="C964" t="inlineStr">
        <is>
          <t>Föryngringsavverkning</t>
        </is>
      </c>
      <c r="D964" s="1" t="n">
        <v>44497</v>
      </c>
      <c r="E964" s="1" t="n">
        <v>46322</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41664-2026</t>
        </is>
      </c>
      <c r="B965" t="inlineStr">
        <is>
          <t>avverkningsanmälan</t>
        </is>
      </c>
      <c r="C965" t="inlineStr">
        <is>
          <t>Avverkning för annat ändamål</t>
        </is>
      </c>
      <c r="D965" s="1" t="n">
        <v>46302</v>
      </c>
      <c r="E965" s="1" t="n">
        <v>46322</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41677-2026</t>
        </is>
      </c>
      <c r="B966" t="inlineStr">
        <is>
          <t>avverkningsanmälan</t>
        </is>
      </c>
      <c r="C966" t="inlineStr">
        <is>
          <t>Föryngringsavverkning</t>
        </is>
      </c>
      <c r="D966" s="1" t="n">
        <v>46302</v>
      </c>
      <c r="E966" s="1" t="n">
        <v>46322</v>
      </c>
      <c r="F966" t="inlineStr">
        <is>
          <t>JÖNKÖPINGS LÄN</t>
        </is>
      </c>
      <c r="G966" t="inlineStr">
        <is>
          <t>VETLANDA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26228-2023</t>
        </is>
      </c>
      <c r="B967" t="inlineStr">
        <is>
          <t>avverkningsanmälan</t>
        </is>
      </c>
      <c r="C967" t="inlineStr">
        <is>
          <t>Föryngringsavverkning</t>
        </is>
      </c>
      <c r="D967" s="1" t="n">
        <v>45091</v>
      </c>
      <c r="E967" s="1" t="n">
        <v>46322</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15929-2023</t>
        </is>
      </c>
      <c r="B968" t="inlineStr">
        <is>
          <t>avverkningsanmälan</t>
        </is>
      </c>
      <c r="C968" t="inlineStr">
        <is>
          <t>Föryngringsavverkning</t>
        </is>
      </c>
      <c r="D968" s="1" t="n">
        <v>45022</v>
      </c>
      <c r="E968" s="1" t="n">
        <v>46322</v>
      </c>
      <c r="F968" t="inlineStr">
        <is>
          <t>JÖNKÖPINGS LÄN</t>
        </is>
      </c>
      <c r="G968" t="inlineStr">
        <is>
          <t>VETLANDA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34794-2024</t>
        </is>
      </c>
      <c r="B969" t="inlineStr">
        <is>
          <t>avverkningsanmälan</t>
        </is>
      </c>
      <c r="C969" t="inlineStr">
        <is>
          <t>Föryngringsavverkning</t>
        </is>
      </c>
      <c r="D969" s="1" t="n">
        <v>45526</v>
      </c>
      <c r="E969" s="1" t="n">
        <v>46322</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31457-2023</t>
        </is>
      </c>
      <c r="B970" t="inlineStr">
        <is>
          <t>avverkningsanmälan</t>
        </is>
      </c>
      <c r="C970" t="inlineStr">
        <is>
          <t>Föryngringsavverkning</t>
        </is>
      </c>
      <c r="D970" s="1" t="n">
        <v>45114</v>
      </c>
      <c r="E970" s="1" t="n">
        <v>46322</v>
      </c>
      <c r="F970" t="inlineStr">
        <is>
          <t>JÖNKÖPINGS LÄN</t>
        </is>
      </c>
      <c r="G970" t="inlineStr">
        <is>
          <t>VETLANDA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21290-2024</t>
        </is>
      </c>
      <c r="B971" t="inlineStr">
        <is>
          <t>avverkningsanmälan</t>
        </is>
      </c>
      <c r="C971" t="inlineStr">
        <is>
          <t>Föryngringsavverkning</t>
        </is>
      </c>
      <c r="D971" s="1" t="n">
        <v>45440</v>
      </c>
      <c r="E971" s="1" t="n">
        <v>46322</v>
      </c>
      <c r="F971" t="inlineStr">
        <is>
          <t>JÖNKÖPINGS LÄN</t>
        </is>
      </c>
      <c r="G971" t="inlineStr">
        <is>
          <t>VETLANDA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62028-2025</t>
        </is>
      </c>
      <c r="B972" t="inlineStr">
        <is>
          <t>avverkningsanmälan</t>
        </is>
      </c>
      <c r="C972" t="inlineStr">
        <is>
          <t>Föryngringsavverkning</t>
        </is>
      </c>
      <c r="D972" s="1" t="n">
        <v>46003</v>
      </c>
      <c r="E972" s="1" t="n">
        <v>46322</v>
      </c>
      <c r="F972" t="inlineStr">
        <is>
          <t>JÖNKÖPINGS LÄN</t>
        </is>
      </c>
      <c r="G972" t="inlineStr">
        <is>
          <t>VETLANDA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35005-2026</t>
        </is>
      </c>
      <c r="B973" t="inlineStr">
        <is>
          <t>avverkningsanmälan</t>
        </is>
      </c>
      <c r="C973" t="inlineStr">
        <is>
          <t>Föryngringsavverkning</t>
        </is>
      </c>
      <c r="D973" s="1" t="n">
        <v>46259</v>
      </c>
      <c r="E973" s="1" t="n">
        <v>46322</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41963-2026</t>
        </is>
      </c>
      <c r="B974" t="inlineStr">
        <is>
          <t>avverkningsanmälan</t>
        </is>
      </c>
      <c r="C974" t="inlineStr">
        <is>
          <t>Föryngringsavverkning</t>
        </is>
      </c>
      <c r="D974" s="1" t="n">
        <v>46303</v>
      </c>
      <c r="E974" s="1" t="n">
        <v>46322</v>
      </c>
      <c r="F974" t="inlineStr">
        <is>
          <t>JÖNKÖPINGS LÄN</t>
        </is>
      </c>
      <c r="G974" t="inlineStr">
        <is>
          <t>VETLANDA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3815-2022</t>
        </is>
      </c>
      <c r="B975" t="inlineStr">
        <is>
          <t>avverkningsanmälan</t>
        </is>
      </c>
      <c r="C975" t="inlineStr">
        <is>
          <t>Föryngringsavverkning</t>
        </is>
      </c>
      <c r="D975" s="1" t="n">
        <v>44587</v>
      </c>
      <c r="E975" s="1" t="n">
        <v>46322</v>
      </c>
      <c r="F975" t="inlineStr">
        <is>
          <t>JÖNKÖPINGS LÄN</t>
        </is>
      </c>
      <c r="G975" t="inlineStr">
        <is>
          <t>VETLANDA</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22820-2022</t>
        </is>
      </c>
      <c r="B976" t="inlineStr">
        <is>
          <t>avverkningsanmälan</t>
        </is>
      </c>
      <c r="C976" t="inlineStr">
        <is>
          <t>Föryngringsavverkning</t>
        </is>
      </c>
      <c r="D976" s="1" t="n">
        <v>44715</v>
      </c>
      <c r="E976" s="1" t="n">
        <v>46322</v>
      </c>
      <c r="F976" t="inlineStr">
        <is>
          <t>JÖNKÖPINGS LÄN</t>
        </is>
      </c>
      <c r="G976" t="inlineStr">
        <is>
          <t>VETLANDA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38827-2022</t>
        </is>
      </c>
      <c r="B977" t="inlineStr">
        <is>
          <t>avverkningsanmälan</t>
        </is>
      </c>
      <c r="C977" t="inlineStr">
        <is>
          <t>Föryngringsavverkning</t>
        </is>
      </c>
      <c r="D977" s="1" t="n">
        <v>44813</v>
      </c>
      <c r="E977" s="1" t="n">
        <v>46322</v>
      </c>
      <c r="F977" t="inlineStr">
        <is>
          <t>JÖNKÖPINGS LÄN</t>
        </is>
      </c>
      <c r="G977" t="inlineStr">
        <is>
          <t>VETLANDA</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40272-2026</t>
        </is>
      </c>
      <c r="B978" t="inlineStr">
        <is>
          <t>avverkningsanmälan</t>
        </is>
      </c>
      <c r="C978" t="inlineStr">
        <is>
          <t>Avverkning för annat ändamål</t>
        </is>
      </c>
      <c r="D978" s="1" t="n">
        <v>46294</v>
      </c>
      <c r="E978" s="1" t="n">
        <v>46322</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10381-2024</t>
        </is>
      </c>
      <c r="B979" t="inlineStr">
        <is>
          <t>avverkningsanmälan</t>
        </is>
      </c>
      <c r="C979" t="inlineStr">
        <is>
          <t>Föryngringsavverkning</t>
        </is>
      </c>
      <c r="D979" s="1" t="n">
        <v>45365</v>
      </c>
      <c r="E979" s="1" t="n">
        <v>46322</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12875-2024</t>
        </is>
      </c>
      <c r="B980" t="inlineStr">
        <is>
          <t>avverkningsanmälan</t>
        </is>
      </c>
      <c r="C980" t="inlineStr">
        <is>
          <t>Föryngringsavverkning</t>
        </is>
      </c>
      <c r="D980" s="1" t="n">
        <v>45385</v>
      </c>
      <c r="E980" s="1" t="n">
        <v>46322</v>
      </c>
      <c r="F980" t="inlineStr">
        <is>
          <t>JÖNKÖPINGS LÄN</t>
        </is>
      </c>
      <c r="G980" t="inlineStr">
        <is>
          <t>VETLANDA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3541-2023</t>
        </is>
      </c>
      <c r="B981" t="inlineStr">
        <is>
          <t>avverkningsanmälan</t>
        </is>
      </c>
      <c r="C981" t="inlineStr">
        <is>
          <t>Föryngringsavverkning</t>
        </is>
      </c>
      <c r="D981" s="1" t="n">
        <v>44946</v>
      </c>
      <c r="E981" s="1" t="n">
        <v>46322</v>
      </c>
      <c r="F981" t="inlineStr">
        <is>
          <t>JÖNKÖPINGS LÄN</t>
        </is>
      </c>
      <c r="G981" t="inlineStr">
        <is>
          <t>VETLANDA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41663-2026</t>
        </is>
      </c>
      <c r="B982" t="inlineStr">
        <is>
          <t>avverkningsanmälan</t>
        </is>
      </c>
      <c r="C982" t="inlineStr">
        <is>
          <t>Föryngringsavverkning</t>
        </is>
      </c>
      <c r="D982" s="1" t="n">
        <v>46302</v>
      </c>
      <c r="E982" s="1" t="n">
        <v>46322</v>
      </c>
      <c r="F982" t="inlineStr">
        <is>
          <t>JÖNKÖPINGS LÄN</t>
        </is>
      </c>
      <c r="G982" t="inlineStr">
        <is>
          <t>VETLANDA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42209-2026</t>
        </is>
      </c>
      <c r="B983" t="inlineStr">
        <is>
          <t>avverkningsanmälan</t>
        </is>
      </c>
      <c r="C983" t="inlineStr">
        <is>
          <t>Föryngringsavverkning</t>
        </is>
      </c>
      <c r="D983" s="1" t="n">
        <v>46306</v>
      </c>
      <c r="E983" s="1" t="n">
        <v>46322</v>
      </c>
      <c r="F983" t="inlineStr">
        <is>
          <t>JÖNKÖPINGS LÄN</t>
        </is>
      </c>
      <c r="G983" t="inlineStr">
        <is>
          <t>VETLANDA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36700-2022</t>
        </is>
      </c>
      <c r="B984" t="inlineStr">
        <is>
          <t>avverkningsanmälan</t>
        </is>
      </c>
      <c r="C984" t="inlineStr">
        <is>
          <t>Föryngringsavverkning</t>
        </is>
      </c>
      <c r="D984" s="1" t="n">
        <v>44805</v>
      </c>
      <c r="E984" s="1" t="n">
        <v>46322</v>
      </c>
      <c r="F984" t="inlineStr">
        <is>
          <t>JÖNKÖPINGS LÄN</t>
        </is>
      </c>
      <c r="G984" t="inlineStr">
        <is>
          <t>VETLANDA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38628-2022</t>
        </is>
      </c>
      <c r="B985" t="inlineStr">
        <is>
          <t>avverkningsanmälan</t>
        </is>
      </c>
      <c r="C985" t="inlineStr">
        <is>
          <t>Föryngringsavverkning</t>
        </is>
      </c>
      <c r="D985" s="1" t="n">
        <v>44813</v>
      </c>
      <c r="E985" s="1" t="n">
        <v>46322</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14927-2024</t>
        </is>
      </c>
      <c r="B986" t="inlineStr">
        <is>
          <t>avverkningsanmälan</t>
        </is>
      </c>
      <c r="C986" t="inlineStr">
        <is>
          <t>Föryngringsavverkning</t>
        </is>
      </c>
      <c r="D986" s="1" t="n">
        <v>45398</v>
      </c>
      <c r="E986" s="1" t="n">
        <v>46322</v>
      </c>
      <c r="F986" t="inlineStr">
        <is>
          <t>JÖNKÖPINGS LÄN</t>
        </is>
      </c>
      <c r="G986" t="inlineStr">
        <is>
          <t>VETLANDA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42420-2026</t>
        </is>
      </c>
      <c r="B987" t="inlineStr">
        <is>
          <t>avverkningsanmälan</t>
        </is>
      </c>
      <c r="C987" t="inlineStr">
        <is>
          <t>Föryngringsavverkning</t>
        </is>
      </c>
      <c r="D987" s="1" t="n">
        <v>46308</v>
      </c>
      <c r="E987" s="1" t="n">
        <v>46322</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35654-2026</t>
        </is>
      </c>
      <c r="B988" t="inlineStr">
        <is>
          <t>avverkningsanmälan</t>
        </is>
      </c>
      <c r="C988" t="inlineStr">
        <is>
          <t>Föryngringsavverkning</t>
        </is>
      </c>
      <c r="D988" s="1" t="n">
        <v>46265</v>
      </c>
      <c r="E988" s="1" t="n">
        <v>46322</v>
      </c>
      <c r="F988" t="inlineStr">
        <is>
          <t>JÖNKÖPINGS LÄN</t>
        </is>
      </c>
      <c r="G988" t="inlineStr">
        <is>
          <t>VETLANDA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1695-2024</t>
        </is>
      </c>
      <c r="B989" t="inlineStr">
        <is>
          <t>avverkningsanmälan</t>
        </is>
      </c>
      <c r="C989" t="inlineStr">
        <is>
          <t>Föryngringsavverkning</t>
        </is>
      </c>
      <c r="D989" s="1" t="n">
        <v>45307</v>
      </c>
      <c r="E989" s="1" t="n">
        <v>46322</v>
      </c>
      <c r="F989" t="inlineStr">
        <is>
          <t>JÖNKÖPINGS LÄN</t>
        </is>
      </c>
      <c r="G989" t="inlineStr">
        <is>
          <t>VETLANDA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41403-2022</t>
        </is>
      </c>
      <c r="B990" t="inlineStr">
        <is>
          <t>avverkningsanmälan</t>
        </is>
      </c>
      <c r="C990" t="inlineStr">
        <is>
          <t>Föryngringsavverkning</t>
        </is>
      </c>
      <c r="D990" s="1" t="n">
        <v>44825</v>
      </c>
      <c r="E990" s="1" t="n">
        <v>46322</v>
      </c>
      <c r="F990" t="inlineStr">
        <is>
          <t>JÖNKÖPINGS LÄN</t>
        </is>
      </c>
      <c r="G990" t="inlineStr">
        <is>
          <t>VETLANDA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61666-2022</t>
        </is>
      </c>
      <c r="B991" t="inlineStr">
        <is>
          <t>avverkningsanmälan</t>
        </is>
      </c>
      <c r="C991" t="inlineStr">
        <is>
          <t>Föryngringsavverkning</t>
        </is>
      </c>
      <c r="D991" s="1" t="n">
        <v>44917</v>
      </c>
      <c r="E991" s="1" t="n">
        <v>46322</v>
      </c>
      <c r="F991" t="inlineStr">
        <is>
          <t>JÖNKÖPINGS LÄN</t>
        </is>
      </c>
      <c r="G991" t="inlineStr">
        <is>
          <t>VETLANDA</t>
        </is>
      </c>
      <c r="I991" t="n">
        <v>5.8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42826-2023</t>
        </is>
      </c>
      <c r="B992" t="inlineStr">
        <is>
          <t>avverkningsanmälan</t>
        </is>
      </c>
      <c r="C992" t="inlineStr">
        <is>
          <t>Föryngringsavverkning</t>
        </is>
      </c>
      <c r="D992" s="1" t="n">
        <v>45177</v>
      </c>
      <c r="E992" s="1" t="n">
        <v>46322</v>
      </c>
      <c r="F992" t="inlineStr">
        <is>
          <t>JÖNKÖPINGS LÄN</t>
        </is>
      </c>
      <c r="G992" t="inlineStr">
        <is>
          <t>VETLANDA</t>
        </is>
      </c>
      <c r="H992" t="inlineStr">
        <is>
          <t>Kyrkan</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41173-2023</t>
        </is>
      </c>
      <c r="B993" t="inlineStr">
        <is>
          <t>avverkningsanmälan</t>
        </is>
      </c>
      <c r="C993" t="inlineStr">
        <is>
          <t>Föryngringsavverkning</t>
        </is>
      </c>
      <c r="D993" s="1" t="n">
        <v>45174</v>
      </c>
      <c r="E993" s="1" t="n">
        <v>46322</v>
      </c>
      <c r="F993" t="inlineStr">
        <is>
          <t>JÖNKÖPINGS LÄN</t>
        </is>
      </c>
      <c r="G993" t="inlineStr">
        <is>
          <t>VETLANDA</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5031-2024</t>
        </is>
      </c>
      <c r="B994" t="inlineStr">
        <is>
          <t>avverkningsanmälan</t>
        </is>
      </c>
      <c r="C994" t="inlineStr">
        <is>
          <t>Föryngringsavverkning</t>
        </is>
      </c>
      <c r="D994" s="1" t="n">
        <v>45329</v>
      </c>
      <c r="E994" s="1" t="n">
        <v>46322</v>
      </c>
      <c r="F994" t="inlineStr">
        <is>
          <t>JÖNKÖPINGS LÄN</t>
        </is>
      </c>
      <c r="G994" t="inlineStr">
        <is>
          <t>VETLANDA</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57211-2023</t>
        </is>
      </c>
      <c r="B995" t="inlineStr">
        <is>
          <t>avverkningsanmälan</t>
        </is>
      </c>
      <c r="C995" t="inlineStr">
        <is>
          <t>Föryngringsavverkning</t>
        </is>
      </c>
      <c r="D995" s="1" t="n">
        <v>45245</v>
      </c>
      <c r="E995" s="1" t="n">
        <v>46322</v>
      </c>
      <c r="F995" t="inlineStr">
        <is>
          <t>JÖNKÖPINGS LÄN</t>
        </is>
      </c>
      <c r="G995" t="inlineStr">
        <is>
          <t>VETLANDA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13811-2025</t>
        </is>
      </c>
      <c r="B996" t="inlineStr">
        <is>
          <t>avverkningsanmälan</t>
        </is>
      </c>
      <c r="C996" t="inlineStr">
        <is>
          <t>Föryngringsavverkning</t>
        </is>
      </c>
      <c r="D996" s="1" t="n">
        <v>45737</v>
      </c>
      <c r="E996" s="1" t="n">
        <v>46322</v>
      </c>
      <c r="F996" t="inlineStr">
        <is>
          <t>JÖNKÖPINGS LÄN</t>
        </is>
      </c>
      <c r="G996" t="inlineStr">
        <is>
          <t>VETLANDA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10009-2025</t>
        </is>
      </c>
      <c r="B997" t="inlineStr">
        <is>
          <t>avverkningsanmälan</t>
        </is>
      </c>
      <c r="C997" t="inlineStr">
        <is>
          <t>Föryngringsavverkning</t>
        </is>
      </c>
      <c r="D997" s="1" t="n">
        <v>45719</v>
      </c>
      <c r="E997" s="1" t="n">
        <v>46322</v>
      </c>
      <c r="F997" t="inlineStr">
        <is>
          <t>JÖNKÖPINGS LÄN</t>
        </is>
      </c>
      <c r="G997" t="inlineStr">
        <is>
          <t>VETLANDA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10186-2024</t>
        </is>
      </c>
      <c r="B998" t="inlineStr">
        <is>
          <t>avverkningsanmälan</t>
        </is>
      </c>
      <c r="C998" t="inlineStr">
        <is>
          <t>Föryngringsavverkning</t>
        </is>
      </c>
      <c r="D998" s="1" t="n">
        <v>45364</v>
      </c>
      <c r="E998" s="1" t="n">
        <v>46322</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25560-2023</t>
        </is>
      </c>
      <c r="B999" t="inlineStr">
        <is>
          <t>avverkningsanmälan</t>
        </is>
      </c>
      <c r="C999" t="inlineStr">
        <is>
          <t>Föryngringsavverkning</t>
        </is>
      </c>
      <c r="D999" s="1" t="n">
        <v>45089</v>
      </c>
      <c r="E999" s="1" t="n">
        <v>46322</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606-2025</t>
        </is>
      </c>
      <c r="B1000" t="inlineStr">
        <is>
          <t>avverkningsanmälan</t>
        </is>
      </c>
      <c r="C1000" t="inlineStr">
        <is>
          <t>Föryngringsavverkning</t>
        </is>
      </c>
      <c r="D1000" s="1" t="n">
        <v>45660</v>
      </c>
      <c r="E1000" s="1" t="n">
        <v>46322</v>
      </c>
      <c r="F1000" t="inlineStr">
        <is>
          <t>JÖNKÖPINGS LÄN</t>
        </is>
      </c>
      <c r="G1000" t="inlineStr">
        <is>
          <t>VETLANDA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29883-2023</t>
        </is>
      </c>
      <c r="B1001" t="inlineStr">
        <is>
          <t>avverkningsanmälan</t>
        </is>
      </c>
      <c r="C1001" t="inlineStr">
        <is>
          <t>Föryngringsavverkning</t>
        </is>
      </c>
      <c r="D1001" s="1" t="n">
        <v>45107</v>
      </c>
      <c r="E1001" s="1" t="n">
        <v>46322</v>
      </c>
      <c r="F1001" t="inlineStr">
        <is>
          <t>JÖNKÖPINGS LÄN</t>
        </is>
      </c>
      <c r="G1001" t="inlineStr">
        <is>
          <t>VETLANDA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42418-2026</t>
        </is>
      </c>
      <c r="B1002" t="inlineStr">
        <is>
          <t>avverkningsanmälan</t>
        </is>
      </c>
      <c r="C1002" t="inlineStr">
        <is>
          <t>Föryngringsavverkning</t>
        </is>
      </c>
      <c r="D1002" s="1" t="n">
        <v>46308</v>
      </c>
      <c r="E1002" s="1" t="n">
        <v>46322</v>
      </c>
      <c r="F1002" t="inlineStr">
        <is>
          <t>JÖNKÖPINGS LÄN</t>
        </is>
      </c>
      <c r="G1002" t="inlineStr">
        <is>
          <t>VETLANDA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43559-2023</t>
        </is>
      </c>
      <c r="B1003" t="inlineStr">
        <is>
          <t>avverkningsanmälan</t>
        </is>
      </c>
      <c r="C1003" t="inlineStr">
        <is>
          <t>Föryngringsavverkning</t>
        </is>
      </c>
      <c r="D1003" s="1" t="n">
        <v>45184</v>
      </c>
      <c r="E1003" s="1" t="n">
        <v>46322</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36232-2026</t>
        </is>
      </c>
      <c r="B1004" t="inlineStr">
        <is>
          <t>avverkningsanmälan</t>
        </is>
      </c>
      <c r="C1004" t="inlineStr">
        <is>
          <t>Avverkning för annat ändamål</t>
        </is>
      </c>
      <c r="D1004" s="1" t="n">
        <v>46268</v>
      </c>
      <c r="E1004" s="1" t="n">
        <v>46322</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48080-2024</t>
        </is>
      </c>
      <c r="B1005" t="inlineStr">
        <is>
          <t>avverkningsanmälan</t>
        </is>
      </c>
      <c r="C1005" t="inlineStr">
        <is>
          <t>Föryngringsavverkning</t>
        </is>
      </c>
      <c r="D1005" s="1" t="n">
        <v>45589</v>
      </c>
      <c r="E1005" s="1" t="n">
        <v>46322</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48100-2024</t>
        </is>
      </c>
      <c r="B1006" t="inlineStr">
        <is>
          <t>avverkningsanmälan</t>
        </is>
      </c>
      <c r="C1006" t="inlineStr">
        <is>
          <t>Föryngringsavverkning</t>
        </is>
      </c>
      <c r="D1006" s="1" t="n">
        <v>45589</v>
      </c>
      <c r="E1006" s="1" t="n">
        <v>46322</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35809-2024</t>
        </is>
      </c>
      <c r="B1007" t="inlineStr">
        <is>
          <t>avverkningsanmälan</t>
        </is>
      </c>
      <c r="C1007" t="inlineStr">
        <is>
          <t>Föryngringsavverkning</t>
        </is>
      </c>
      <c r="D1007" s="1" t="n">
        <v>45532</v>
      </c>
      <c r="E1007" s="1" t="n">
        <v>46322</v>
      </c>
      <c r="F1007" t="inlineStr">
        <is>
          <t>JÖNKÖPINGS LÄN</t>
        </is>
      </c>
      <c r="G1007" t="inlineStr">
        <is>
          <t>VETLANDA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10934-2024</t>
        </is>
      </c>
      <c r="B1008" t="inlineStr">
        <is>
          <t>avverkningsanmälan</t>
        </is>
      </c>
      <c r="C1008" t="inlineStr">
        <is>
          <t>Föryngringsavverkning</t>
        </is>
      </c>
      <c r="D1008" s="1" t="n">
        <v>45370</v>
      </c>
      <c r="E1008" s="1" t="n">
        <v>46322</v>
      </c>
      <c r="F1008" t="inlineStr">
        <is>
          <t>JÖNKÖPINGS LÄN</t>
        </is>
      </c>
      <c r="G1008" t="inlineStr">
        <is>
          <t>VETLANDA</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16074-2024</t>
        </is>
      </c>
      <c r="B1009" t="inlineStr">
        <is>
          <t>avverkningsanmälan</t>
        </is>
      </c>
      <c r="C1009" t="inlineStr">
        <is>
          <t>Föryngringsavverkning</t>
        </is>
      </c>
      <c r="D1009" s="1" t="n">
        <v>45406</v>
      </c>
      <c r="E1009" s="1" t="n">
        <v>46322</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5491-2022</t>
        </is>
      </c>
      <c r="B1010" t="inlineStr">
        <is>
          <t>avverkningsanmälan</t>
        </is>
      </c>
      <c r="C1010" t="inlineStr">
        <is>
          <t>Föryngringsavverkning</t>
        </is>
      </c>
      <c r="D1010" s="1" t="n">
        <v>44595</v>
      </c>
      <c r="E1010" s="1" t="n">
        <v>46322</v>
      </c>
      <c r="F1010" t="inlineStr">
        <is>
          <t>JÖNKÖPINGS LÄN</t>
        </is>
      </c>
      <c r="G1010" t="inlineStr">
        <is>
          <t>VETLANDA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29033-2023</t>
        </is>
      </c>
      <c r="B1011" t="inlineStr">
        <is>
          <t>avverkningsanmälan</t>
        </is>
      </c>
      <c r="C1011" t="inlineStr">
        <is>
          <t>Föryngringsavverkning</t>
        </is>
      </c>
      <c r="D1011" s="1" t="n">
        <v>45104</v>
      </c>
      <c r="E1011" s="1" t="n">
        <v>46322</v>
      </c>
      <c r="F1011" t="inlineStr">
        <is>
          <t>JÖNKÖPINGS LÄN</t>
        </is>
      </c>
      <c r="G1011" t="inlineStr">
        <is>
          <t>VETLANDA</t>
        </is>
      </c>
      <c r="I1011" t="n">
        <v>7.6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22529-2023</t>
        </is>
      </c>
      <c r="B1012" t="inlineStr">
        <is>
          <t>avverkningsanmälan</t>
        </is>
      </c>
      <c r="C1012" t="inlineStr">
        <is>
          <t>Föryngringsavverkning</t>
        </is>
      </c>
      <c r="D1012" s="1" t="n">
        <v>45071</v>
      </c>
      <c r="E1012" s="1" t="n">
        <v>46322</v>
      </c>
      <c r="F1012" t="inlineStr">
        <is>
          <t>JÖNKÖPINGS LÄN</t>
        </is>
      </c>
      <c r="G1012" t="inlineStr">
        <is>
          <t>VETLANDA</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50242-2023</t>
        </is>
      </c>
      <c r="B1013" t="inlineStr">
        <is>
          <t>avverkningsanmälan</t>
        </is>
      </c>
      <c r="C1013" t="inlineStr">
        <is>
          <t>Föryngringsavverkning</t>
        </is>
      </c>
      <c r="D1013" s="1" t="n">
        <v>45216</v>
      </c>
      <c r="E1013" s="1" t="n">
        <v>46322</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1295-2024</t>
        </is>
      </c>
      <c r="B1014" t="inlineStr">
        <is>
          <t>avverkningsanmälan</t>
        </is>
      </c>
      <c r="C1014" t="inlineStr">
        <is>
          <t>Föryngringsavverkning</t>
        </is>
      </c>
      <c r="D1014" s="1" t="n">
        <v>45303</v>
      </c>
      <c r="E1014" s="1" t="n">
        <v>46322</v>
      </c>
      <c r="F1014" t="inlineStr">
        <is>
          <t>JÖNKÖPINGS LÄN</t>
        </is>
      </c>
      <c r="G1014" t="inlineStr">
        <is>
          <t>VETLANDA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37014-2026</t>
        </is>
      </c>
      <c r="B1015" t="inlineStr">
        <is>
          <t>avverkningsanmälan</t>
        </is>
      </c>
      <c r="C1015" t="inlineStr">
        <is>
          <t>Föryngringsavverkning</t>
        </is>
      </c>
      <c r="D1015" s="1" t="n">
        <v>46273</v>
      </c>
      <c r="E1015" s="1" t="n">
        <v>46322</v>
      </c>
      <c r="F1015" t="inlineStr">
        <is>
          <t>JÖNKÖPINGS LÄN</t>
        </is>
      </c>
      <c r="G1015" t="inlineStr">
        <is>
          <t>VETLANDA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37010-2026</t>
        </is>
      </c>
      <c r="B1016" t="inlineStr">
        <is>
          <t>avverkningsanmälan</t>
        </is>
      </c>
      <c r="C1016" t="inlineStr">
        <is>
          <t>Föryngringsavverkning</t>
        </is>
      </c>
      <c r="D1016" s="1" t="n">
        <v>46273</v>
      </c>
      <c r="E1016" s="1" t="n">
        <v>46322</v>
      </c>
      <c r="F1016" t="inlineStr">
        <is>
          <t>JÖNKÖPINGS LÄN</t>
        </is>
      </c>
      <c r="G1016" t="inlineStr">
        <is>
          <t>VETLANDA</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2977-2025</t>
        </is>
      </c>
      <c r="B1017" t="inlineStr">
        <is>
          <t>avverkningsanmälan</t>
        </is>
      </c>
      <c r="C1017" t="inlineStr">
        <is>
          <t>Föryngringsavverkning</t>
        </is>
      </c>
      <c r="D1017" s="1" t="n">
        <v>45678</v>
      </c>
      <c r="E1017" s="1" t="n">
        <v>46322</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42990-2023</t>
        </is>
      </c>
      <c r="B1018" t="inlineStr">
        <is>
          <t>avverkningsanmälan</t>
        </is>
      </c>
      <c r="C1018" t="inlineStr">
        <is>
          <t>Föryngringsavverkning</t>
        </is>
      </c>
      <c r="D1018" s="1" t="n">
        <v>45182</v>
      </c>
      <c r="E1018" s="1" t="n">
        <v>46322</v>
      </c>
      <c r="F1018" t="inlineStr">
        <is>
          <t>JÖNKÖPINGS LÄN</t>
        </is>
      </c>
      <c r="G1018" t="inlineStr">
        <is>
          <t>VETLANDA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52648-2023</t>
        </is>
      </c>
      <c r="B1019" t="inlineStr">
        <is>
          <t>avverkningsanmälan</t>
        </is>
      </c>
      <c r="C1019" t="inlineStr">
        <is>
          <t>Föryngringsavverkning</t>
        </is>
      </c>
      <c r="D1019" s="1" t="n">
        <v>45219</v>
      </c>
      <c r="E1019" s="1" t="n">
        <v>46322</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16637-2023</t>
        </is>
      </c>
      <c r="B1020" t="inlineStr">
        <is>
          <t>avverkningsanmälan</t>
        </is>
      </c>
      <c r="C1020" t="inlineStr">
        <is>
          <t>Föryngringsavverkning</t>
        </is>
      </c>
      <c r="D1020" s="1" t="n">
        <v>45030</v>
      </c>
      <c r="E1020" s="1" t="n">
        <v>46322</v>
      </c>
      <c r="F1020" t="inlineStr">
        <is>
          <t>JÖNKÖPINGS LÄN</t>
        </is>
      </c>
      <c r="G1020" t="inlineStr">
        <is>
          <t>VETLANDA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37829-2024</t>
        </is>
      </c>
      <c r="B1021" t="inlineStr">
        <is>
          <t>avverkningsanmälan</t>
        </is>
      </c>
      <c r="C1021" t="inlineStr">
        <is>
          <t>Föryngringsavverkning</t>
        </is>
      </c>
      <c r="D1021" s="1" t="n">
        <v>45544</v>
      </c>
      <c r="E1021" s="1" t="n">
        <v>46322</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43409-2026</t>
        </is>
      </c>
      <c r="B1022" t="inlineStr">
        <is>
          <t>avverkningsanmälan</t>
        </is>
      </c>
      <c r="C1022" t="inlineStr">
        <is>
          <t>Föryngringsavverkning</t>
        </is>
      </c>
      <c r="D1022" s="1" t="n">
        <v>46314</v>
      </c>
      <c r="E1022" s="1" t="n">
        <v>46322</v>
      </c>
      <c r="F1022" t="inlineStr">
        <is>
          <t>JÖNKÖPINGS LÄN</t>
        </is>
      </c>
      <c r="G1022" t="inlineStr">
        <is>
          <t>VETLANDA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36561-2026</t>
        </is>
      </c>
      <c r="B1023" t="inlineStr">
        <is>
          <t>avverkningsanmälan</t>
        </is>
      </c>
      <c r="C1023" t="inlineStr">
        <is>
          <t>Föryngringsavverkning</t>
        </is>
      </c>
      <c r="D1023" s="1" t="n">
        <v>46269</v>
      </c>
      <c r="E1023" s="1" t="n">
        <v>46322</v>
      </c>
      <c r="F1023" t="inlineStr">
        <is>
          <t>JÖNKÖPINGS LÄN</t>
        </is>
      </c>
      <c r="G1023" t="inlineStr">
        <is>
          <t>VETLANDA</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5163-2025</t>
        </is>
      </c>
      <c r="B1024" t="inlineStr">
        <is>
          <t>avverkningsanmälan</t>
        </is>
      </c>
      <c r="C1024" t="inlineStr">
        <is>
          <t>Föryngringsavverkning</t>
        </is>
      </c>
      <c r="D1024" s="1" t="n">
        <v>45691</v>
      </c>
      <c r="E1024" s="1" t="n">
        <v>46322</v>
      </c>
      <c r="F1024" t="inlineStr">
        <is>
          <t>JÖNKÖPINGS LÄN</t>
        </is>
      </c>
      <c r="G1024" t="inlineStr">
        <is>
          <t>VETLANDA</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57946-2024</t>
        </is>
      </c>
      <c r="B1025" t="inlineStr">
        <is>
          <t>avverkningsanmälan</t>
        </is>
      </c>
      <c r="C1025" t="inlineStr">
        <is>
          <t>Föryngringsavverkning</t>
        </is>
      </c>
      <c r="D1025" s="1" t="n">
        <v>45631</v>
      </c>
      <c r="E1025" s="1" t="n">
        <v>46322</v>
      </c>
      <c r="F1025" t="inlineStr">
        <is>
          <t>JÖNKÖPINGS LÄN</t>
        </is>
      </c>
      <c r="G1025" t="inlineStr">
        <is>
          <t>VETLANDA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39980-2026</t>
        </is>
      </c>
      <c r="B1026" t="inlineStr">
        <is>
          <t>avverkningsanmälan</t>
        </is>
      </c>
      <c r="C1026" t="inlineStr">
        <is>
          <t>Föryngringsavverkning</t>
        </is>
      </c>
      <c r="D1026" s="1" t="n">
        <v>46293</v>
      </c>
      <c r="E1026" s="1" t="n">
        <v>46322</v>
      </c>
      <c r="F1026" t="inlineStr">
        <is>
          <t>JÖNKÖPINGS LÄN</t>
        </is>
      </c>
      <c r="G1026" t="inlineStr">
        <is>
          <t>VETLANDA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43428-2026</t>
        </is>
      </c>
      <c r="B1027" t="inlineStr">
        <is>
          <t>avverkningsanmälan</t>
        </is>
      </c>
      <c r="C1027" t="inlineStr">
        <is>
          <t>Föryngringsavverkning</t>
        </is>
      </c>
      <c r="D1027" s="1" t="n">
        <v>46314</v>
      </c>
      <c r="E1027" s="1" t="n">
        <v>46322</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43309-2026</t>
        </is>
      </c>
      <c r="B1028" t="inlineStr">
        <is>
          <t>avverkningsanmälan</t>
        </is>
      </c>
      <c r="C1028" t="inlineStr">
        <is>
          <t>Föryngringsavverkning</t>
        </is>
      </c>
      <c r="D1028" s="1" t="n">
        <v>46314</v>
      </c>
      <c r="E1028" s="1" t="n">
        <v>46322</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37191-2026</t>
        </is>
      </c>
      <c r="B1029" t="inlineStr">
        <is>
          <t>avverkningsanmälan</t>
        </is>
      </c>
      <c r="C1029" t="inlineStr">
        <is>
          <t>Föryngringsavverkning</t>
        </is>
      </c>
      <c r="D1029" s="1" t="n">
        <v>46274</v>
      </c>
      <c r="E1029" s="1" t="n">
        <v>46322</v>
      </c>
      <c r="F1029" t="inlineStr">
        <is>
          <t>JÖNKÖPINGS LÄN</t>
        </is>
      </c>
      <c r="G1029" t="inlineStr">
        <is>
          <t>VETLANDA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43990-2026</t>
        </is>
      </c>
      <c r="B1030" t="inlineStr">
        <is>
          <t>avverkningsanmälan</t>
        </is>
      </c>
      <c r="C1030" t="inlineStr">
        <is>
          <t>Föryngringsavverkning</t>
        </is>
      </c>
      <c r="D1030" s="1" t="n">
        <v>46317</v>
      </c>
      <c r="E1030" s="1" t="n">
        <v>46322</v>
      </c>
      <c r="F1030" t="inlineStr">
        <is>
          <t>JÖNKÖPINGS LÄN</t>
        </is>
      </c>
      <c r="G1030" t="inlineStr">
        <is>
          <t>VETLANDA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43782-2026</t>
        </is>
      </c>
      <c r="B1031" t="inlineStr">
        <is>
          <t>avverkningsanmälan</t>
        </is>
      </c>
      <c r="C1031" t="inlineStr">
        <is>
          <t>Föryngringsavverkning</t>
        </is>
      </c>
      <c r="D1031" s="1" t="n">
        <v>46316</v>
      </c>
      <c r="E1031" s="1" t="n">
        <v>46322</v>
      </c>
      <c r="F1031" t="inlineStr">
        <is>
          <t>JÖNKÖPINGS LÄN</t>
        </is>
      </c>
      <c r="G1031" t="inlineStr">
        <is>
          <t>VETLANDA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43993-2026</t>
        </is>
      </c>
      <c r="B1032" t="inlineStr">
        <is>
          <t>avverkningsanmälan</t>
        </is>
      </c>
      <c r="C1032" t="inlineStr">
        <is>
          <t>Föryngringsavverkning</t>
        </is>
      </c>
      <c r="D1032" s="1" t="n">
        <v>46317</v>
      </c>
      <c r="E1032" s="1" t="n">
        <v>46322</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40902-2026</t>
        </is>
      </c>
      <c r="B1033" t="inlineStr">
        <is>
          <t>avverkningsanmälan</t>
        </is>
      </c>
      <c r="C1033" t="inlineStr">
        <is>
          <t>Avverkning för annat ändamål</t>
        </is>
      </c>
      <c r="D1033" s="1" t="n">
        <v>46297</v>
      </c>
      <c r="E1033" s="1" t="n">
        <v>46322</v>
      </c>
      <c r="F1033" t="inlineStr">
        <is>
          <t>JÖNKÖPINGS LÄN</t>
        </is>
      </c>
      <c r="G1033" t="inlineStr">
        <is>
          <t>VETLANDA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37871-2026</t>
        </is>
      </c>
      <c r="B1034" t="inlineStr">
        <is>
          <t>avverkningsanmälan</t>
        </is>
      </c>
      <c r="C1034" t="inlineStr">
        <is>
          <t>Föryngringsavverkning</t>
        </is>
      </c>
      <c r="D1034" s="1" t="n">
        <v>46279</v>
      </c>
      <c r="E1034" s="1" t="n">
        <v>46322</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44210-2026</t>
        </is>
      </c>
      <c r="B1035" t="inlineStr">
        <is>
          <t>avverkningsanmälan</t>
        </is>
      </c>
      <c r="C1035" t="inlineStr">
        <is>
          <t>Föryngringsavverkning</t>
        </is>
      </c>
      <c r="D1035" s="1" t="n">
        <v>46316</v>
      </c>
      <c r="E1035" s="1" t="n">
        <v>46322</v>
      </c>
      <c r="F1035" t="inlineStr">
        <is>
          <t>JÖNKÖPINGS LÄN</t>
        </is>
      </c>
      <c r="G1035" t="inlineStr">
        <is>
          <t>VETLANDA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44288-2026</t>
        </is>
      </c>
      <c r="B1036" t="inlineStr">
        <is>
          <t>avverkningsanmälan</t>
        </is>
      </c>
      <c r="C1036" t="inlineStr">
        <is>
          <t>Föryngringsavverkning</t>
        </is>
      </c>
      <c r="D1036" s="1" t="n">
        <v>46316</v>
      </c>
      <c r="E1036" s="1" t="n">
        <v>46322</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42115-2026</t>
        </is>
      </c>
      <c r="B1037" t="inlineStr">
        <is>
          <t>avverkningsanmälan</t>
        </is>
      </c>
      <c r="C1037" t="inlineStr">
        <is>
          <t>Föryngringsavverkning</t>
        </is>
      </c>
      <c r="D1037" s="1" t="n">
        <v>46304</v>
      </c>
      <c r="E1037" s="1" t="n">
        <v>46322</v>
      </c>
      <c r="F1037" t="inlineStr">
        <is>
          <t>JÖNKÖPINGS LÄN</t>
        </is>
      </c>
      <c r="G1037" t="inlineStr">
        <is>
          <t>VETLANDA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44438-2026</t>
        </is>
      </c>
      <c r="B1038" t="inlineStr">
        <is>
          <t>avverkningsanmälan</t>
        </is>
      </c>
      <c r="C1038" t="inlineStr">
        <is>
          <t>Föryngringsavverkning</t>
        </is>
      </c>
      <c r="D1038" s="1" t="n">
        <v>46316</v>
      </c>
      <c r="E1038" s="1" t="n">
        <v>46322</v>
      </c>
      <c r="F1038" t="inlineStr">
        <is>
          <t>JÖNKÖPINGS LÄN</t>
        </is>
      </c>
      <c r="G1038" t="inlineStr">
        <is>
          <t>VETLANDA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44380-2026</t>
        </is>
      </c>
      <c r="B1039" t="inlineStr">
        <is>
          <t>avverkningsanmälan</t>
        </is>
      </c>
      <c r="C1039" t="inlineStr">
        <is>
          <t>Föryngringsavverkning</t>
        </is>
      </c>
      <c r="D1039" s="1" t="n">
        <v>46316</v>
      </c>
      <c r="E1039" s="1" t="n">
        <v>46322</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37508-2026</t>
        </is>
      </c>
      <c r="B1040" t="inlineStr">
        <is>
          <t>avverkningsanmälan</t>
        </is>
      </c>
      <c r="C1040" t="inlineStr">
        <is>
          <t>Föryngringsavverkning</t>
        </is>
      </c>
      <c r="D1040" s="1" t="n">
        <v>46276</v>
      </c>
      <c r="E1040" s="1" t="n">
        <v>46322</v>
      </c>
      <c r="F1040" t="inlineStr">
        <is>
          <t>JÖNKÖPINGS LÄN</t>
        </is>
      </c>
      <c r="G1040" t="inlineStr">
        <is>
          <t>VETLANDA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37511-2026</t>
        </is>
      </c>
      <c r="B1041" t="inlineStr">
        <is>
          <t>avverkningsanmälan</t>
        </is>
      </c>
      <c r="C1041" t="inlineStr">
        <is>
          <t>Föryngringsavverkning</t>
        </is>
      </c>
      <c r="D1041" s="1" t="n">
        <v>46276</v>
      </c>
      <c r="E1041" s="1" t="n">
        <v>46322</v>
      </c>
      <c r="F1041" t="inlineStr">
        <is>
          <t>JÖNKÖPINGS LÄN</t>
        </is>
      </c>
      <c r="G1041" t="inlineStr">
        <is>
          <t>VETLANDA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37513-2026</t>
        </is>
      </c>
      <c r="B1042" t="inlineStr">
        <is>
          <t>avverkningsanmälan</t>
        </is>
      </c>
      <c r="C1042" t="inlineStr">
        <is>
          <t>Föryngringsavverkning</t>
        </is>
      </c>
      <c r="D1042" s="1" t="n">
        <v>46276</v>
      </c>
      <c r="E1042" s="1" t="n">
        <v>46322</v>
      </c>
      <c r="F1042" t="inlineStr">
        <is>
          <t>JÖNKÖPINGS LÄN</t>
        </is>
      </c>
      <c r="G1042" t="inlineStr">
        <is>
          <t>VETLANDA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37510-2026</t>
        </is>
      </c>
      <c r="B1043" t="inlineStr">
        <is>
          <t>avverkningsanmälan</t>
        </is>
      </c>
      <c r="C1043" t="inlineStr">
        <is>
          <t>Föryngringsavverkning</t>
        </is>
      </c>
      <c r="D1043" s="1" t="n">
        <v>46276</v>
      </c>
      <c r="E1043" s="1" t="n">
        <v>46322</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37507-2026</t>
        </is>
      </c>
      <c r="B1044" t="inlineStr">
        <is>
          <t>avverkningsanmälan</t>
        </is>
      </c>
      <c r="C1044" t="inlineStr">
        <is>
          <t>Föryngringsavverkning</t>
        </is>
      </c>
      <c r="D1044" s="1" t="n">
        <v>46276</v>
      </c>
      <c r="E1044" s="1" t="n">
        <v>46322</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44292-2026</t>
        </is>
      </c>
      <c r="B1045" t="inlineStr">
        <is>
          <t>avverkningsanmälan</t>
        </is>
      </c>
      <c r="C1045" t="inlineStr">
        <is>
          <t>Föryngringsavverkning</t>
        </is>
      </c>
      <c r="D1045" s="1" t="n">
        <v>46316</v>
      </c>
      <c r="E1045" s="1" t="n">
        <v>46322</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44281-2026</t>
        </is>
      </c>
      <c r="B1046" t="inlineStr">
        <is>
          <t>avverkningsanmälan</t>
        </is>
      </c>
      <c r="C1046" t="inlineStr">
        <is>
          <t>Föryngringsavverkning</t>
        </is>
      </c>
      <c r="D1046" s="1" t="n">
        <v>46316</v>
      </c>
      <c r="E1046" s="1" t="n">
        <v>46322</v>
      </c>
      <c r="F1046" t="inlineStr">
        <is>
          <t>JÖNKÖPINGS LÄN</t>
        </is>
      </c>
      <c r="G1046" t="inlineStr">
        <is>
          <t>VETLANDA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44284-2026</t>
        </is>
      </c>
      <c r="B1047" t="inlineStr">
        <is>
          <t>avverkningsanmälan</t>
        </is>
      </c>
      <c r="C1047" t="inlineStr">
        <is>
          <t>Föryngringsavverkning</t>
        </is>
      </c>
      <c r="D1047" s="1" t="n">
        <v>46316</v>
      </c>
      <c r="E1047" s="1" t="n">
        <v>46322</v>
      </c>
      <c r="F1047" t="inlineStr">
        <is>
          <t>JÖNKÖPINGS LÄN</t>
        </is>
      </c>
      <c r="G1047" t="inlineStr">
        <is>
          <t>VETLANDA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5038-2024</t>
        </is>
      </c>
      <c r="B1048" t="inlineStr">
        <is>
          <t>samrådsanmälan</t>
        </is>
      </c>
      <c r="C1048" t="inlineStr">
        <is>
          <t>Askåterföring</t>
        </is>
      </c>
      <c r="D1048" s="1" t="n">
        <v>45636</v>
      </c>
      <c r="E1048" s="1" t="n">
        <v>46322</v>
      </c>
      <c r="F1048" t="inlineStr">
        <is>
          <t>JÖNKÖPINGS LÄN</t>
        </is>
      </c>
      <c r="G1048" t="inlineStr">
        <is>
          <t>VETLANDA</t>
        </is>
      </c>
      <c r="I1048" t="n">
        <v>47.3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4202-2024</t>
        </is>
      </c>
      <c r="B1049" t="inlineStr">
        <is>
          <t>samrådsanmälan</t>
        </is>
      </c>
      <c r="C1049" t="inlineStr">
        <is>
          <t>Askåterföring</t>
        </is>
      </c>
      <c r="D1049" s="1" t="n">
        <v>45580</v>
      </c>
      <c r="E1049" s="1" t="n">
        <v>46322</v>
      </c>
      <c r="F1049" t="inlineStr">
        <is>
          <t>JÖNKÖPINGS LÄN</t>
        </is>
      </c>
      <c r="G1049" t="inlineStr">
        <is>
          <t>VETLANDA</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1994-2024</t>
        </is>
      </c>
      <c r="B1050" t="inlineStr">
        <is>
          <t>samrådsanmälan</t>
        </is>
      </c>
      <c r="C1050" t="inlineStr">
        <is>
          <t>Askåterföring</t>
        </is>
      </c>
      <c r="D1050" s="1" t="n">
        <v>45447</v>
      </c>
      <c r="E1050" s="1" t="n">
        <v>46322</v>
      </c>
      <c r="F1050" t="inlineStr">
        <is>
          <t>JÖNKÖPINGS LÄN</t>
        </is>
      </c>
      <c r="G1050" t="inlineStr">
        <is>
          <t>VETLANDA</t>
        </is>
      </c>
      <c r="I1050" t="n">
        <v>25.3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2934-2023</t>
        </is>
      </c>
      <c r="B1051" t="inlineStr">
        <is>
          <t>samrådsanmälan</t>
        </is>
      </c>
      <c r="C1051" t="inlineStr">
        <is>
          <t>Askåterföring</t>
        </is>
      </c>
      <c r="D1051" s="1" t="n">
        <v>45170</v>
      </c>
      <c r="E1051" s="1" t="n">
        <v>46322</v>
      </c>
      <c r="F1051" t="inlineStr">
        <is>
          <t>JÖNKÖPINGS LÄN</t>
        </is>
      </c>
      <c r="G1051" t="inlineStr">
        <is>
          <t>VETLANDA</t>
        </is>
      </c>
      <c r="I1051" t="n">
        <v>52.8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2326-2023</t>
        </is>
      </c>
      <c r="B1052" t="inlineStr">
        <is>
          <t>samrådsanmälan</t>
        </is>
      </c>
      <c r="C1052" t="inlineStr">
        <is>
          <t>Askåterföring</t>
        </is>
      </c>
      <c r="D1052" s="1" t="n">
        <v>45106</v>
      </c>
      <c r="E1052" s="1" t="n">
        <v>46322</v>
      </c>
      <c r="F1052" t="inlineStr">
        <is>
          <t>JÖNKÖPINGS LÄN</t>
        </is>
      </c>
      <c r="G1052" t="inlineStr">
        <is>
          <t>VETLANDA</t>
        </is>
      </c>
      <c r="I1052" t="n">
        <v>23.4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2341-2024</t>
        </is>
      </c>
      <c r="B1053" t="inlineStr">
        <is>
          <t>samrådsanmälan</t>
        </is>
      </c>
      <c r="C1053" t="inlineStr">
        <is>
          <t>Askåterföring</t>
        </is>
      </c>
      <c r="D1053" s="1" t="n">
        <v>45467</v>
      </c>
      <c r="E1053" s="1" t="n">
        <v>46322</v>
      </c>
      <c r="F1053" t="inlineStr">
        <is>
          <t>JÖNKÖPINGS LÄN</t>
        </is>
      </c>
      <c r="G1053" t="inlineStr">
        <is>
          <t>VETLANDA</t>
        </is>
      </c>
      <c r="I1053" t="n">
        <v>14.7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8974-2021</t>
        </is>
      </c>
      <c r="B1054" t="inlineStr">
        <is>
          <t>samrådsanmälan</t>
        </is>
      </c>
      <c r="C1054" t="inlineStr">
        <is>
          <t>Skogsbilväg</t>
        </is>
      </c>
      <c r="D1054" s="1" t="n">
        <v>44509</v>
      </c>
      <c r="E1054" s="1" t="n">
        <v>46322</v>
      </c>
      <c r="F1054" t="inlineStr">
        <is>
          <t>JÖNKÖPINGS LÄN</t>
        </is>
      </c>
      <c r="G1054" t="inlineStr">
        <is>
          <t>VETLANDA</t>
        </is>
      </c>
      <c r="H1054" t="inlineStr">
        <is>
          <t>Kyrkan</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21-2025</t>
        </is>
      </c>
      <c r="B1055" t="inlineStr">
        <is>
          <t>samrådsanmälan</t>
        </is>
      </c>
      <c r="C1055" t="inlineStr">
        <is>
          <t>Askåterföring</t>
        </is>
      </c>
      <c r="D1055" s="1" t="n">
        <v>45664</v>
      </c>
      <c r="E1055" s="1" t="n">
        <v>46322</v>
      </c>
      <c r="F1055" t="inlineStr">
        <is>
          <t>JÖNKÖPINGS LÄN</t>
        </is>
      </c>
      <c r="G1055" t="inlineStr">
        <is>
          <t>VETLANDA</t>
        </is>
      </c>
      <c r="I1055" t="n">
        <v>11.6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3516-2023</t>
        </is>
      </c>
      <c r="B1056" t="inlineStr">
        <is>
          <t>samrådsanmälan</t>
        </is>
      </c>
      <c r="C1056" t="inlineStr">
        <is>
          <t>Askåterföring</t>
        </is>
      </c>
      <c r="D1056" s="1" t="n">
        <v>45208</v>
      </c>
      <c r="E1056" s="1" t="n">
        <v>46322</v>
      </c>
      <c r="F1056" t="inlineStr">
        <is>
          <t>JÖNKÖPINGS LÄN</t>
        </is>
      </c>
      <c r="G1056" t="inlineStr">
        <is>
          <t>VETLANDA</t>
        </is>
      </c>
      <c r="I1056" t="n">
        <v>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1321-2024</t>
        </is>
      </c>
      <c r="B1057" t="inlineStr">
        <is>
          <t>samrådsanmälan</t>
        </is>
      </c>
      <c r="C1057" t="inlineStr">
        <is>
          <t>Askåterföring</t>
        </is>
      </c>
      <c r="D1057" s="1" t="n">
        <v>45406</v>
      </c>
      <c r="E1057" s="1" t="n">
        <v>46322</v>
      </c>
      <c r="F1057" t="inlineStr">
        <is>
          <t>JÖNKÖPINGS LÄN</t>
        </is>
      </c>
      <c r="G1057" t="inlineStr">
        <is>
          <t>VETLANDA</t>
        </is>
      </c>
      <c r="I1057" t="n">
        <v>31.7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2863-2024</t>
        </is>
      </c>
      <c r="B1058" t="inlineStr">
        <is>
          <t>samrådsanmälan</t>
        </is>
      </c>
      <c r="C1058" t="inlineStr">
        <is>
          <t>Askåterföring</t>
        </is>
      </c>
      <c r="D1058" s="1" t="n">
        <v>45497</v>
      </c>
      <c r="E1058" s="1" t="n">
        <v>46322</v>
      </c>
      <c r="F1058" t="inlineStr">
        <is>
          <t>JÖNKÖPINGS LÄN</t>
        </is>
      </c>
      <c r="G1058" t="inlineStr">
        <is>
          <t>VETLANDA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2865-2024</t>
        </is>
      </c>
      <c r="B1059" t="inlineStr">
        <is>
          <t>samrådsanmälan</t>
        </is>
      </c>
      <c r="C1059" t="inlineStr">
        <is>
          <t>Askåterföring</t>
        </is>
      </c>
      <c r="D1059" s="1" t="n">
        <v>45497</v>
      </c>
      <c r="E1059" s="1" t="n">
        <v>46322</v>
      </c>
      <c r="F1059" t="inlineStr">
        <is>
          <t>JÖNKÖPINGS LÄN</t>
        </is>
      </c>
      <c r="G1059" t="inlineStr">
        <is>
          <t>VETLANDA</t>
        </is>
      </c>
      <c r="I1059" t="n">
        <v>8.800000000000001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2327-2023</t>
        </is>
      </c>
      <c r="B1060" t="inlineStr">
        <is>
          <t>samrådsanmälan</t>
        </is>
      </c>
      <c r="C1060" t="inlineStr">
        <is>
          <t>Askåterföring</t>
        </is>
      </c>
      <c r="D1060" s="1" t="n">
        <v>45106</v>
      </c>
      <c r="E1060" s="1" t="n">
        <v>46322</v>
      </c>
      <c r="F1060" t="inlineStr">
        <is>
          <t>JÖNKÖPINGS LÄN</t>
        </is>
      </c>
      <c r="G1060" t="inlineStr">
        <is>
          <t>VETLANDA</t>
        </is>
      </c>
      <c r="I1060" t="n">
        <v>78.7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5149-2024</t>
        </is>
      </c>
      <c r="B1061" t="inlineStr">
        <is>
          <t>samrådsanmälan</t>
        </is>
      </c>
      <c r="C1061" t="inlineStr">
        <is>
          <t>Askåterföring</t>
        </is>
      </c>
      <c r="D1061" s="1" t="n">
        <v>45646</v>
      </c>
      <c r="E1061" s="1" t="n">
        <v>46322</v>
      </c>
      <c r="F1061" t="inlineStr">
        <is>
          <t>JÖNKÖPINGS LÄN</t>
        </is>
      </c>
      <c r="G1061" t="inlineStr">
        <is>
          <t>VETLANDA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5150-2024</t>
        </is>
      </c>
      <c r="B1062" t="inlineStr">
        <is>
          <t>samrådsanmälan</t>
        </is>
      </c>
      <c r="C1062" t="inlineStr">
        <is>
          <t>Askåterföring</t>
        </is>
      </c>
      <c r="D1062" s="1" t="n">
        <v>45646</v>
      </c>
      <c r="E1062" s="1" t="n">
        <v>46322</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4201-2024</t>
        </is>
      </c>
      <c r="B1063" t="inlineStr">
        <is>
          <t>samrådsanmälan</t>
        </is>
      </c>
      <c r="C1063" t="inlineStr">
        <is>
          <t>Annan skogsbruksåtgärd</t>
        </is>
      </c>
      <c r="D1063" s="1" t="n">
        <v>45580</v>
      </c>
      <c r="E1063" s="1" t="n">
        <v>46322</v>
      </c>
      <c r="F1063" t="inlineStr">
        <is>
          <t>JÖNKÖPINGS LÄN</t>
        </is>
      </c>
      <c r="G1063" t="inlineStr">
        <is>
          <t>VETLANDA</t>
        </is>
      </c>
      <c r="I1063" t="n">
        <v>25.8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5145-2024</t>
        </is>
      </c>
      <c r="B1064" t="inlineStr">
        <is>
          <t>samrådsanmälan</t>
        </is>
      </c>
      <c r="C1064" t="inlineStr">
        <is>
          <t>Askåterföring</t>
        </is>
      </c>
      <c r="D1064" s="1" t="n">
        <v>45646</v>
      </c>
      <c r="E1064" s="1" t="n">
        <v>46322</v>
      </c>
      <c r="F1064" t="inlineStr">
        <is>
          <t>JÖNKÖPINGS LÄN</t>
        </is>
      </c>
      <c r="G1064" t="inlineStr">
        <is>
          <t>VETLANDA</t>
        </is>
      </c>
      <c r="I1064" t="n">
        <v>29.6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5146-2024</t>
        </is>
      </c>
      <c r="B1065" t="inlineStr">
        <is>
          <t>samrådsanmälan</t>
        </is>
      </c>
      <c r="C1065" t="inlineStr">
        <is>
          <t>Askåterföring</t>
        </is>
      </c>
      <c r="D1065" s="1" t="n">
        <v>45646</v>
      </c>
      <c r="E1065" s="1" t="n">
        <v>46322</v>
      </c>
      <c r="F1065" t="inlineStr">
        <is>
          <t>JÖNKÖPINGS LÄN</t>
        </is>
      </c>
      <c r="G1065" t="inlineStr">
        <is>
          <t>VETLANDA</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1359-2024</t>
        </is>
      </c>
      <c r="B1066" t="inlineStr">
        <is>
          <t>samrådsanmälan</t>
        </is>
      </c>
      <c r="C1066" t="inlineStr">
        <is>
          <t>Askåterföring</t>
        </is>
      </c>
      <c r="D1066" s="1" t="n">
        <v>45408</v>
      </c>
      <c r="E1066" s="1" t="n">
        <v>46322</v>
      </c>
      <c r="F1066" t="inlineStr">
        <is>
          <t>JÖNKÖPINGS LÄN</t>
        </is>
      </c>
      <c r="G1066" t="inlineStr">
        <is>
          <t>VETLANDA</t>
        </is>
      </c>
      <c r="I1066" t="n">
        <v>30.2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1423-2024</t>
        </is>
      </c>
      <c r="B1067" t="inlineStr">
        <is>
          <t>samrådsanmälan</t>
        </is>
      </c>
      <c r="C1067" t="inlineStr">
        <is>
          <t>Askåterföring</t>
        </is>
      </c>
      <c r="D1067" s="1" t="n">
        <v>45414</v>
      </c>
      <c r="E1067" s="1" t="n">
        <v>46322</v>
      </c>
      <c r="F1067" t="inlineStr">
        <is>
          <t>JÖNKÖPINGS LÄN</t>
        </is>
      </c>
      <c r="G1067" t="inlineStr">
        <is>
          <t>VETLANDA</t>
        </is>
      </c>
      <c r="I1067" t="n">
        <v>62.9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2943-2023</t>
        </is>
      </c>
      <c r="B1068" t="inlineStr">
        <is>
          <t>samrådsanmälan</t>
        </is>
      </c>
      <c r="C1068" t="inlineStr">
        <is>
          <t>Askåterföring</t>
        </is>
      </c>
      <c r="D1068" s="1" t="n">
        <v>45173</v>
      </c>
      <c r="E1068" s="1" t="n">
        <v>46322</v>
      </c>
      <c r="F1068" t="inlineStr">
        <is>
          <t>JÖNKÖPINGS LÄN</t>
        </is>
      </c>
      <c r="G1068" t="inlineStr">
        <is>
          <t>VETLANDA</t>
        </is>
      </c>
      <c r="I1068" t="n">
        <v>22.8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5148-2024</t>
        </is>
      </c>
      <c r="B1069" t="inlineStr">
        <is>
          <t>samrådsanmälan</t>
        </is>
      </c>
      <c r="C1069" t="inlineStr">
        <is>
          <t>Askåterföring</t>
        </is>
      </c>
      <c r="D1069" s="1" t="n">
        <v>45646</v>
      </c>
      <c r="E1069" s="1" t="n">
        <v>46322</v>
      </c>
      <c r="F1069" t="inlineStr">
        <is>
          <t>JÖNKÖPINGS LÄN</t>
        </is>
      </c>
      <c r="G1069" t="inlineStr">
        <is>
          <t>VETLANDA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647-2025</t>
        </is>
      </c>
      <c r="B1070" t="inlineStr">
        <is>
          <t>samrådsanmälan</t>
        </is>
      </c>
      <c r="C1070" t="inlineStr">
        <is>
          <t>Askåterföring</t>
        </is>
      </c>
      <c r="D1070" s="1" t="n">
        <v>45715</v>
      </c>
      <c r="E1070" s="1" t="n">
        <v>46322</v>
      </c>
      <c r="F1070" t="inlineStr">
        <is>
          <t>JÖNKÖPINGS LÄN</t>
        </is>
      </c>
      <c r="G1070" t="inlineStr">
        <is>
          <t>VETLANDA</t>
        </is>
      </c>
      <c r="I1070" t="n">
        <v>11.4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696-2025</t>
        </is>
      </c>
      <c r="B1071" t="inlineStr">
        <is>
          <t>samrådsanmälan</t>
        </is>
      </c>
      <c r="C1071" t="inlineStr">
        <is>
          <t>Askåterföring</t>
        </is>
      </c>
      <c r="D1071" s="1" t="n">
        <v>45720</v>
      </c>
      <c r="E1071" s="1" t="n">
        <v>46322</v>
      </c>
      <c r="F1071" t="inlineStr">
        <is>
          <t>JÖNKÖPINGS LÄN</t>
        </is>
      </c>
      <c r="G1071" t="inlineStr">
        <is>
          <t>VETLANDA</t>
        </is>
      </c>
      <c r="I1071" t="n">
        <v>59.5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1651-2025</t>
        </is>
      </c>
      <c r="B1072" t="inlineStr">
        <is>
          <t>samrådsanmälan</t>
        </is>
      </c>
      <c r="C1072" t="inlineStr">
        <is>
          <t>Askåterföring</t>
        </is>
      </c>
      <c r="D1072" s="1" t="n">
        <v>45800</v>
      </c>
      <c r="E1072" s="1" t="n">
        <v>46322</v>
      </c>
      <c r="F1072" t="inlineStr">
        <is>
          <t>JÖNKÖPINGS LÄN</t>
        </is>
      </c>
      <c r="G1072" t="inlineStr">
        <is>
          <t>VETLANDA</t>
        </is>
      </c>
      <c r="H1072" t="inlineStr">
        <is>
          <t>Kyrkan</t>
        </is>
      </c>
      <c r="I1072" t="n">
        <v>11.8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1950-2025</t>
        </is>
      </c>
      <c r="B1073" t="inlineStr">
        <is>
          <t>samrådsanmälan</t>
        </is>
      </c>
      <c r="C1073" t="inlineStr">
        <is>
          <t>Annan skogsbruksåtgärd</t>
        </is>
      </c>
      <c r="D1073" s="1" t="n">
        <v>45831</v>
      </c>
      <c r="E1073" s="1" t="n">
        <v>46322</v>
      </c>
      <c r="F1073" t="inlineStr">
        <is>
          <t>JÖNKÖPINGS LÄN</t>
        </is>
      </c>
      <c r="G1073" t="inlineStr">
        <is>
          <t>VETLANDA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1451-2025</t>
        </is>
      </c>
      <c r="B1074" t="inlineStr">
        <is>
          <t>samrådsanmälan</t>
        </is>
      </c>
      <c r="C1074" t="inlineStr">
        <is>
          <t>Annan skogsbruksåtgärd</t>
        </is>
      </c>
      <c r="D1074" s="1" t="n">
        <v>45785</v>
      </c>
      <c r="E1074" s="1" t="n">
        <v>46322</v>
      </c>
      <c r="F1074" t="inlineStr">
        <is>
          <t>JÖNKÖPINGS LÄN</t>
        </is>
      </c>
      <c r="G1074" t="inlineStr">
        <is>
          <t>VETLANDA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459-2026</t>
        </is>
      </c>
      <c r="B1075" t="inlineStr">
        <is>
          <t>samrådsanmälan</t>
        </is>
      </c>
      <c r="C1075" t="inlineStr">
        <is>
          <t>Askåterföring</t>
        </is>
      </c>
      <c r="D1075" s="1" t="n">
        <v>46073</v>
      </c>
      <c r="E1075" s="1" t="n">
        <v>46322</v>
      </c>
      <c r="F1075" t="inlineStr">
        <is>
          <t>JÖNKÖPINGS LÄN</t>
        </is>
      </c>
      <c r="G1075" t="inlineStr">
        <is>
          <t>VETLANDA</t>
        </is>
      </c>
      <c r="I1075" t="n">
        <v>8.6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1508-2026</t>
        </is>
      </c>
      <c r="B1076" t="inlineStr">
        <is>
          <t>samrådsanmälan</t>
        </is>
      </c>
      <c r="C1076" t="inlineStr">
        <is>
          <t>Annan skogsbruksåtgärd</t>
        </is>
      </c>
      <c r="D1076" s="1" t="n">
        <v>46163</v>
      </c>
      <c r="E1076" s="1" t="n">
        <v>46322</v>
      </c>
      <c r="F1076" t="inlineStr">
        <is>
          <t>JÖNKÖPINGS LÄN</t>
        </is>
      </c>
      <c r="G1076" t="inlineStr">
        <is>
          <t>VETLANDA</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2569-2026</t>
        </is>
      </c>
      <c r="B1077" t="inlineStr">
        <is>
          <t>samrådsanmälan</t>
        </is>
      </c>
      <c r="C1077" t="inlineStr">
        <is>
          <t>Askåterföring</t>
        </is>
      </c>
      <c r="D1077" s="1" t="n">
        <v>46296</v>
      </c>
      <c r="E1077" s="1" t="n">
        <v>46322</v>
      </c>
      <c r="F1077" t="inlineStr">
        <is>
          <t>JÖNKÖPINGS LÄN</t>
        </is>
      </c>
      <c r="G1077" t="inlineStr">
        <is>
          <t>VETLANDA</t>
        </is>
      </c>
      <c r="I1077" t="n">
        <v>15.4</v>
      </c>
      <c r="J1077" t="n">
        <v>0</v>
      </c>
      <c r="K1077" t="n">
        <v>0</v>
      </c>
      <c r="L1077" t="n">
        <v>0</v>
      </c>
      <c r="M1077" t="n">
        <v>0</v>
      </c>
      <c r="N1077" t="n">
        <v>0</v>
      </c>
      <c r="O1077" t="n">
        <v>0</v>
      </c>
      <c r="P1077" t="n">
        <v>0</v>
      </c>
      <c r="Q1077" t="n">
        <v>0</v>
      </c>
      <c r="R1077" t="n">
        <v>0</v>
      </c>
      <c r="S1077" t="n">
        <v>0</v>
      </c>
      <c r="T1077" t="n">
        <v>0</v>
      </c>
      <c r="U1077" t="n">
        <v>0</v>
      </c>
      <c r="V1077" s="2" t="inlineStr"/>
    </row>
    <row r="1078">
      <c r="A1078" t="inlineStr">
        <is>
          <t>S 2354-2026</t>
        </is>
      </c>
      <c r="B1078" t="inlineStr">
        <is>
          <t>samrådsanmälan</t>
        </is>
      </c>
      <c r="C1078" t="inlineStr">
        <is>
          <t>Askåterföring</t>
        </is>
      </c>
      <c r="D1078" s="1" t="n">
        <v>46274</v>
      </c>
      <c r="E1078" s="1" t="n">
        <v>46322</v>
      </c>
      <c r="F1078" t="inlineStr">
        <is>
          <t>JÖNKÖPINGS LÄN</t>
        </is>
      </c>
      <c r="G1078" t="inlineStr">
        <is>
          <t>VETLANDA</t>
        </is>
      </c>
      <c r="I1078" t="n">
        <v>9.199999999999999</v>
      </c>
      <c r="J1078" t="n">
        <v>0</v>
      </c>
      <c r="K1078" t="n">
        <v>0</v>
      </c>
      <c r="L1078" t="n">
        <v>0</v>
      </c>
      <c r="M1078" t="n">
        <v>0</v>
      </c>
      <c r="N1078" t="n">
        <v>0</v>
      </c>
      <c r="O1078" t="n">
        <v>0</v>
      </c>
      <c r="P1078" t="n">
        <v>0</v>
      </c>
      <c r="Q1078" t="n">
        <v>0</v>
      </c>
      <c r="R1078" t="n">
        <v>0</v>
      </c>
      <c r="S1078" t="n">
        <v>0</v>
      </c>
      <c r="T1078" t="n">
        <v>0</v>
      </c>
      <c r="U1078" t="n">
        <v>0</v>
      </c>
      <c r="V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2026-10-27T03:11:26Z</dcterms:created>
  <dcterms:modified xmlns:dcterms="http://purl.org/dc/terms/" xmlns:xsi="http://www.w3.org/2001/XMLSchema-instance" xsi:type="dcterms:W3CDTF">2026-10-27T03:11:27Z</dcterms:modified>
</cp:coreProperties>
</file>