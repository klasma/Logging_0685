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45695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45695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45695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45695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45695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45695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45695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45695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45695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45695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45695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45695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45695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45695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45695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29942-2020</t>
        </is>
      </c>
      <c r="B17" s="1" t="n">
        <v>44006</v>
      </c>
      <c r="C17" s="1" t="n">
        <v>45695</v>
      </c>
      <c r="D17" t="inlineStr">
        <is>
          <t>JÖNKÖPINGS LÄN</t>
        </is>
      </c>
      <c r="E17" t="inlineStr">
        <is>
          <t>VETLANDA</t>
        </is>
      </c>
      <c r="F17" t="inlineStr">
        <is>
          <t>Kommuner</t>
        </is>
      </c>
      <c r="G17" t="n">
        <v>7.2</v>
      </c>
      <c r="H17" t="n">
        <v>3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Blåsippa
Revlummer</t>
        </is>
      </c>
      <c r="S17">
        <f>HYPERLINK("https://klasma.github.io/Logging_0685/artfynd/A 29942-2020 artfynd.xlsx", "A 29942-2020")</f>
        <v/>
      </c>
      <c r="T17">
        <f>HYPERLINK("https://klasma.github.io/Logging_0685/kartor/A 29942-2020 karta.png", "A 29942-2020")</f>
        <v/>
      </c>
      <c r="U17">
        <f>HYPERLINK("https://klasma.github.io/Logging_0685/knärot/A 29942-2020 karta knärot.png", "A 29942-2020")</f>
        <v/>
      </c>
      <c r="V17">
        <f>HYPERLINK("https://klasma.github.io/Logging_0685/klagomål/A 29942-2020 FSC-klagomål.docx", "A 29942-2020")</f>
        <v/>
      </c>
      <c r="W17">
        <f>HYPERLINK("https://klasma.github.io/Logging_0685/klagomålsmail/A 29942-2020 FSC-klagomål mail.docx", "A 29942-2020")</f>
        <v/>
      </c>
      <c r="X17">
        <f>HYPERLINK("https://klasma.github.io/Logging_0685/tillsyn/A 29942-2020 tillsynsbegäran.docx", "A 29942-2020")</f>
        <v/>
      </c>
      <c r="Y17">
        <f>HYPERLINK("https://klasma.github.io/Logging_0685/tillsynsmail/A 29942-2020 tillsynsbegäran mail.docx", "A 29942-2020")</f>
        <v/>
      </c>
    </row>
    <row r="18" ht="15" customHeight="1">
      <c r="A18" t="inlineStr">
        <is>
          <t>A 36321-2021</t>
        </is>
      </c>
      <c r="B18" s="1" t="n">
        <v>44390</v>
      </c>
      <c r="C18" s="1" t="n">
        <v>45695</v>
      </c>
      <c r="D18" t="inlineStr">
        <is>
          <t>JÖNKÖPINGS LÄN</t>
        </is>
      </c>
      <c r="E18" t="inlineStr">
        <is>
          <t>VETLANDA</t>
        </is>
      </c>
      <c r="G18" t="n">
        <v>1.2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Fransfladdermus
Bågpraktmossa
Vattenfladdermus</t>
        </is>
      </c>
      <c r="S18">
        <f>HYPERLINK("https://klasma.github.io/Logging_0685/artfynd/A 36321-2021 artfynd.xlsx", "A 36321-2021")</f>
        <v/>
      </c>
      <c r="T18">
        <f>HYPERLINK("https://klasma.github.io/Logging_0685/kartor/A 36321-2021 karta.png", "A 36321-2021")</f>
        <v/>
      </c>
      <c r="V18">
        <f>HYPERLINK("https://klasma.github.io/Logging_0685/klagomål/A 36321-2021 FSC-klagomål.docx", "A 36321-2021")</f>
        <v/>
      </c>
      <c r="W18">
        <f>HYPERLINK("https://klasma.github.io/Logging_0685/klagomålsmail/A 36321-2021 FSC-klagomål mail.docx", "A 36321-2021")</f>
        <v/>
      </c>
      <c r="X18">
        <f>HYPERLINK("https://klasma.github.io/Logging_0685/tillsyn/A 36321-2021 tillsynsbegäran.docx", "A 36321-2021")</f>
        <v/>
      </c>
      <c r="Y18">
        <f>HYPERLINK("https://klasma.github.io/Logging_0685/tillsynsmail/A 36321-2021 tillsynsbegäran mail.docx", "A 36321-2021")</f>
        <v/>
      </c>
    </row>
    <row r="19" ht="15" customHeight="1">
      <c r="A19" t="inlineStr">
        <is>
          <t>A 25293-2023</t>
        </is>
      </c>
      <c r="B19" s="1" t="n">
        <v>45086</v>
      </c>
      <c r="C19" s="1" t="n">
        <v>45695</v>
      </c>
      <c r="D19" t="inlineStr">
        <is>
          <t>JÖNKÖPINGS LÄN</t>
        </is>
      </c>
      <c r="E19" t="inlineStr">
        <is>
          <t>VETLANDA</t>
        </is>
      </c>
      <c r="G19" t="n">
        <v>3.8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Bronshjon
Bårdlav
Korallblylav
Västlig hakmossa</t>
        </is>
      </c>
      <c r="S19">
        <f>HYPERLINK("https://klasma.github.io/Logging_0685/artfynd/A 25293-2023 artfynd.xlsx", "A 25293-2023")</f>
        <v/>
      </c>
      <c r="T19">
        <f>HYPERLINK("https://klasma.github.io/Logging_0685/kartor/A 25293-2023 karta.png", "A 25293-2023")</f>
        <v/>
      </c>
      <c r="V19">
        <f>HYPERLINK("https://klasma.github.io/Logging_0685/klagomål/A 25293-2023 FSC-klagomål.docx", "A 25293-2023")</f>
        <v/>
      </c>
      <c r="W19">
        <f>HYPERLINK("https://klasma.github.io/Logging_0685/klagomålsmail/A 25293-2023 FSC-klagomål mail.docx", "A 25293-2023")</f>
        <v/>
      </c>
      <c r="X19">
        <f>HYPERLINK("https://klasma.github.io/Logging_0685/tillsyn/A 25293-2023 tillsynsbegäran.docx", "A 25293-2023")</f>
        <v/>
      </c>
      <c r="Y19">
        <f>HYPERLINK("https://klasma.github.io/Logging_0685/tillsynsmail/A 25293-2023 tillsynsbegäran mail.docx", "A 25293-2023")</f>
        <v/>
      </c>
    </row>
    <row r="20" ht="15" customHeight="1">
      <c r="A20" t="inlineStr">
        <is>
          <t>A 30388-2023</t>
        </is>
      </c>
      <c r="B20" s="1" t="n">
        <v>45111</v>
      </c>
      <c r="C20" s="1" t="n">
        <v>45695</v>
      </c>
      <c r="D20" t="inlineStr">
        <is>
          <t>JÖNKÖPINGS LÄN</t>
        </is>
      </c>
      <c r="E20" t="inlineStr">
        <is>
          <t>VETLANDA</t>
        </is>
      </c>
      <c r="G20" t="n">
        <v>4.1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Svavelriska
Trådticka
Blåsippa</t>
        </is>
      </c>
      <c r="S20">
        <f>HYPERLINK("https://klasma.github.io/Logging_0685/artfynd/A 30388-2023 artfynd.xlsx", "A 30388-2023")</f>
        <v/>
      </c>
      <c r="T20">
        <f>HYPERLINK("https://klasma.github.io/Logging_0685/kartor/A 30388-2023 karta.png", "A 30388-2023")</f>
        <v/>
      </c>
      <c r="V20">
        <f>HYPERLINK("https://klasma.github.io/Logging_0685/klagomål/A 30388-2023 FSC-klagomål.docx", "A 30388-2023")</f>
        <v/>
      </c>
      <c r="W20">
        <f>HYPERLINK("https://klasma.github.io/Logging_0685/klagomålsmail/A 30388-2023 FSC-klagomål mail.docx", "A 30388-2023")</f>
        <v/>
      </c>
      <c r="X20">
        <f>HYPERLINK("https://klasma.github.io/Logging_0685/tillsyn/A 30388-2023 tillsynsbegäran.docx", "A 30388-2023")</f>
        <v/>
      </c>
      <c r="Y20">
        <f>HYPERLINK("https://klasma.github.io/Logging_0685/tillsynsmail/A 30388-2023 tillsynsbegäran mail.docx", "A 30388-2023")</f>
        <v/>
      </c>
    </row>
    <row r="21" ht="15" customHeight="1">
      <c r="A21" t="inlineStr">
        <is>
          <t>A 34092-2023</t>
        </is>
      </c>
      <c r="B21" s="1" t="n">
        <v>45135</v>
      </c>
      <c r="C21" s="1" t="n">
        <v>45695</v>
      </c>
      <c r="D21" t="inlineStr">
        <is>
          <t>JÖNKÖPINGS LÄN</t>
        </is>
      </c>
      <c r="E21" t="inlineStr">
        <is>
          <t>VETLANDA</t>
        </is>
      </c>
      <c r="G21" t="n">
        <v>4.5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Björksplintborre
Blåsippa</t>
        </is>
      </c>
      <c r="S21">
        <f>HYPERLINK("https://klasma.github.io/Logging_0685/artfynd/A 34092-2023 artfynd.xlsx", "A 34092-2023")</f>
        <v/>
      </c>
      <c r="T21">
        <f>HYPERLINK("https://klasma.github.io/Logging_0685/kartor/A 34092-2023 karta.png", "A 34092-2023")</f>
        <v/>
      </c>
      <c r="U21">
        <f>HYPERLINK("https://klasma.github.io/Logging_0685/knärot/A 34092-2023 karta knärot.png", "A 34092-2023")</f>
        <v/>
      </c>
      <c r="V21">
        <f>HYPERLINK("https://klasma.github.io/Logging_0685/klagomål/A 34092-2023 FSC-klagomål.docx", "A 34092-2023")</f>
        <v/>
      </c>
      <c r="W21">
        <f>HYPERLINK("https://klasma.github.io/Logging_0685/klagomålsmail/A 34092-2023 FSC-klagomål mail.docx", "A 34092-2023")</f>
        <v/>
      </c>
      <c r="X21">
        <f>HYPERLINK("https://klasma.github.io/Logging_0685/tillsyn/A 34092-2023 tillsynsbegäran.docx", "A 34092-2023")</f>
        <v/>
      </c>
      <c r="Y21">
        <f>HYPERLINK("https://klasma.github.io/Logging_0685/tillsynsmail/A 34092-2023 tillsynsbegäran mail.docx", "A 34092-2023")</f>
        <v/>
      </c>
    </row>
    <row r="22" ht="15" customHeight="1">
      <c r="A22" t="inlineStr">
        <is>
          <t>A 47577-2023</t>
        </is>
      </c>
      <c r="B22" s="1" t="n">
        <v>45203</v>
      </c>
      <c r="C22" s="1" t="n">
        <v>45695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Citronfingersvamp
Knärot
Blomkålssvamp
Grönpyrola</t>
        </is>
      </c>
      <c r="S22">
        <f>HYPERLINK("https://klasma.github.io/Logging_0685/artfynd/A 47577-2023 artfynd.xlsx", "A 47577-2023")</f>
        <v/>
      </c>
      <c r="T22">
        <f>HYPERLINK("https://klasma.github.io/Logging_0685/kartor/A 47577-2023 karta.png", "A 47577-2023")</f>
        <v/>
      </c>
      <c r="U22">
        <f>HYPERLINK("https://klasma.github.io/Logging_0685/knärot/A 47577-2023 karta knärot.png", "A 47577-2023")</f>
        <v/>
      </c>
      <c r="V22">
        <f>HYPERLINK("https://klasma.github.io/Logging_0685/klagomål/A 47577-2023 FSC-klagomål.docx", "A 47577-2023")</f>
        <v/>
      </c>
      <c r="W22">
        <f>HYPERLINK("https://klasma.github.io/Logging_0685/klagomålsmail/A 47577-2023 FSC-klagomål mail.docx", "A 47577-2023")</f>
        <v/>
      </c>
      <c r="X22">
        <f>HYPERLINK("https://klasma.github.io/Logging_0685/tillsyn/A 47577-2023 tillsynsbegäran.docx", "A 47577-2023")</f>
        <v/>
      </c>
      <c r="Y22">
        <f>HYPERLINK("https://klasma.github.io/Logging_0685/tillsynsmail/A 47577-2023 tillsynsbegäran mail.docx", "A 47577-2023")</f>
        <v/>
      </c>
    </row>
    <row r="23" ht="15" customHeight="1">
      <c r="A23" t="inlineStr">
        <is>
          <t>A 47248-2019</t>
        </is>
      </c>
      <c r="B23" s="1" t="n">
        <v>43721</v>
      </c>
      <c r="C23" s="1" t="n">
        <v>45695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Grönpyrola</t>
        </is>
      </c>
      <c r="S23">
        <f>HYPERLINK("https://klasma.github.io/Logging_0685/artfynd/A 47248-2019 artfynd.xlsx", "A 47248-2019")</f>
        <v/>
      </c>
      <c r="T23">
        <f>HYPERLINK("https://klasma.github.io/Logging_0685/kartor/A 47248-2019 karta.png", "A 47248-2019")</f>
        <v/>
      </c>
      <c r="U23">
        <f>HYPERLINK("https://klasma.github.io/Logging_0685/knärot/A 47248-2019 karta knärot.png", "A 47248-2019")</f>
        <v/>
      </c>
      <c r="V23">
        <f>HYPERLINK("https://klasma.github.io/Logging_0685/klagomål/A 47248-2019 FSC-klagomål.docx", "A 47248-2019")</f>
        <v/>
      </c>
      <c r="W23">
        <f>HYPERLINK("https://klasma.github.io/Logging_0685/klagomålsmail/A 47248-2019 FSC-klagomål mail.docx", "A 47248-2019")</f>
        <v/>
      </c>
      <c r="X23">
        <f>HYPERLINK("https://klasma.github.io/Logging_0685/tillsyn/A 47248-2019 tillsynsbegäran.docx", "A 47248-2019")</f>
        <v/>
      </c>
      <c r="Y23">
        <f>HYPERLINK("https://klasma.github.io/Logging_0685/tillsynsmail/A 47248-2019 tillsynsbegäran mail.docx", "A 47248-2019")</f>
        <v/>
      </c>
      <c r="Z23">
        <f>HYPERLINK("https://klasma.github.io/Logging_0685/fåglar/A 47248-2019 prioriterade fågelarter.docx", "A 47248-2019")</f>
        <v/>
      </c>
    </row>
    <row r="24" ht="15" customHeight="1">
      <c r="A24" t="inlineStr">
        <is>
          <t>A 47975-2019</t>
        </is>
      </c>
      <c r="B24" s="1" t="n">
        <v>43725</v>
      </c>
      <c r="C24" s="1" t="n">
        <v>45695</v>
      </c>
      <c r="D24" t="inlineStr">
        <is>
          <t>JÖNKÖPINGS LÄN</t>
        </is>
      </c>
      <c r="E24" t="inlineStr">
        <is>
          <t>VETLANDA</t>
        </is>
      </c>
      <c r="G24" t="n">
        <v>2.7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Underviol
Blåsippa</t>
        </is>
      </c>
      <c r="S24">
        <f>HYPERLINK("https://klasma.github.io/Logging_0685/artfynd/A 47975-2019 artfynd.xlsx", "A 47975-2019")</f>
        <v/>
      </c>
      <c r="T24">
        <f>HYPERLINK("https://klasma.github.io/Logging_0685/kartor/A 47975-2019 karta.png", "A 47975-2019")</f>
        <v/>
      </c>
      <c r="V24">
        <f>HYPERLINK("https://klasma.github.io/Logging_0685/klagomål/A 47975-2019 FSC-klagomål.docx", "A 47975-2019")</f>
        <v/>
      </c>
      <c r="W24">
        <f>HYPERLINK("https://klasma.github.io/Logging_0685/klagomålsmail/A 47975-2019 FSC-klagomål mail.docx", "A 47975-2019")</f>
        <v/>
      </c>
      <c r="X24">
        <f>HYPERLINK("https://klasma.github.io/Logging_0685/tillsyn/A 47975-2019 tillsynsbegäran.docx", "A 47975-2019")</f>
        <v/>
      </c>
      <c r="Y24">
        <f>HYPERLINK("https://klasma.github.io/Logging_0685/tillsynsmail/A 47975-2019 tillsynsbegäran mail.docx", "A 47975-2019")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45695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45695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45695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45695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45695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45695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45695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45695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45695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45695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45695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45695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45695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45695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45695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45695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45695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45695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45695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45695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45695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45695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45695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45695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45695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45695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45695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45695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45695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45695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45695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45695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45695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45695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45695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45695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45695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45695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45695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45695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45695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45695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45695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45695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45695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45695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45695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45695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45695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45695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45695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45695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45695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45695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45695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45695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45695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45695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45695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45695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45695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45695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45695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45695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45695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45695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45695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45695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45695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45695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45695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45695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45695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45695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45695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45695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45695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45695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45695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45695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45695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45695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45695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45695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45695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45695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45695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45695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45695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45695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45695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45695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45695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45695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45695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45695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45695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45695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45695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45979-2024</t>
        </is>
      </c>
      <c r="B124" s="1" t="n">
        <v>45580</v>
      </c>
      <c r="C124" s="1" t="n">
        <v>45695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HYPERLINK("https://klasma.github.io/Logging_0685/artfynd/A 45979-2024 artfynd.xlsx", "A 45979-2024")</f>
        <v/>
      </c>
      <c r="T124">
        <f>HYPERLINK("https://klasma.github.io/Logging_0685/kartor/A 45979-2024 karta.png", "A 45979-2024")</f>
        <v/>
      </c>
      <c r="V124">
        <f>HYPERLINK("https://klasma.github.io/Logging_0685/klagomål/A 45979-2024 FSC-klagomål.docx", "A 45979-2024")</f>
        <v/>
      </c>
      <c r="W124">
        <f>HYPERLINK("https://klasma.github.io/Logging_0685/klagomålsmail/A 45979-2024 FSC-klagomål mail.docx", "A 45979-2024")</f>
        <v/>
      </c>
      <c r="X124">
        <f>HYPERLINK("https://klasma.github.io/Logging_0685/tillsyn/A 45979-2024 tillsynsbegäran.docx", "A 45979-2024")</f>
        <v/>
      </c>
      <c r="Y124">
        <f>HYPERLINK("https://klasma.github.io/Logging_0685/tillsynsmail/A 45979-2024 tillsynsbegäran mail.docx", "A 45979-2024")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45695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45695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45695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2586-2025</t>
        </is>
      </c>
      <c r="B128" s="1" t="n">
        <v>45674</v>
      </c>
      <c r="C128" s="1" t="n">
        <v>45695</v>
      </c>
      <c r="D128" t="inlineStr">
        <is>
          <t>JÖNKÖPINGS LÄN</t>
        </is>
      </c>
      <c r="E128" t="inlineStr">
        <is>
          <t>VETLANDA</t>
        </is>
      </c>
      <c r="G128" t="n">
        <v>1.5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Korallrot</t>
        </is>
      </c>
      <c r="S128">
        <f>HYPERLINK("https://klasma.github.io/Logging_0685/artfynd/A 2586-2025 artfynd.xlsx", "A 2586-2025")</f>
        <v/>
      </c>
      <c r="T128">
        <f>HYPERLINK("https://klasma.github.io/Logging_0685/kartor/A 2586-2025 karta.png", "A 2586-2025")</f>
        <v/>
      </c>
      <c r="V128">
        <f>HYPERLINK("https://klasma.github.io/Logging_0685/klagomål/A 2586-2025 FSC-klagomål.docx", "A 2586-2025")</f>
        <v/>
      </c>
      <c r="W128">
        <f>HYPERLINK("https://klasma.github.io/Logging_0685/klagomålsmail/A 2586-2025 FSC-klagomål mail.docx", "A 2586-2025")</f>
        <v/>
      </c>
      <c r="X128">
        <f>HYPERLINK("https://klasma.github.io/Logging_0685/tillsyn/A 2586-2025 tillsynsbegäran.docx", "A 2586-2025")</f>
        <v/>
      </c>
      <c r="Y128">
        <f>HYPERLINK("https://klasma.github.io/Logging_0685/tillsynsmail/A 2586-2025 tillsynsbegäran mail.docx", "A 2586-2025")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45695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45695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45695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45695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45695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45695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45695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45695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45695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45695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45695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45695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45695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45695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45695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45695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45695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45695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45695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45695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45695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45695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45695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45695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45695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45695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45695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45695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45695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45695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45695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45695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45695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45695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45695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45695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45695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45695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45695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45695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45695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45695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45695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45695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45695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45695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45695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45695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45695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45695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45695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45695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45695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45695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45695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45695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45695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45695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45695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45695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45695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45695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45695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45695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45695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45695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45695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45695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45695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45695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45695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45695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45695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45695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45695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45695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45695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45695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45695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45695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45695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45695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45695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45695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45695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45695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45695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45695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45695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45695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45695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45695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45695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45695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45695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45695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45695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45695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45695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45695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45695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45695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45695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45695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45695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45695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45695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45695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45695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45695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45695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45695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45695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45695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45695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45695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45695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45695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45695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45695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45695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45695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45695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45695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45695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45695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45695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45695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45695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45695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45695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45695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45695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45695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45695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45695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45695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45695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45695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45695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45695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45695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45695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45695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45695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45695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45695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45695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45695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45695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45695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45695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45695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45695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45695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45695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45695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45695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45695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45695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45695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45695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45695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45695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45695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45695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45695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45695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45695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45695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45695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45695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45695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45695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45695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45695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45695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45695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45695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45695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45695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45695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45695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45695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45695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45695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45695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45695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45695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45695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45695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45695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45695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45695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45695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45695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45695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45695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45695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45695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45695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45695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45695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45695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45695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45695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45695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45695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45695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45695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45695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45695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45695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45695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45695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45695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45695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45695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45695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45695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45695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45695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45695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45695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45695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45695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45695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45695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45695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45695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45695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45695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45695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45695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45695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45695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45695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45695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45695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45695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45695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45695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45695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45695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45695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45695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45695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45695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45695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45695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45695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45695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45695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45695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45695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45695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45695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45695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45695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45695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45695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45695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45695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45695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45695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45695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45695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45695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45695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45695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45695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45695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45695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45695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45695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45695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45695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45695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45695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45695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45695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45695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45695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45695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45695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45695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45695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45695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45695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45695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45695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45695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45695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45695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45695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45695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45695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45695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45695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45695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45695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45695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45695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45695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45695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45695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45695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45695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45695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45695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45695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45695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45695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45695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45695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45695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45695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45695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45695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45695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45695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45695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45695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45695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45695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45695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45695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45695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45695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45695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45695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45695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45695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45695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45695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45695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45695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45695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45695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45695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45695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45695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45695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45695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45695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45695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45695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45695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45695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45695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45695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45695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45695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45695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45695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45695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45695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45695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45695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45695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45695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45695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45695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45695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45695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45695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45695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45695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45695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45695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45695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45695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45695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45695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45695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45695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45695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45695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45695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45695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45695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45695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45695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45695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45695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45695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45695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45695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45695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45695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45695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45695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45695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45695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45695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45695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45695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45695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45695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45695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45695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45695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45695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45695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45695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45695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45695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45695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45695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45695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45695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45695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45695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45695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45695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45695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45695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45695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45695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45695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45695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45695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45695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45695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45695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45695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45695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45695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45695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45695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45695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45695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45695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45695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45695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45695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45695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45695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45695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45695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45695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45695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45695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45695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45695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45695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45695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45695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45695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45695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45695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45695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45695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45695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45695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45695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45695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45695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45695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45695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45695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45695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45695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45695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45695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45695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45695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45695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45695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45695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45695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45695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45695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45695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45695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45695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45695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45695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45695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45695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45695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45695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45695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45695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45695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45695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45695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45695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45695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45695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45695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45695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45695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45695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45695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45695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45695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45695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45695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45695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45695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45695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45695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45695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45695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45695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45695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45695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45695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45695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45695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45695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45695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45695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45695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45695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45695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45695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45695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45695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45695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45695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45695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45695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45695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45695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45695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45695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45695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45695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45695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45695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45695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45695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45695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45695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45695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45695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45695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45695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45695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45695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45695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45695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45695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45695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45695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45695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45695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45695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45695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45695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45695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45695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45695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45695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45695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45695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45695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45695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45695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45695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45695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45695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45695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45695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45695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45695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45695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45695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45695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45695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45695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45695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45695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45695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45695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45695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45695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45695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45695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45695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45695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45695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45695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45695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45695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45695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45695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45695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45695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45695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45695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45695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45695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45695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45695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45695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45695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45695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45695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45695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45695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45695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45695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45695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45695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45695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45695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45695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45695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45695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45695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45695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45695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45695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45695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45695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45695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45695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45695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45695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45695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45695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45695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45695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45695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45695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45695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45695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45695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45695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45695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45695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45695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45695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45695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45695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45695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45695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45695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45695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45695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45695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45695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45695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45695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45695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45695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45695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45695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45695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45695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45695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45695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45695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45695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45695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45695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45695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45695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45695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45695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45695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45695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45695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45695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45695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45695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45695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45695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45695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45695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45695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45695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45695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45695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45695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45695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45695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45695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45695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45695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45695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45695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45695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45695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45695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45695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45695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45695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45695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45695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45695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45695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45695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45695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45695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45695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45695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45695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45695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45695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45695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45695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45695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45695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45695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45695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45695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45695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45695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45695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45695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45695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45695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45695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45695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45695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45695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45695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45695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45695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45695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45695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45695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45695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45695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45695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45695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45695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45695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45695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45695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45695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45695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45695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45695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45695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45695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45695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45695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45695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45695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45695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45695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45695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45695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45695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45695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45695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45695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45695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45695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45695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45695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45695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45695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45695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45695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45695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45695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45695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45695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45695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45695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45695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45695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45695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45695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45695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45695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45695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45695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45695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45695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45695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45695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45695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45695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45695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45695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45695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45695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45695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45695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45695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45695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45695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45695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45695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45695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45695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45695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45695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45695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45695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45695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45695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45695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45695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45695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45695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45695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45695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45695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45695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45695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45695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45695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45695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45695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45695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45695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45695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45695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45695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45695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45695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45695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45695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45695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45695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45695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45695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45695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45695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45695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45695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45695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45695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45695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45695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45695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45695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45695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45695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45695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45695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45695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45695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45695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45695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45695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45695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45695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45695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45695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45695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45695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45695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45695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45695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45695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45695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45695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45695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45695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45695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45695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45695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45695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45695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45695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45695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45695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45695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45695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45695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45695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45695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45695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45695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45695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45695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45695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45695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45695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45695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45695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45695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45695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45695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45695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45695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45695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45695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45695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45695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45695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45695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45695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45695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45695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45695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45695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45695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45695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45695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45695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45695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45695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45695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45695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45695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45695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45695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45695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45695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45695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45695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45695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45695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45695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45695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45695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45695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45695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45695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45695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45695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45695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45695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45695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45695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45695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45695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45695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45695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45695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45695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45695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45695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45695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45695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45695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45695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45695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45695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45695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45695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45695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45695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45695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45695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45695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45695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45695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45695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45695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45695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45695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45695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45695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45695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45695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45695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45695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45695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45695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45695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45695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45695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45695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45695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45695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45695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45695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45695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45695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45695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45695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45695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45695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45695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45695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45695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45695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45695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45695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45695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45695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45695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45695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45695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45695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45695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45695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45695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45695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45695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45695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45695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45695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45695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45695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45695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45695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45695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45695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45695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45695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45695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45695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45695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45695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45695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45695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45695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45695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45695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45695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45695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45695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45695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45695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45695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45695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45695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45695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45695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45695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45695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45695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45695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45695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45695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45695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45695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45695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45695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45695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45695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45695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45695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45695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45695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45695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45695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45695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45695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45695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45695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45695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45695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45695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45695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45695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45695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45695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45695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45695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45695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45695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45695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45695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45695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45695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45695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45695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45695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45695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45695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45695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45695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45695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45695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45695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45695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45695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45695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45695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45695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45695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45695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45695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45695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45695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45695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45695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45695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45695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45695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45695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45695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45695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45695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45695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45695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45695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45695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45695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45695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45695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45695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45695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45695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45695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45695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45695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45695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45695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45695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45695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45695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45695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45695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45695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45695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45695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45695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45695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45695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45695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45695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45695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45695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45695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45695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45695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45695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45695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45695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45695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45695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45695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45695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45695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45695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45695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45695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45695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45695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45695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45695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45695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45695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45695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45695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45695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45695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45695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45695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45695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45695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45695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45695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45695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45695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45695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45695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45695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45695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45695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45695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45695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45695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45695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45695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45695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45695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45695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45695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45695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45695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45695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45695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45695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45695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45695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45695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45695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45695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45695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45695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45695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45695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45695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45695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45695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45695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45695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45695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45695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45695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45695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45695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45695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45695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45695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45695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45695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45695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45695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45695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45695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45695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45695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45695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45695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45695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45695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45695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45695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45695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45695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45695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45695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45695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45695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45695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45695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45695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45695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45695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45695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45695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45695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45695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45695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45695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45695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45695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45695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45695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45695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45695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45695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45695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45695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45695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45695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45695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45695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45695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45695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45695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45695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45695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45695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45695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45695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45695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45695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45695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45695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45695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45695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45695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45695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45695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45695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45695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45695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45695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45695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45695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45695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45695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45695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45695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45695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45695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45695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45695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45695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45695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45695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45695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45695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45695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45695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45695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45695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45695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45695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45695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45695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45695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45695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45695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45695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45695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45695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45695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45695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45695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45695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45695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45695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45695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45695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45695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45695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45695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45695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45695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45695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45695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45695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45695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45695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45695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45695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45695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45695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45695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45695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45695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45695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45695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45695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45695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45695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45695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45695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45695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45695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45695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45695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45695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45695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45695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45695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45695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45695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45695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45695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45695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45695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45695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45695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45695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45695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45695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45695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45695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45695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45695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45695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45695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45695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45695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45695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45695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45695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45695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45695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45695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45695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45695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45695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45695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45695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45695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45695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45695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45695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45695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45695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45695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45695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45695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45695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45695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45695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45695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45695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45695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45695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45695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45695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45695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45695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45695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45695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45695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45695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45695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45695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45695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45695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45695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45695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45695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45695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45695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45695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45695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45695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45695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45695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45695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45695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45695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45695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45695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45695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45695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45695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45695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45695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45695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45695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45695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45695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45695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45695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45695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45695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45695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45695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45695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45695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45695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45695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45695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45695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45695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45695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45695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45695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45695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45695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45695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45695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45695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45695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45695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45695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45695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45695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45695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45695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45695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45695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45695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45695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45695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45695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45695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45695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45695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45695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45695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45695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45695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45695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45695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45695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45695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45695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45695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45695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45695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45695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45695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45695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45695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45695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45695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45695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45695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45695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45695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45695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45695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45695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45695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45695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45695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45695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45695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45695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45695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45695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45695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45695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45695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45695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45695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45695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45695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45695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45695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45695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45695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45695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45695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45695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45695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45695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45695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45695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45695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45695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45695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45695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45695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45695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45695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45695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45695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45695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45695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45695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45695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45695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45695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45695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45695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45695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45695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45695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45695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45695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45695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45695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45695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45695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45695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45695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45695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45695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45695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45695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45695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45695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45695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45695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45695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45695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45695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45695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45695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45695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45695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45695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45695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45695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45695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45695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45695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45695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45695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45695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45695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45695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45695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45695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45695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45695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45695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45695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45695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45695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45695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45695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45695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45695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45695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45695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45695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45695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45695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45695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45695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45695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45695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45695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45695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45695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45695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45695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45695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45695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45695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45695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45695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45695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45695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45695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45695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45695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45695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45695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45695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45695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45695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45695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45695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45695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45695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45695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45695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45695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45695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45695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45695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45695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45695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45695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45695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45695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45695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45695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45695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45695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45695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45695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45695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45695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45695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45695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45695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45695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45695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45695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45695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45695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45695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45695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45695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45695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45695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45695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45695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45695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45695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45695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45695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45695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45695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45695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45695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45695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45695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45695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45695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45695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45695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45695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45695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45695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45695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45695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45695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45695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45695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45695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45695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45695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45695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45695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45695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45695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45695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45695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45695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45695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45695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45695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45695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45695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45695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45695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45695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45695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45695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45695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45695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45695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45695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45695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45695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45695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45695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45695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45695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45695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45695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45695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45695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45695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45695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45695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45695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45695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45695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45695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45695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45695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45695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45695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45695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45695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45695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45695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45695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45695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45695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45695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45695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45695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45695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45695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45695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45695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45695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45695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45695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45695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45695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45695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45695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45695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45695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45695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45695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45695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45695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45695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45695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45695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45695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45695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45695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45695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45695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45695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45695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45695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45695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45695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45695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45695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45695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45695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45695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45695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45695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45695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45695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45695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45695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45695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45695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45695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45695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45695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45695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45695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45695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45695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45695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45695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45695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45695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45695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45695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45695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45695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45695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45695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45695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45695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45695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45695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45695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45695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45695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45695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45695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45695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45695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45695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45695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45695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45695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45695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45695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45695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45695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45695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45695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45695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45695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45695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45695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45695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45695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45695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45695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45695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45695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45695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45695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45695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45695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45695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45695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45695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45695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45695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45695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45695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45695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45695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45695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45695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45695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45695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45695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45695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45695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45695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45695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45695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45695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45695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45695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45695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45695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45695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45695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45695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45695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45695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45695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45695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45695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45695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45695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45695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45695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45695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45695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45695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45695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45695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45695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45695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45695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45695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45695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45695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45695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45695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45695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45695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45695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45695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45695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45695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45695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45695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45695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45695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45695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45695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45695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45695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45695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45695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45695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45695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45695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45695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45695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45695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45695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45695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45695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45695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45695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45695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45695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45695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45695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45695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45695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45695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45695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45695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45695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45695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45695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45695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45695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45695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45695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45695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45695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45695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45695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45695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45695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45695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45695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45695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45695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45695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45695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45695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45695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45695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45695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45695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45695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45695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45695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45695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45695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45695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45695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45695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45695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45695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45695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45695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45695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45695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45695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45695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45695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45695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45695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45695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45695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45695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45695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45695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45695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45695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45695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45695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45695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45695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45695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45695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45695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45695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45695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45695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45695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45695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45695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45695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45695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45695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45695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45695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45695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45695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45695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45695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45695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45695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45695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45695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45695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45695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45695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45695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45695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45695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45695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45695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45695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45695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45695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45695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45695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45695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45695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45695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45695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45695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45695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45695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45695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45695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45695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45695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45695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45695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45695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45695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45695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45695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45695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45695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45695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45695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45695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45695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45695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45695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45695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45695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45695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45695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45695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45695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45695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45695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45695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45695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45695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45695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45695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45695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45695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45695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45695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45695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45695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45695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45695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45695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45695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45695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45695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45695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45695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45695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45695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45695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45695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45695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45695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45695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45695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45695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45695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45695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45695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45695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45695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45695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45695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45695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45695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45695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45695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45695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45695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45695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45695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45695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45695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45695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45695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45695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1583-2025</t>
        </is>
      </c>
      <c r="B2183" s="1" t="n">
        <v>45670</v>
      </c>
      <c r="C2183" s="1" t="n">
        <v>45695</v>
      </c>
      <c r="D2183" t="inlineStr">
        <is>
          <t>JÖNKÖPINGS LÄN</t>
        </is>
      </c>
      <c r="E2183" t="inlineStr">
        <is>
          <t>VETLANDA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45695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1840-2025</t>
        </is>
      </c>
      <c r="B2185" s="1" t="n">
        <v>45671</v>
      </c>
      <c r="C2185" s="1" t="n">
        <v>45695</v>
      </c>
      <c r="D2185" t="inlineStr">
        <is>
          <t>JÖNKÖPINGS LÄN</t>
        </is>
      </c>
      <c r="E2185" t="inlineStr">
        <is>
          <t>VETLANDA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1789-2025</t>
        </is>
      </c>
      <c r="B2186" s="1" t="n">
        <v>45671</v>
      </c>
      <c r="C2186" s="1" t="n">
        <v>45695</v>
      </c>
      <c r="D2186" t="inlineStr">
        <is>
          <t>JÖNKÖPINGS LÄN</t>
        </is>
      </c>
      <c r="E2186" t="inlineStr">
        <is>
          <t>VETLANDA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1932-2025</t>
        </is>
      </c>
      <c r="B2187" s="1" t="n">
        <v>45671</v>
      </c>
      <c r="C2187" s="1" t="n">
        <v>45695</v>
      </c>
      <c r="D2187" t="inlineStr">
        <is>
          <t>JÖNKÖPINGS LÄN</t>
        </is>
      </c>
      <c r="E2187" t="inlineStr">
        <is>
          <t>VETLANDA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1838-2025</t>
        </is>
      </c>
      <c r="B2188" s="1" t="n">
        <v>45671</v>
      </c>
      <c r="C2188" s="1" t="n">
        <v>45695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1950-2025</t>
        </is>
      </c>
      <c r="B2189" s="1" t="n">
        <v>45672</v>
      </c>
      <c r="C2189" s="1" t="n">
        <v>45695</v>
      </c>
      <c r="D2189" t="inlineStr">
        <is>
          <t>JÖNKÖPINGS LÄN</t>
        </is>
      </c>
      <c r="E2189" t="inlineStr">
        <is>
          <t>VETLANDA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1947-2025</t>
        </is>
      </c>
      <c r="B2190" s="1" t="n">
        <v>45672</v>
      </c>
      <c r="C2190" s="1" t="n">
        <v>45695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1951-2025</t>
        </is>
      </c>
      <c r="B2191" s="1" t="n">
        <v>45672</v>
      </c>
      <c r="C2191" s="1" t="n">
        <v>45695</v>
      </c>
      <c r="D2191" t="inlineStr">
        <is>
          <t>JÖNKÖPINGS LÄN</t>
        </is>
      </c>
      <c r="E2191" t="inlineStr">
        <is>
          <t>VETLANDA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45695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1953-2025</t>
        </is>
      </c>
      <c r="B2193" s="1" t="n">
        <v>45672</v>
      </c>
      <c r="C2193" s="1" t="n">
        <v>45695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  <c r="U2193">
        <f>HYPERLINK("https://klasma.github.io/Logging_0685/knärot/A 1953-2025 karta knärot.png", "A 1953-2025")</f>
        <v/>
      </c>
      <c r="V2193">
        <f>HYPERLINK("https://klasma.github.io/Logging_0685/klagomål/A 1953-2025 FSC-klagomål.docx", "A 1953-2025")</f>
        <v/>
      </c>
      <c r="W2193">
        <f>HYPERLINK("https://klasma.github.io/Logging_0685/klagomålsmail/A 1953-2025 FSC-klagomål mail.docx", "A 1953-2025")</f>
        <v/>
      </c>
      <c r="X2193">
        <f>HYPERLINK("https://klasma.github.io/Logging_0685/tillsyn/A 1953-2025 tillsynsbegäran.docx", "A 1953-2025")</f>
        <v/>
      </c>
      <c r="Y2193">
        <f>HYPERLINK("https://klasma.github.io/Logging_0685/tillsynsmail/A 1953-2025 tillsynsbegäran mail.docx", "A 1953-2025")</f>
        <v/>
      </c>
    </row>
    <row r="2194" ht="15" customHeight="1">
      <c r="A2194" t="inlineStr">
        <is>
          <t>A 1960-2025</t>
        </is>
      </c>
      <c r="B2194" s="1" t="n">
        <v>45672</v>
      </c>
      <c r="C2194" s="1" t="n">
        <v>45695</v>
      </c>
      <c r="D2194" t="inlineStr">
        <is>
          <t>JÖNKÖPINGS LÄN</t>
        </is>
      </c>
      <c r="E2194" t="inlineStr">
        <is>
          <t>VETLANDA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2205-2025</t>
        </is>
      </c>
      <c r="B2195" s="1" t="n">
        <v>45673</v>
      </c>
      <c r="C2195" s="1" t="n">
        <v>45695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2221-2025</t>
        </is>
      </c>
      <c r="B2196" s="1" t="n">
        <v>45673</v>
      </c>
      <c r="C2196" s="1" t="n">
        <v>45695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2370-2025</t>
        </is>
      </c>
      <c r="B2197" s="1" t="n">
        <v>45673</v>
      </c>
      <c r="C2197" s="1" t="n">
        <v>45695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2369-2025</t>
        </is>
      </c>
      <c r="B2198" s="1" t="n">
        <v>45673</v>
      </c>
      <c r="C2198" s="1" t="n">
        <v>45695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2368-2025</t>
        </is>
      </c>
      <c r="B2199" s="1" t="n">
        <v>45673</v>
      </c>
      <c r="C2199" s="1" t="n">
        <v>45695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2386-2025</t>
        </is>
      </c>
      <c r="B2200" s="1" t="n">
        <v>45674</v>
      </c>
      <c r="C2200" s="1" t="n">
        <v>45695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2497-2025</t>
        </is>
      </c>
      <c r="B2201" s="1" t="n">
        <v>45674</v>
      </c>
      <c r="C2201" s="1" t="n">
        <v>45695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2459-2025</t>
        </is>
      </c>
      <c r="B2202" s="1" t="n">
        <v>45674</v>
      </c>
      <c r="C2202" s="1" t="n">
        <v>45695</v>
      </c>
      <c r="D2202" t="inlineStr">
        <is>
          <t>JÖNKÖPINGS LÄN</t>
        </is>
      </c>
      <c r="E2202" t="inlineStr">
        <is>
          <t>VETLANDA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45695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45695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2810-2025</t>
        </is>
      </c>
      <c r="B2205" s="1" t="n">
        <v>45677</v>
      </c>
      <c r="C2205" s="1" t="n">
        <v>45695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2812-2025</t>
        </is>
      </c>
      <c r="B2206" s="1" t="n">
        <v>45677</v>
      </c>
      <c r="C2206" s="1" t="n">
        <v>45695</v>
      </c>
      <c r="D2206" t="inlineStr">
        <is>
          <t>JÖNKÖPINGS LÄN</t>
        </is>
      </c>
      <c r="E2206" t="inlineStr">
        <is>
          <t>VETLANDA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45695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2977-2025</t>
        </is>
      </c>
      <c r="B2208" s="1" t="n">
        <v>45678</v>
      </c>
      <c r="C2208" s="1" t="n">
        <v>45695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45695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3621-2025</t>
        </is>
      </c>
      <c r="B2210" s="1" t="n">
        <v>45681</v>
      </c>
      <c r="C2210" s="1" t="n">
        <v>45695</v>
      </c>
      <c r="D2210" t="inlineStr">
        <is>
          <t>JÖNKÖPINGS LÄN</t>
        </is>
      </c>
      <c r="E2210" t="inlineStr">
        <is>
          <t>VETLANDA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3625-2025</t>
        </is>
      </c>
      <c r="B2211" s="1" t="n">
        <v>45681</v>
      </c>
      <c r="C2211" s="1" t="n">
        <v>45695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3633-2025</t>
        </is>
      </c>
      <c r="B2212" s="1" t="n">
        <v>45681</v>
      </c>
      <c r="C2212" s="1" t="n">
        <v>45695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3683-2025</t>
        </is>
      </c>
      <c r="B2213" s="1" t="n">
        <v>45681</v>
      </c>
      <c r="C2213" s="1" t="n">
        <v>45695</v>
      </c>
      <c r="D2213" t="inlineStr">
        <is>
          <t>JÖNKÖPINGS LÄN</t>
        </is>
      </c>
      <c r="E2213" t="inlineStr">
        <is>
          <t>VETLANDA</t>
        </is>
      </c>
      <c r="G2213" t="n">
        <v>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3624-2025</t>
        </is>
      </c>
      <c r="B2214" s="1" t="n">
        <v>45681</v>
      </c>
      <c r="C2214" s="1" t="n">
        <v>45695</v>
      </c>
      <c r="D2214" t="inlineStr">
        <is>
          <t>JÖNKÖPINGS LÄN</t>
        </is>
      </c>
      <c r="E2214" t="inlineStr">
        <is>
          <t>VETLANDA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3854-2025</t>
        </is>
      </c>
      <c r="B2215" s="1" t="n">
        <v>45684</v>
      </c>
      <c r="C2215" s="1" t="n">
        <v>45695</v>
      </c>
      <c r="D2215" t="inlineStr">
        <is>
          <t>JÖNKÖPINGS LÄN</t>
        </is>
      </c>
      <c r="E2215" t="inlineStr">
        <is>
          <t>VETLANDA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4061-2025</t>
        </is>
      </c>
      <c r="B2216" s="1" t="n">
        <v>45684</v>
      </c>
      <c r="C2216" s="1" t="n">
        <v>45695</v>
      </c>
      <c r="D2216" t="inlineStr">
        <is>
          <t>JÖNKÖPINGS LÄN</t>
        </is>
      </c>
      <c r="E2216" t="inlineStr">
        <is>
          <t>VETLANDA</t>
        </is>
      </c>
      <c r="F2216" t="inlineStr">
        <is>
          <t>Sveaskog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4066-2025</t>
        </is>
      </c>
      <c r="B2217" s="1" t="n">
        <v>45684</v>
      </c>
      <c r="C2217" s="1" t="n">
        <v>45695</v>
      </c>
      <c r="D2217" t="inlineStr">
        <is>
          <t>JÖNKÖPINGS LÄN</t>
        </is>
      </c>
      <c r="E2217" t="inlineStr">
        <is>
          <t>VETLANDA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4070-2025</t>
        </is>
      </c>
      <c r="B2218" s="1" t="n">
        <v>45684</v>
      </c>
      <c r="C2218" s="1" t="n">
        <v>45695</v>
      </c>
      <c r="D2218" t="inlineStr">
        <is>
          <t>JÖNKÖPINGS LÄN</t>
        </is>
      </c>
      <c r="E2218" t="inlineStr">
        <is>
          <t>VETLANDA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45695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45695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45695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5041-2025</t>
        </is>
      </c>
      <c r="B2222" s="1" t="n">
        <v>45691</v>
      </c>
      <c r="C2222" s="1" t="n">
        <v>45695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5150-2025</t>
        </is>
      </c>
      <c r="B2223" s="1" t="n">
        <v>45691</v>
      </c>
      <c r="C2223" s="1" t="n">
        <v>45695</v>
      </c>
      <c r="D2223" t="inlineStr">
        <is>
          <t>JÖNKÖPINGS LÄN</t>
        </is>
      </c>
      <c r="E2223" t="inlineStr">
        <is>
          <t>VETLANDA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5163-2025</t>
        </is>
      </c>
      <c r="B2224" s="1" t="n">
        <v>45691</v>
      </c>
      <c r="C2224" s="1" t="n">
        <v>45695</v>
      </c>
      <c r="D2224" t="inlineStr">
        <is>
          <t>JÖNKÖPINGS LÄN</t>
        </is>
      </c>
      <c r="E2224" t="inlineStr">
        <is>
          <t>VETLANDA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5194-2025</t>
        </is>
      </c>
      <c r="B2225" s="1" t="n">
        <v>45691</v>
      </c>
      <c r="C2225" s="1" t="n">
        <v>45695</v>
      </c>
      <c r="D2225" t="inlineStr">
        <is>
          <t>JÖNKÖPINGS LÄN</t>
        </is>
      </c>
      <c r="E2225" t="inlineStr">
        <is>
          <t>VETLANDA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5148-2025</t>
        </is>
      </c>
      <c r="B2226" s="1" t="n">
        <v>45691</v>
      </c>
      <c r="C2226" s="1" t="n">
        <v>45695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5144-2025</t>
        </is>
      </c>
      <c r="B2227" s="1" t="n">
        <v>45691</v>
      </c>
      <c r="C2227" s="1" t="n">
        <v>45695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5136-2025</t>
        </is>
      </c>
      <c r="B2228" s="1" t="n">
        <v>45691</v>
      </c>
      <c r="C2228" s="1" t="n">
        <v>45695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5199-2025</t>
        </is>
      </c>
      <c r="B2229" s="1" t="n">
        <v>45691</v>
      </c>
      <c r="C2229" s="1" t="n">
        <v>45695</v>
      </c>
      <c r="D2229" t="inlineStr">
        <is>
          <t>JÖNKÖPINGS LÄN</t>
        </is>
      </c>
      <c r="E2229" t="inlineStr">
        <is>
          <t>VETLANDA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5379-2025</t>
        </is>
      </c>
      <c r="B2230" s="1" t="n">
        <v>45692</v>
      </c>
      <c r="C2230" s="1" t="n">
        <v>45695</v>
      </c>
      <c r="D2230" t="inlineStr">
        <is>
          <t>JÖNKÖPINGS LÄN</t>
        </is>
      </c>
      <c r="E2230" t="inlineStr">
        <is>
          <t>VETLANDA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5277-2025</t>
        </is>
      </c>
      <c r="B2231" s="1" t="n">
        <v>45692</v>
      </c>
      <c r="C2231" s="1" t="n">
        <v>45695</v>
      </c>
      <c r="D2231" t="inlineStr">
        <is>
          <t>JÖNKÖPINGS LÄN</t>
        </is>
      </c>
      <c r="E2231" t="inlineStr">
        <is>
          <t>VETLANDA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5365-2025</t>
        </is>
      </c>
      <c r="B2232" s="1" t="n">
        <v>45692</v>
      </c>
      <c r="C2232" s="1" t="n">
        <v>45695</v>
      </c>
      <c r="D2232" t="inlineStr">
        <is>
          <t>JÖNKÖPINGS LÄN</t>
        </is>
      </c>
      <c r="E2232" t="inlineStr">
        <is>
          <t>VETLANDA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5396-2025</t>
        </is>
      </c>
      <c r="B2233" s="1" t="n">
        <v>45692</v>
      </c>
      <c r="C2233" s="1" t="n">
        <v>45695</v>
      </c>
      <c r="D2233" t="inlineStr">
        <is>
          <t>JÖNKÖPINGS LÄN</t>
        </is>
      </c>
      <c r="E2233" t="inlineStr">
        <is>
          <t>VETLANDA</t>
        </is>
      </c>
      <c r="G2233" t="n">
        <v>6.5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5499-2025</t>
        </is>
      </c>
      <c r="B2234" s="1" t="n">
        <v>45693</v>
      </c>
      <c r="C2234" s="1" t="n">
        <v>45695</v>
      </c>
      <c r="D2234" t="inlineStr">
        <is>
          <t>JÖNKÖPINGS LÄN</t>
        </is>
      </c>
      <c r="E2234" t="inlineStr">
        <is>
          <t>VETLANDA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>
      <c r="A2235" t="inlineStr">
        <is>
          <t>A 5492-2025</t>
        </is>
      </c>
      <c r="B2235" s="1" t="n">
        <v>45693</v>
      </c>
      <c r="C2235" s="1" t="n">
        <v>45695</v>
      </c>
      <c r="D2235" t="inlineStr">
        <is>
          <t>JÖNKÖPINGS LÄN</t>
        </is>
      </c>
      <c r="E2235" t="inlineStr">
        <is>
          <t>VETLANDA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2025-02-07T16:13:24Z</dcterms:created>
  <dcterms:modified xmlns:dcterms="http://purl.org/dc/terms/" xmlns:xsi="http://www.w3.org/2001/XMLSchema-instance" xsi:type="dcterms:W3CDTF">2025-02-07T16:13:25Z</dcterms:modified>
</cp:coreProperties>
</file>