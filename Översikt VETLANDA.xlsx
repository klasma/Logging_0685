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45690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45690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45690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45690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45690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45690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45690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45690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45690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45690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45690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45690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45690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45690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45690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45690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45690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45690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45690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45690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45690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45690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45690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45690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45690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45690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45690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45690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45690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45690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45690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45690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45690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45690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45690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45690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45690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45690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45690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45690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45690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45690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45690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45690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45690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45690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45690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45690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45690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45690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45690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45690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45690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45690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45690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45690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45690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45690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45690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45690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45690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45690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45690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45690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45690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45690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45690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45690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45690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45690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45690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45690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45690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45690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45690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45690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45690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45690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45690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45690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45690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45690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45690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45690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45690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45690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45690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45690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45690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45690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45690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45690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45690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45690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45690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45690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45690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45690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45690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45690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45690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45690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45690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45690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45690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45690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45690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45690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45690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45690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45690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45690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45690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45690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45690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45690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45690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45690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45690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45690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45690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45690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45690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45690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45690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45690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45690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45690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45690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45690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45690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45690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45690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45690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45690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45690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45690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45690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45690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45690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45690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45690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45690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45690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45690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45690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45690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45690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45690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45690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45690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45690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45690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45690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45690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45690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45690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45690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45690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45690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45690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45690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45690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45690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45690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45690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45690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45690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45690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45690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45690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45690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45690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45690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45690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45690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45690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45690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45690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45690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45690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45690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45690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45690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45690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45690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45690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45690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45690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45690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45690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45690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45690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45690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45690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45690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45690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45690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45690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45690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45690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45690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45690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45690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45690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45690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45690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45690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45690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45690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45690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45690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45690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45690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45690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45690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45690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45690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45690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45690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45690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45690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45690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45690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45690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45690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45690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45690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45690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45690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45690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45690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45690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45690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45690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45690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45690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45690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45690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45690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45690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45690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45690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45690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45690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45690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45690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45690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45690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45690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45690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45690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45690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45690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45690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45690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45690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45690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45690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45690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45690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45690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45690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45690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45690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45690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45690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45690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45690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45690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45690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45690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45690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45690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45690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45690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45690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45690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45690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45690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45690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45690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45690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45690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45690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45690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45690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45690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45690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45690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45690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45690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45690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45690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45690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45690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45690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45690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45690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45690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45690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45690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45690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45690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45690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45690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45690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45690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45690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45690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45690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45690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45690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45690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45690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45690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45690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45690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45690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45690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45690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45690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45690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45690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45690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45690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45690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45690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45690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45690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45690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45690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45690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45690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45690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45690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45690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45690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45690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45690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45690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45690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45690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45690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45690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45690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45690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45690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45690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45690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45690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45690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45690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45690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45690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45690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45690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45690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45690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45690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45690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45690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45690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45690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45690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45690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45690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45690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45690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45690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45690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45690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45690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45690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45690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45690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45690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45690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45690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45690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45690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45690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45690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45690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45690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45690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45690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45690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45690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45690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45690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45690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45690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45690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45690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45690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45690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45690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45690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45690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45690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45690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45690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45690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45690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45690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45690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45690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45690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45690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45690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45690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45690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45690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45690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45690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45690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45690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45690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45690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45690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45690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45690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45690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45690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45690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45690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45690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45690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45690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45690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45690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45690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45690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45690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45690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45690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45690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45690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45690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45690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45690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45690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45690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45690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45690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45690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45690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45690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45690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45690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45690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45690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45690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45690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45690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45690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45690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45690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45690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45690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45690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45690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45690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45690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45690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45690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45690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45690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45690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45690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45690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45690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45690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45690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45690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45690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45690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45690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45690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45690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45690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45690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45690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45690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45690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45690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45690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45690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45690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45690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45690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45690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45690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45690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45690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45690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45690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45690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45690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45690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45690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45690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45690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45690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45690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45690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45690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45690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45690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45690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45690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45690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45690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45690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45690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45690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45690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45690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45690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45690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45690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45690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45690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45690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45690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45690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45690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45690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45690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45690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45690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45690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45690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45690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45690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45690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45690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45690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45690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45690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45690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45690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45690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45690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45690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45690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45690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45690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45690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45690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45690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45690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45690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45690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45690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45690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45690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45690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45690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45690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45690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45690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45690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45690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45690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45690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45690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45690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45690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45690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45690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45690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45690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45690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45690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45690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45690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45690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45690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45690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45690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45690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45690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45690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45690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45690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45690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45690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45690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45690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45690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45690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45690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45690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45690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45690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45690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45690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45690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45690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45690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45690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45690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45690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45690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45690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45690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45690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45690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45690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45690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45690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45690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45690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45690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45690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45690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45690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45690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45690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45690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45690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45690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45690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45690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45690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45690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45690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45690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45690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45690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45690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45690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45690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45690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45690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45690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45690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45690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45690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45690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45690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45690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45690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45690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45690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45690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45690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45690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45690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45690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45690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45690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45690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45690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45690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45690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45690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45690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45690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45690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45690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45690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45690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45690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45690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45690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45690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45690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45690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45690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45690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45690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45690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45690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45690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45690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45690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45690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45690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45690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45690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45690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45690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45690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45690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45690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45690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45690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45690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45690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45690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45690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45690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45690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45690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45690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45690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45690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45690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45690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45690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45690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45690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45690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45690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45690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45690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45690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45690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45690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45690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45690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45690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45690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45690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45690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45690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45690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45690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45690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45690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45690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45690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45690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45690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45690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45690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45690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45690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45690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45690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45690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45690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45690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45690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45690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45690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45690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45690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45690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45690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45690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45690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45690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45690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45690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45690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45690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45690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45690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45690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45690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45690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45690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45690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45690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45690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45690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45690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45690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45690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45690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45690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45690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45690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45690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45690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45690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45690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45690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45690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45690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45690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45690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45690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45690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45690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45690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45690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45690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45690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45690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45690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45690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45690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45690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45690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45690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45690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45690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45690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45690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45690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45690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45690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45690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45690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45690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45690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45690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45690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45690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45690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45690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45690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45690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45690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45690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45690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45690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45690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45690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45690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45690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45690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45690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45690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45690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45690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45690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45690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45690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45690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45690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45690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45690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45690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45690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45690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45690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45690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45690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45690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45690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45690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45690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45690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45690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45690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45690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45690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45690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45690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45690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45690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45690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45690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45690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45690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45690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45690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45690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45690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45690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45690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45690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45690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45690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45690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45690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45690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45690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45690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45690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45690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45690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45690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45690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45690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45690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45690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45690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45690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45690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45690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45690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45690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45690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45690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45690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45690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45690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45690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45690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45690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45690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45690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45690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45690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45690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45690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45690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45690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45690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45690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45690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45690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45690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45690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45690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45690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45690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45690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45690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45690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45690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45690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45690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45690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45690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45690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45690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45690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45690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45690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45690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45690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45690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45690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45690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45690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45690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45690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45690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45690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45690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45690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45690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45690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45690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45690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45690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45690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45690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45690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45690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45690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45690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45690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45690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45690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45690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45690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45690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45690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45690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45690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45690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45690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45690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45690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45690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45690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45690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45690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45690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45690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45690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45690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45690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45690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45690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45690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45690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45690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45690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45690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45690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45690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45690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45690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45690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45690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45690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45690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45690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45690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45690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45690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45690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45690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45690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45690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45690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45690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45690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45690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45690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45690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45690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45690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45690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45690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45690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45690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45690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45690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45690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45690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45690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45690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45690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45690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45690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45690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45690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45690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45690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45690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45690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45690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45690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45690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45690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45690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45690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45690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45690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45690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45690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45690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45690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45690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45690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45690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45690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45690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45690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45690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45690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45690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45690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45690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45690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45690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45690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45690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45690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45690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45690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45690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45690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45690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45690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45690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45690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45690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45690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45690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45690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45690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45690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45690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45690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45690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45690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45690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45690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45690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45690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45690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45690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45690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45690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45690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45690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45690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45690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45690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45690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45690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45690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45690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45690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45690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45690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45690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45690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45690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45690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45690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45690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45690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45690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45690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45690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45690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45690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45690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45690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45690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45690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45690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45690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45690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45690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45690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45690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45690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45690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45690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45690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45690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45690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45690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45690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45690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45690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45690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45690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45690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45690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45690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45690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45690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45690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45690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45690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45690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45690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45690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45690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45690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45690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45690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45690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45690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45690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45690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45690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45690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45690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45690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45690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45690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45690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45690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45690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45690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45690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45690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45690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45690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45690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45690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45690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45690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45690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45690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45690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45690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45690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45690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45690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45690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45690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45690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45690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45690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45690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45690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45690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45690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45690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45690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45690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45690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45690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45690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45690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45690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45690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45690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45690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45690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45690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45690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45690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45690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45690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45690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45690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45690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45690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45690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45690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45690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45690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45690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45690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45690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45690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45690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45690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45690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45690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45690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45690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45690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45690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45690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45690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45690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45690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45690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45690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45690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45690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45690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45690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45690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45690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45690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45690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45690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45690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45690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45690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45690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45690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45690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45690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45690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45690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45690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45690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45690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45690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45690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45690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45690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45690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45690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45690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45690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45690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45690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45690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45690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45690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45690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45690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45690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45690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45690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45690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45690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45690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45690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45690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45690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45690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45690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45690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45690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45690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45690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45690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45690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45690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45690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45690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45690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45690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45690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45690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45690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45690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45690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45690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45690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45690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45690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45690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45690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45690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45690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45690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45690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45690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45690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45690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45690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45690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45690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45690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45690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45690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45690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45690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45690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45690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45690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45690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45690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45690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45690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45690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45690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45690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45690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45690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45690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45690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45690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45690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45690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45690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45690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45690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45690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45690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45690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45690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45690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45690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45690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45690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45690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45690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45690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45690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45690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45690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45690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45690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45690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45690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45690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45690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45690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45690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45690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45690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45690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45690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45690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45690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45690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45690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45690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45690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45690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45690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45690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45690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45690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45690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45690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45690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45690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45690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45690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45690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45690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45690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45690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45690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45690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45690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45690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45690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45690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45690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45690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45690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45690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45690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45690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45690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45690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45690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45690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45690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45690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45690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45690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45690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45690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45690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45690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45690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45690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45690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45690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45690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45690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45690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45690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45690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45690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45690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45690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45690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45690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45690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45690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45690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45690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45690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45690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45690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45690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45690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45690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45690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45690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45690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45690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45690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45690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45690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45690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45690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45690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45690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45690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45690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45690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45690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45690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45690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45690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45690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45690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45690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45690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45690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45690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45690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45690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45690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45690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45690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45690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45690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45690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45690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45690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45690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45690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45690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45690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45690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45690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45690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45690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45690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45690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45690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45690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45690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45690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45690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45690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45690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45690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45690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45690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45690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45690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45690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45690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45690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45690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45690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45690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45690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45690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45690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45690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45690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45690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45690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45690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45690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45690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45690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45690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45690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45690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45690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45690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45690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45690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45690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45690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45690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45690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45690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45690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45690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45690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45690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45690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45690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45690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45690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45690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45690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45690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45690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45690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45690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45690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45690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45690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45690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45690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45690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45690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45690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45690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45690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45690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45690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45690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45690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45690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45690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45690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45690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45690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45690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45690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45690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45690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45690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45690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45690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45690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45690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45690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45690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45690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45690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45690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45690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45690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45690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45690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45690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45690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45690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45690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45690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45690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45690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45690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45690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45690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45690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45690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45690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45690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45690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45690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45690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45690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45690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45690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45690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45690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45690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45690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45690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45690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45690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45690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45690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45690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45690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45690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45690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45690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45690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45690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45690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45690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45690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45690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45690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45690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45690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45690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45690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45690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45690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45690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45690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45690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45690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45690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45690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45690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45690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45690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45690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45690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45690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45690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45690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45690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45690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45690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45690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45690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45690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45690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45690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45690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45690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45690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45690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45690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45690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45690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45690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45690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45690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45690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45690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45690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45690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45690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45690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45690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45690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45690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45690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45690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45690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45690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45690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45690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45690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45690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45690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45690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45690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45690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45690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45690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45690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45690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45690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45690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45690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45690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45690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45690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45690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45690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45690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45690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45690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45690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45690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45690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45690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45690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45690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45690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45690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45690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45690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45690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45690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45690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45690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45690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45690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45690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45690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45690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45690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45690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45690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45690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45690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45690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45690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45690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45690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45690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45690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45690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45690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45690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45690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45690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45690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45690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45690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45690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45690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45690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45690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45690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45690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45690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45690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45690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45690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45690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45690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45690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45690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45690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45690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45690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45690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45690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45690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45690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45690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45690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45690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45690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45690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45690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45690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45690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45690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45690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45690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45690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45690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45690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45690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45690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45690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45690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45690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45690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45690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45690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45690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45690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45690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45690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45690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45690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45690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45690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45690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45690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45690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45690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45690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45690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45690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45690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45690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45690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45690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45690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45690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45690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45690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45690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45690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45690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45690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45690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45690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45690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45690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45690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45690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45690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45690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45690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45690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45690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45690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45690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45690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45690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45690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45690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45690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45690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45690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45690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45690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45690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45690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45690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45690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45690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45690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45690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45690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45690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45690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45690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45690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45690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45690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45690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45690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45690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45690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45690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45690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45690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45690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45690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45690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45690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45690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45690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45690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45690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45690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45690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45690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45690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45690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45690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45690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45690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45690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45690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45690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45690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45690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45690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45690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45690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45690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45690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45690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45690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45690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45690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45690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45690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45690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45690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45690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45690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45690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45690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45690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45690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45690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45690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45690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1953-2025</t>
        </is>
      </c>
      <c r="B2189" s="1" t="n">
        <v>45672</v>
      </c>
      <c r="C2189" s="1" t="n">
        <v>45690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  <c r="U2189">
        <f>HYPERLINK("https://klasma.github.io/Logging_0685/knärot/A 1953-2025 karta knärot.png", "A 1953-2025")</f>
        <v/>
      </c>
      <c r="V2189">
        <f>HYPERLINK("https://klasma.github.io/Logging_0685/klagomål/A 1953-2025 FSC-klagomål.docx", "A 1953-2025")</f>
        <v/>
      </c>
      <c r="W2189">
        <f>HYPERLINK("https://klasma.github.io/Logging_0685/klagomålsmail/A 1953-2025 FSC-klagomål mail.docx", "A 1953-2025")</f>
        <v/>
      </c>
      <c r="X2189">
        <f>HYPERLINK("https://klasma.github.io/Logging_0685/tillsyn/A 1953-2025 tillsynsbegäran.docx", "A 1953-2025")</f>
        <v/>
      </c>
      <c r="Y2189">
        <f>HYPERLINK("https://klasma.github.io/Logging_0685/tillsynsmail/A 1953-2025 tillsynsbegäran mail.docx", "A 1953-2025")</f>
        <v/>
      </c>
    </row>
    <row r="2190" ht="15" customHeight="1">
      <c r="A2190" t="inlineStr">
        <is>
          <t>A 1960-2025</t>
        </is>
      </c>
      <c r="B2190" s="1" t="n">
        <v>45672</v>
      </c>
      <c r="C2190" s="1" t="n">
        <v>45690</v>
      </c>
      <c r="D2190" t="inlineStr">
        <is>
          <t>JÖNKÖPINGS LÄN</t>
        </is>
      </c>
      <c r="E2190" t="inlineStr">
        <is>
          <t>VETLANDA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1950-2025</t>
        </is>
      </c>
      <c r="B2191" s="1" t="n">
        <v>45672</v>
      </c>
      <c r="C2191" s="1" t="n">
        <v>45690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1947-2025</t>
        </is>
      </c>
      <c r="B2192" s="1" t="n">
        <v>45672</v>
      </c>
      <c r="C2192" s="1" t="n">
        <v>45690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45690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45690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45690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45690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45690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2369-2025</t>
        </is>
      </c>
      <c r="B2198" s="1" t="n">
        <v>45673</v>
      </c>
      <c r="C2198" s="1" t="n">
        <v>45690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45690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45690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45690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45690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2386-2025</t>
        </is>
      </c>
      <c r="B2203" s="1" t="n">
        <v>45674</v>
      </c>
      <c r="C2203" s="1" t="n">
        <v>45690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45690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45690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2812-2025</t>
        </is>
      </c>
      <c r="B2206" s="1" t="n">
        <v>45677</v>
      </c>
      <c r="C2206" s="1" t="n">
        <v>45690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45690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45690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45690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45690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45690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45690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3624-2025</t>
        </is>
      </c>
      <c r="B2213" s="1" t="n">
        <v>45681</v>
      </c>
      <c r="C2213" s="1" t="n">
        <v>45690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45690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3811-2025</t>
        </is>
      </c>
      <c r="B2215" s="1" t="n">
        <v>45681</v>
      </c>
      <c r="C2215" s="1" t="n">
        <v>45690</v>
      </c>
      <c r="D2215" t="inlineStr">
        <is>
          <t>JÖNKÖPINGS LÄN</t>
        </is>
      </c>
      <c r="E2215" t="inlineStr">
        <is>
          <t>VETLANDA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45690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4066-2025</t>
        </is>
      </c>
      <c r="B2217" s="1" t="n">
        <v>45684</v>
      </c>
      <c r="C2217" s="1" t="n">
        <v>45690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4070-2025</t>
        </is>
      </c>
      <c r="B2218" s="1" t="n">
        <v>45684</v>
      </c>
      <c r="C2218" s="1" t="n">
        <v>45690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4061-2025</t>
        </is>
      </c>
      <c r="B2219" s="1" t="n">
        <v>45684</v>
      </c>
      <c r="C2219" s="1" t="n">
        <v>45690</v>
      </c>
      <c r="D2219" t="inlineStr">
        <is>
          <t>JÖNKÖPINGS LÄN</t>
        </is>
      </c>
      <c r="E2219" t="inlineStr">
        <is>
          <t>VETLANDA</t>
        </is>
      </c>
      <c r="F2219" t="inlineStr">
        <is>
          <t>Sveaskog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4064-2025</t>
        </is>
      </c>
      <c r="B2220" s="1" t="n">
        <v>45684</v>
      </c>
      <c r="C2220" s="1" t="n">
        <v>45690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4068-2025</t>
        </is>
      </c>
      <c r="B2221" s="1" t="n">
        <v>45684</v>
      </c>
      <c r="C2221" s="1" t="n">
        <v>45690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>
      <c r="A2222" t="inlineStr">
        <is>
          <t>A 4652-2025</t>
        </is>
      </c>
      <c r="B2222" s="1" t="n">
        <v>45687</v>
      </c>
      <c r="C2222" s="1" t="n">
        <v>45690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2025-02-02T16:31:59Z</dcterms:created>
  <dcterms:modified xmlns:dcterms="http://purl.org/dc/terms/" xmlns:xsi="http://www.w3.org/2001/XMLSchema-instance" xsi:type="dcterms:W3CDTF">2025-02-02T16:32:01Z</dcterms:modified>
</cp:coreProperties>
</file>