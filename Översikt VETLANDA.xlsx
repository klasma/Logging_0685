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45587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45587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45587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45587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45587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45587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45587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45587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45587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45587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45587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45587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45587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45587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45587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45587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20306-2019</t>
        </is>
      </c>
      <c r="B55" s="1" t="n">
        <v>43571</v>
      </c>
      <c r="C55" s="1" t="n">
        <v>45587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HYPERLINK("https://klasma.github.io/Logging_0685/artfynd/A 20306-2019 artfynd.xlsx", "A 20306-2019")</f>
        <v/>
      </c>
      <c r="T55">
        <f>HYPERLINK("https://klasma.github.io/Logging_0685/kartor/A 20306-2019 karta.png", "A 20306-2019")</f>
        <v/>
      </c>
      <c r="V55">
        <f>HYPERLINK("https://klasma.github.io/Logging_0685/klagomål/A 20306-2019 FSC-klagomål.docx", "A 20306-2019")</f>
        <v/>
      </c>
      <c r="W55">
        <f>HYPERLINK("https://klasma.github.io/Logging_0685/klagomålsmail/A 20306-2019 FSC-klagomål mail.docx", "A 20306-2019")</f>
        <v/>
      </c>
      <c r="X55">
        <f>HYPERLINK("https://klasma.github.io/Logging_0685/tillsyn/A 20306-2019 tillsynsbegäran.docx", "A 20306-2019")</f>
        <v/>
      </c>
      <c r="Y55">
        <f>HYPERLINK("https://klasma.github.io/Logging_0685/tillsynsmail/A 20306-2019 tillsynsbegäran mail.docx", "A 20306-2019")</f>
        <v/>
      </c>
    </row>
    <row r="56" ht="15" customHeight="1">
      <c r="A56" t="inlineStr">
        <is>
          <t>A 20308-2019</t>
        </is>
      </c>
      <c r="B56" s="1" t="n">
        <v>43571</v>
      </c>
      <c r="C56" s="1" t="n">
        <v>45587</v>
      </c>
      <c r="D56" t="inlineStr">
        <is>
          <t>JÖNKÖPINGS LÄN</t>
        </is>
      </c>
      <c r="E56" t="inlineStr">
        <is>
          <t>VETLANDA</t>
        </is>
      </c>
      <c r="G56" t="n">
        <v>7.1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20308-2019 artfynd.xlsx", "A 20308-2019")</f>
        <v/>
      </c>
      <c r="T56">
        <f>HYPERLINK("https://klasma.github.io/Logging_0685/kartor/A 20308-2019 karta.png", "A 20308-2019")</f>
        <v/>
      </c>
      <c r="U56">
        <f>HYPERLINK("https://klasma.github.io/Logging_0685/knärot/A 20308-2019 karta knärot.png", "A 20308-2019")</f>
        <v/>
      </c>
      <c r="V56">
        <f>HYPERLINK("https://klasma.github.io/Logging_0685/klagomål/A 20308-2019 FSC-klagomål.docx", "A 20308-2019")</f>
        <v/>
      </c>
      <c r="W56">
        <f>HYPERLINK("https://klasma.github.io/Logging_0685/klagomålsmail/A 20308-2019 FSC-klagomål mail.docx", "A 20308-2019")</f>
        <v/>
      </c>
      <c r="X56">
        <f>HYPERLINK("https://klasma.github.io/Logging_0685/tillsyn/A 20308-2019 tillsynsbegäran.docx", "A 20308-2019")</f>
        <v/>
      </c>
      <c r="Y56">
        <f>HYPERLINK("https://klasma.github.io/Logging_0685/tillsynsmail/A 20308-2019 tillsynsbegäran mail.docx", "A 20308-2019")</f>
        <v/>
      </c>
    </row>
    <row r="57" ht="15" customHeight="1">
      <c r="A57" t="inlineStr">
        <is>
          <t>A 23988-2019</t>
        </is>
      </c>
      <c r="B57" s="1" t="n">
        <v>43595</v>
      </c>
      <c r="C57" s="1" t="n">
        <v>45587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23988-2019 artfynd.xlsx", "A 23988-2019")</f>
        <v/>
      </c>
      <c r="T57">
        <f>HYPERLINK("https://klasma.github.io/Logging_0685/kartor/A 23988-2019 karta.png", "A 23988-2019")</f>
        <v/>
      </c>
      <c r="V57">
        <f>HYPERLINK("https://klasma.github.io/Logging_0685/klagomål/A 23988-2019 FSC-klagomål.docx", "A 23988-2019")</f>
        <v/>
      </c>
      <c r="W57">
        <f>HYPERLINK("https://klasma.github.io/Logging_0685/klagomålsmail/A 23988-2019 FSC-klagomål mail.docx", "A 23988-2019")</f>
        <v/>
      </c>
      <c r="X57">
        <f>HYPERLINK("https://klasma.github.io/Logging_0685/tillsyn/A 23988-2019 tillsynsbegäran.docx", "A 23988-2019")</f>
        <v/>
      </c>
      <c r="Y57">
        <f>HYPERLINK("https://klasma.github.io/Logging_0685/tillsynsmail/A 23988-2019 tillsynsbegäran mail.docx", "A 23988-2019")</f>
        <v/>
      </c>
    </row>
    <row r="58" ht="15" customHeight="1">
      <c r="A58" t="inlineStr">
        <is>
          <t>A 25880-2019</t>
        </is>
      </c>
      <c r="B58" s="1" t="n">
        <v>43605</v>
      </c>
      <c r="C58" s="1" t="n">
        <v>45587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25880-2019 artfynd.xlsx", "A 25880-2019")</f>
        <v/>
      </c>
      <c r="T58">
        <f>HYPERLINK("https://klasma.github.io/Logging_0685/kartor/A 25880-2019 karta.png", "A 25880-2019")</f>
        <v/>
      </c>
      <c r="U58">
        <f>HYPERLINK("https://klasma.github.io/Logging_0685/knärot/A 25880-2019 karta knärot.png", "A 25880-2019")</f>
        <v/>
      </c>
      <c r="V58">
        <f>HYPERLINK("https://klasma.github.io/Logging_0685/klagomål/A 25880-2019 FSC-klagomål.docx", "A 25880-2019")</f>
        <v/>
      </c>
      <c r="W58">
        <f>HYPERLINK("https://klasma.github.io/Logging_0685/klagomålsmail/A 25880-2019 FSC-klagomål mail.docx", "A 25880-2019")</f>
        <v/>
      </c>
      <c r="X58">
        <f>HYPERLINK("https://klasma.github.io/Logging_0685/tillsyn/A 25880-2019 tillsynsbegäran.docx", "A 25880-2019")</f>
        <v/>
      </c>
      <c r="Y58">
        <f>HYPERLINK("https://klasma.github.io/Logging_0685/tillsynsmail/A 25880-2019 tillsynsbegäran mail.docx", "A 25880-2019")</f>
        <v/>
      </c>
    </row>
    <row r="59" ht="15" customHeight="1">
      <c r="A59" t="inlineStr">
        <is>
          <t>A 30971-2019</t>
        </is>
      </c>
      <c r="B59" s="1" t="n">
        <v>43639</v>
      </c>
      <c r="C59" s="1" t="n">
        <v>45587</v>
      </c>
      <c r="D59" t="inlineStr">
        <is>
          <t>JÖNKÖPINGS LÄN</t>
        </is>
      </c>
      <c r="E59" t="inlineStr">
        <is>
          <t>VETLANDA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HYPERLINK("https://klasma.github.io/Logging_0685/artfynd/A 30971-2019 artfynd.xlsx", "A 30971-2019")</f>
        <v/>
      </c>
      <c r="T59">
        <f>HYPERLINK("https://klasma.github.io/Logging_0685/kartor/A 30971-2019 karta.png", "A 30971-2019")</f>
        <v/>
      </c>
      <c r="V59">
        <f>HYPERLINK("https://klasma.github.io/Logging_0685/klagomål/A 30971-2019 FSC-klagomål.docx", "A 30971-2019")</f>
        <v/>
      </c>
      <c r="W59">
        <f>HYPERLINK("https://klasma.github.io/Logging_0685/klagomålsmail/A 30971-2019 FSC-klagomål mail.docx", "A 30971-2019")</f>
        <v/>
      </c>
      <c r="X59">
        <f>HYPERLINK("https://klasma.github.io/Logging_0685/tillsyn/A 30971-2019 tillsynsbegäran.docx", "A 30971-2019")</f>
        <v/>
      </c>
      <c r="Y59">
        <f>HYPERLINK("https://klasma.github.io/Logging_0685/tillsynsmail/A 30971-2019 tillsynsbegäran mail.docx", "A 30971-2019")</f>
        <v/>
      </c>
    </row>
    <row r="60" ht="15" customHeight="1">
      <c r="A60" t="inlineStr">
        <is>
          <t>A 45093-2019</t>
        </is>
      </c>
      <c r="B60" s="1" t="n">
        <v>43713</v>
      </c>
      <c r="C60" s="1" t="n">
        <v>45587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45093-2019 artfynd.xlsx", "A 45093-2019")</f>
        <v/>
      </c>
      <c r="T60">
        <f>HYPERLINK("https://klasma.github.io/Logging_0685/kartor/A 45093-2019 karta.png", "A 45093-2019")</f>
        <v/>
      </c>
      <c r="V60">
        <f>HYPERLINK("https://klasma.github.io/Logging_0685/klagomål/A 45093-2019 FSC-klagomål.docx", "A 45093-2019")</f>
        <v/>
      </c>
      <c r="W60">
        <f>HYPERLINK("https://klasma.github.io/Logging_0685/klagomålsmail/A 45093-2019 FSC-klagomål mail.docx", "A 45093-2019")</f>
        <v/>
      </c>
      <c r="X60">
        <f>HYPERLINK("https://klasma.github.io/Logging_0685/tillsyn/A 45093-2019 tillsynsbegäran.docx", "A 45093-2019")</f>
        <v/>
      </c>
      <c r="Y60">
        <f>HYPERLINK("https://klasma.github.io/Logging_0685/tillsynsmail/A 45093-2019 tillsynsbegäran mail.docx", "A 45093-2019")</f>
        <v/>
      </c>
    </row>
    <row r="61" ht="15" customHeight="1">
      <c r="A61" t="inlineStr">
        <is>
          <t>A 46208-2019</t>
        </is>
      </c>
      <c r="B61" s="1" t="n">
        <v>43718</v>
      </c>
      <c r="C61" s="1" t="n">
        <v>45587</v>
      </c>
      <c r="D61" t="inlineStr">
        <is>
          <t>JÖNKÖPINGS LÄN</t>
        </is>
      </c>
      <c r="E61" t="inlineStr">
        <is>
          <t>VETLANDA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HYPERLINK("https://klasma.github.io/Logging_0685/artfynd/A 46208-2019 artfynd.xlsx", "A 46208-2019")</f>
        <v/>
      </c>
      <c r="T61">
        <f>HYPERLINK("https://klasma.github.io/Logging_0685/kartor/A 46208-2019 karta.png", "A 46208-2019")</f>
        <v/>
      </c>
      <c r="V61">
        <f>HYPERLINK("https://klasma.github.io/Logging_0685/klagomål/A 46208-2019 FSC-klagomål.docx", "A 46208-2019")</f>
        <v/>
      </c>
      <c r="W61">
        <f>HYPERLINK("https://klasma.github.io/Logging_0685/klagomålsmail/A 46208-2019 FSC-klagomål mail.docx", "A 46208-2019")</f>
        <v/>
      </c>
      <c r="X61">
        <f>HYPERLINK("https://klasma.github.io/Logging_0685/tillsyn/A 46208-2019 tillsynsbegäran.docx", "A 46208-2019")</f>
        <v/>
      </c>
      <c r="Y61">
        <f>HYPERLINK("https://klasma.github.io/Logging_0685/tillsynsmail/A 46208-2019 tillsynsbegäran mail.docx", "A 46208-2019")</f>
        <v/>
      </c>
    </row>
    <row r="62" ht="15" customHeight="1">
      <c r="A62" t="inlineStr">
        <is>
          <t>A 53433-2019</t>
        </is>
      </c>
      <c r="B62" s="1" t="n">
        <v>43748</v>
      </c>
      <c r="C62" s="1" t="n">
        <v>45587</v>
      </c>
      <c r="D62" t="inlineStr">
        <is>
          <t>JÖNKÖPINGS LÄN</t>
        </is>
      </c>
      <c r="E62" t="inlineStr">
        <is>
          <t>VETLANDA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HYPERLINK("https://klasma.github.io/Logging_0685/artfynd/A 53433-2019 artfynd.xlsx", "A 53433-2019")</f>
        <v/>
      </c>
      <c r="T62">
        <f>HYPERLINK("https://klasma.github.io/Logging_0685/kartor/A 53433-2019 karta.png", "A 53433-2019")</f>
        <v/>
      </c>
      <c r="V62">
        <f>HYPERLINK("https://klasma.github.io/Logging_0685/klagomål/A 53433-2019 FSC-klagomål.docx", "A 53433-2019")</f>
        <v/>
      </c>
      <c r="W62">
        <f>HYPERLINK("https://klasma.github.io/Logging_0685/klagomålsmail/A 53433-2019 FSC-klagomål mail.docx", "A 53433-2019")</f>
        <v/>
      </c>
      <c r="X62">
        <f>HYPERLINK("https://klasma.github.io/Logging_0685/tillsyn/A 53433-2019 tillsynsbegäran.docx", "A 53433-2019")</f>
        <v/>
      </c>
      <c r="Y62">
        <f>HYPERLINK("https://klasma.github.io/Logging_0685/tillsynsmail/A 53433-2019 tillsynsbegäran mail.docx", "A 53433-2019")</f>
        <v/>
      </c>
    </row>
    <row r="63" ht="15" customHeight="1">
      <c r="A63" t="inlineStr">
        <is>
          <t>A 67950-2019</t>
        </is>
      </c>
      <c r="B63" s="1" t="n">
        <v>43811</v>
      </c>
      <c r="C63" s="1" t="n">
        <v>45587</v>
      </c>
      <c r="D63" t="inlineStr">
        <is>
          <t>JÖNKÖPINGS LÄN</t>
        </is>
      </c>
      <c r="E63" t="inlineStr">
        <is>
          <t>VETLANDA</t>
        </is>
      </c>
      <c r="G63" t="n">
        <v>10.9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67950-2019 artfynd.xlsx", "A 67950-2019")</f>
        <v/>
      </c>
      <c r="T63">
        <f>HYPERLINK("https://klasma.github.io/Logging_0685/kartor/A 67950-2019 karta.png", "A 67950-2019")</f>
        <v/>
      </c>
      <c r="U63">
        <f>HYPERLINK("https://klasma.github.io/Logging_0685/knärot/A 67950-2019 karta knärot.png", "A 67950-2019")</f>
        <v/>
      </c>
      <c r="V63">
        <f>HYPERLINK("https://klasma.github.io/Logging_0685/klagomål/A 67950-2019 FSC-klagomål.docx", "A 67950-2019")</f>
        <v/>
      </c>
      <c r="W63">
        <f>HYPERLINK("https://klasma.github.io/Logging_0685/klagomålsmail/A 67950-2019 FSC-klagomål mail.docx", "A 67950-2019")</f>
        <v/>
      </c>
      <c r="X63">
        <f>HYPERLINK("https://klasma.github.io/Logging_0685/tillsyn/A 67950-2019 tillsynsbegäran.docx", "A 67950-2019")</f>
        <v/>
      </c>
      <c r="Y63">
        <f>HYPERLINK("https://klasma.github.io/Logging_0685/tillsynsmail/A 67950-2019 tillsynsbegäran mail.docx", "A 67950-2019")</f>
        <v/>
      </c>
    </row>
    <row r="64" ht="15" customHeight="1">
      <c r="A64" t="inlineStr">
        <is>
          <t>A 18710-2020</t>
        </is>
      </c>
      <c r="B64" s="1" t="n">
        <v>43930</v>
      </c>
      <c r="C64" s="1" t="n">
        <v>45587</v>
      </c>
      <c r="D64" t="inlineStr">
        <is>
          <t>JÖNKÖPINGS LÄN</t>
        </is>
      </c>
      <c r="E64" t="inlineStr">
        <is>
          <t>VETLANDA</t>
        </is>
      </c>
      <c r="G64" t="n">
        <v>3.4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18710-2020 artfynd.xlsx", "A 18710-2020")</f>
        <v/>
      </c>
      <c r="T64">
        <f>HYPERLINK("https://klasma.github.io/Logging_0685/kartor/A 18710-2020 karta.png", "A 18710-2020")</f>
        <v/>
      </c>
      <c r="U64">
        <f>HYPERLINK("https://klasma.github.io/Logging_0685/knärot/A 18710-2020 karta knärot.png", "A 18710-2020")</f>
        <v/>
      </c>
      <c r="V64">
        <f>HYPERLINK("https://klasma.github.io/Logging_0685/klagomål/A 18710-2020 FSC-klagomål.docx", "A 18710-2020")</f>
        <v/>
      </c>
      <c r="W64">
        <f>HYPERLINK("https://klasma.github.io/Logging_0685/klagomålsmail/A 18710-2020 FSC-klagomål mail.docx", "A 18710-2020")</f>
        <v/>
      </c>
      <c r="X64">
        <f>HYPERLINK("https://klasma.github.io/Logging_0685/tillsyn/A 18710-2020 tillsynsbegäran.docx", "A 18710-2020")</f>
        <v/>
      </c>
      <c r="Y64">
        <f>HYPERLINK("https://klasma.github.io/Logging_0685/tillsynsmail/A 18710-2020 tillsynsbegäran mail.docx", "A 18710-2020")</f>
        <v/>
      </c>
    </row>
    <row r="65" ht="15" customHeight="1">
      <c r="A65" t="inlineStr">
        <is>
          <t>A 36801-2020</t>
        </is>
      </c>
      <c r="B65" s="1" t="n">
        <v>44053</v>
      </c>
      <c r="C65" s="1" t="n">
        <v>45587</v>
      </c>
      <c r="D65" t="inlineStr">
        <is>
          <t>JÖNKÖPINGS LÄN</t>
        </is>
      </c>
      <c r="E65" t="inlineStr">
        <is>
          <t>VETLANDA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36801-2020 artfynd.xlsx", "A 36801-2020")</f>
        <v/>
      </c>
      <c r="T65">
        <f>HYPERLINK("https://klasma.github.io/Logging_0685/kartor/A 36801-2020 karta.png", "A 36801-2020")</f>
        <v/>
      </c>
      <c r="V65">
        <f>HYPERLINK("https://klasma.github.io/Logging_0685/klagomål/A 36801-2020 FSC-klagomål.docx", "A 36801-2020")</f>
        <v/>
      </c>
      <c r="W65">
        <f>HYPERLINK("https://klasma.github.io/Logging_0685/klagomålsmail/A 36801-2020 FSC-klagomål mail.docx", "A 36801-2020")</f>
        <v/>
      </c>
      <c r="X65">
        <f>HYPERLINK("https://klasma.github.io/Logging_0685/tillsyn/A 36801-2020 tillsynsbegäran.docx", "A 36801-2020")</f>
        <v/>
      </c>
      <c r="Y65">
        <f>HYPERLINK("https://klasma.github.io/Logging_0685/tillsynsmail/A 36801-2020 tillsynsbegäran mail.docx", "A 36801-2020")</f>
        <v/>
      </c>
    </row>
    <row r="66" ht="15" customHeight="1">
      <c r="A66" t="inlineStr">
        <is>
          <t>A 39588-2020</t>
        </is>
      </c>
      <c r="B66" s="1" t="n">
        <v>44064</v>
      </c>
      <c r="C66" s="1" t="n">
        <v>45587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39588-2020 artfynd.xlsx", "A 39588-2020")</f>
        <v/>
      </c>
      <c r="T66">
        <f>HYPERLINK("https://klasma.github.io/Logging_0685/kartor/A 39588-2020 karta.png", "A 39588-2020")</f>
        <v/>
      </c>
      <c r="V66">
        <f>HYPERLINK("https://klasma.github.io/Logging_0685/klagomål/A 39588-2020 FSC-klagomål.docx", "A 39588-2020")</f>
        <v/>
      </c>
      <c r="W66">
        <f>HYPERLINK("https://klasma.github.io/Logging_0685/klagomålsmail/A 39588-2020 FSC-klagomål mail.docx", "A 39588-2020")</f>
        <v/>
      </c>
      <c r="X66">
        <f>HYPERLINK("https://klasma.github.io/Logging_0685/tillsyn/A 39588-2020 tillsynsbegäran.docx", "A 39588-2020")</f>
        <v/>
      </c>
      <c r="Y66">
        <f>HYPERLINK("https://klasma.github.io/Logging_0685/tillsynsmail/A 39588-2020 tillsynsbegäran mail.docx", "A 39588-2020")</f>
        <v/>
      </c>
    </row>
    <row r="67" ht="15" customHeight="1">
      <c r="A67" t="inlineStr">
        <is>
          <t>A 69070-2020</t>
        </is>
      </c>
      <c r="B67" s="1" t="n">
        <v>44187</v>
      </c>
      <c r="C67" s="1" t="n">
        <v>45587</v>
      </c>
      <c r="D67" t="inlineStr">
        <is>
          <t>JÖNKÖPINGS LÄN</t>
        </is>
      </c>
      <c r="E67" t="inlineStr">
        <is>
          <t>VETLANDA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Gropticka</t>
        </is>
      </c>
      <c r="S67">
        <f>HYPERLINK("https://klasma.github.io/Logging_0685/artfynd/A 69070-2020 artfynd.xlsx", "A 69070-2020")</f>
        <v/>
      </c>
      <c r="T67">
        <f>HYPERLINK("https://klasma.github.io/Logging_0685/kartor/A 69070-2020 karta.png", "A 69070-2020")</f>
        <v/>
      </c>
      <c r="V67">
        <f>HYPERLINK("https://klasma.github.io/Logging_0685/klagomål/A 69070-2020 FSC-klagomål.docx", "A 69070-2020")</f>
        <v/>
      </c>
      <c r="W67">
        <f>HYPERLINK("https://klasma.github.io/Logging_0685/klagomålsmail/A 69070-2020 FSC-klagomål mail.docx", "A 69070-2020")</f>
        <v/>
      </c>
      <c r="X67">
        <f>HYPERLINK("https://klasma.github.io/Logging_0685/tillsyn/A 69070-2020 tillsynsbegäran.docx", "A 69070-2020")</f>
        <v/>
      </c>
      <c r="Y67">
        <f>HYPERLINK("https://klasma.github.io/Logging_0685/tillsynsmail/A 69070-2020 tillsynsbegäran mail.docx", "A 69070-2020")</f>
        <v/>
      </c>
    </row>
    <row r="68" ht="15" customHeight="1">
      <c r="A68" t="inlineStr">
        <is>
          <t>A 5211-2021</t>
        </is>
      </c>
      <c r="B68" s="1" t="n">
        <v>44229</v>
      </c>
      <c r="C68" s="1" t="n">
        <v>45587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HYPERLINK("https://klasma.github.io/Logging_0685/artfynd/A 5211-2021 artfynd.xlsx", "A 5211-2021")</f>
        <v/>
      </c>
      <c r="T68">
        <f>HYPERLINK("https://klasma.github.io/Logging_0685/kartor/A 5211-2021 karta.png", "A 5211-2021")</f>
        <v/>
      </c>
      <c r="V68">
        <f>HYPERLINK("https://klasma.github.io/Logging_0685/klagomål/A 5211-2021 FSC-klagomål.docx", "A 5211-2021")</f>
        <v/>
      </c>
      <c r="W68">
        <f>HYPERLINK("https://klasma.github.io/Logging_0685/klagomålsmail/A 5211-2021 FSC-klagomål mail.docx", "A 5211-2021")</f>
        <v/>
      </c>
      <c r="X68">
        <f>HYPERLINK("https://klasma.github.io/Logging_0685/tillsyn/A 5211-2021 tillsynsbegäran.docx", "A 5211-2021")</f>
        <v/>
      </c>
      <c r="Y68">
        <f>HYPERLINK("https://klasma.github.io/Logging_0685/tillsynsmail/A 5211-2021 tillsynsbegäran mail.docx", "A 5211-2021")</f>
        <v/>
      </c>
    </row>
    <row r="69" ht="15" customHeight="1">
      <c r="A69" t="inlineStr">
        <is>
          <t>A 14385-2021</t>
        </is>
      </c>
      <c r="B69" s="1" t="n">
        <v>44279</v>
      </c>
      <c r="C69" s="1" t="n">
        <v>45587</v>
      </c>
      <c r="D69" t="inlineStr">
        <is>
          <t>JÖNKÖPINGS LÄN</t>
        </is>
      </c>
      <c r="E69" t="inlineStr">
        <is>
          <t>VETLANDA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14385-2021 artfynd.xlsx", "A 14385-2021")</f>
        <v/>
      </c>
      <c r="T69">
        <f>HYPERLINK("https://klasma.github.io/Logging_0685/kartor/A 14385-2021 karta.png", "A 14385-2021")</f>
        <v/>
      </c>
      <c r="V69">
        <f>HYPERLINK("https://klasma.github.io/Logging_0685/klagomål/A 14385-2021 FSC-klagomål.docx", "A 14385-2021")</f>
        <v/>
      </c>
      <c r="W69">
        <f>HYPERLINK("https://klasma.github.io/Logging_0685/klagomålsmail/A 14385-2021 FSC-klagomål mail.docx", "A 14385-2021")</f>
        <v/>
      </c>
      <c r="X69">
        <f>HYPERLINK("https://klasma.github.io/Logging_0685/tillsyn/A 14385-2021 tillsynsbegäran.docx", "A 14385-2021")</f>
        <v/>
      </c>
      <c r="Y69">
        <f>HYPERLINK("https://klasma.github.io/Logging_0685/tillsynsmail/A 14385-2021 tillsynsbegäran mail.docx", "A 14385-2021")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45587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45587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46862-2021</t>
        </is>
      </c>
      <c r="B72" s="1" t="n">
        <v>44446</v>
      </c>
      <c r="C72" s="1" t="n">
        <v>45587</v>
      </c>
      <c r="D72" t="inlineStr">
        <is>
          <t>JÖNKÖPINGS LÄN</t>
        </is>
      </c>
      <c r="E72" t="inlineStr">
        <is>
          <t>VETLANDA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HYPERLINK("https://klasma.github.io/Logging_0685/artfynd/A 46862-2021 artfynd.xlsx", "A 46862-2021")</f>
        <v/>
      </c>
      <c r="T72">
        <f>HYPERLINK("https://klasma.github.io/Logging_0685/kartor/A 46862-2021 karta.png", "A 46862-2021")</f>
        <v/>
      </c>
      <c r="V72">
        <f>HYPERLINK("https://klasma.github.io/Logging_0685/klagomål/A 46862-2021 FSC-klagomål.docx", "A 46862-2021")</f>
        <v/>
      </c>
      <c r="W72">
        <f>HYPERLINK("https://klasma.github.io/Logging_0685/klagomålsmail/A 46862-2021 FSC-klagomål mail.docx", "A 46862-2021")</f>
        <v/>
      </c>
      <c r="X72">
        <f>HYPERLINK("https://klasma.github.io/Logging_0685/tillsyn/A 46862-2021 tillsynsbegäran.docx", "A 46862-2021")</f>
        <v/>
      </c>
      <c r="Y72">
        <f>HYPERLINK("https://klasma.github.io/Logging_0685/tillsynsmail/A 46862-2021 tillsynsbegäran mail.docx", "A 46862-2021")</f>
        <v/>
      </c>
    </row>
    <row r="73" ht="15" customHeight="1">
      <c r="A73" t="inlineStr">
        <is>
          <t>A 49388-2021</t>
        </is>
      </c>
      <c r="B73" s="1" t="n">
        <v>44454</v>
      </c>
      <c r="C73" s="1" t="n">
        <v>45587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49388-2021 artfynd.xlsx", "A 49388-2021")</f>
        <v/>
      </c>
      <c r="T73">
        <f>HYPERLINK("https://klasma.github.io/Logging_0685/kartor/A 49388-2021 karta.png", "A 49388-2021")</f>
        <v/>
      </c>
      <c r="V73">
        <f>HYPERLINK("https://klasma.github.io/Logging_0685/klagomål/A 49388-2021 FSC-klagomål.docx", "A 49388-2021")</f>
        <v/>
      </c>
      <c r="W73">
        <f>HYPERLINK("https://klasma.github.io/Logging_0685/klagomålsmail/A 49388-2021 FSC-klagomål mail.docx", "A 49388-2021")</f>
        <v/>
      </c>
      <c r="X73">
        <f>HYPERLINK("https://klasma.github.io/Logging_0685/tillsyn/A 49388-2021 tillsynsbegäran.docx", "A 49388-2021")</f>
        <v/>
      </c>
      <c r="Y73">
        <f>HYPERLINK("https://klasma.github.io/Logging_0685/tillsynsmail/A 49388-2021 tillsynsbegäran mail.docx", "A 49388-2021")</f>
        <v/>
      </c>
    </row>
    <row r="74" ht="15" customHeight="1">
      <c r="A74" t="inlineStr">
        <is>
          <t>A 51852-2021</t>
        </is>
      </c>
      <c r="B74" s="1" t="n">
        <v>44462</v>
      </c>
      <c r="C74" s="1" t="n">
        <v>45587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51852-2021 artfynd.xlsx", "A 51852-2021")</f>
        <v/>
      </c>
      <c r="T74">
        <f>HYPERLINK("https://klasma.github.io/Logging_0685/kartor/A 51852-2021 karta.png", "A 51852-2021")</f>
        <v/>
      </c>
      <c r="V74">
        <f>HYPERLINK("https://klasma.github.io/Logging_0685/klagomål/A 51852-2021 FSC-klagomål.docx", "A 51852-2021")</f>
        <v/>
      </c>
      <c r="W74">
        <f>HYPERLINK("https://klasma.github.io/Logging_0685/klagomålsmail/A 51852-2021 FSC-klagomål mail.docx", "A 51852-2021")</f>
        <v/>
      </c>
      <c r="X74">
        <f>HYPERLINK("https://klasma.github.io/Logging_0685/tillsyn/A 51852-2021 tillsynsbegäran.docx", "A 51852-2021")</f>
        <v/>
      </c>
      <c r="Y74">
        <f>HYPERLINK("https://klasma.github.io/Logging_0685/tillsynsmail/A 51852-2021 tillsynsbegäran mail.docx", "A 51852-2021")</f>
        <v/>
      </c>
    </row>
    <row r="75" ht="15" customHeight="1">
      <c r="A75" t="inlineStr">
        <is>
          <t>A 64995-2021</t>
        </is>
      </c>
      <c r="B75" s="1" t="n">
        <v>44514</v>
      </c>
      <c r="C75" s="1" t="n">
        <v>45587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Trollsmultron</t>
        </is>
      </c>
      <c r="S75">
        <f>HYPERLINK("https://klasma.github.io/Logging_0685/artfynd/A 64995-2021 artfynd.xlsx", "A 64995-2021")</f>
        <v/>
      </c>
      <c r="T75">
        <f>HYPERLINK("https://klasma.github.io/Logging_0685/kartor/A 64995-2021 karta.png", "A 64995-2021")</f>
        <v/>
      </c>
      <c r="V75">
        <f>HYPERLINK("https://klasma.github.io/Logging_0685/klagomål/A 64995-2021 FSC-klagomål.docx", "A 64995-2021")</f>
        <v/>
      </c>
      <c r="W75">
        <f>HYPERLINK("https://klasma.github.io/Logging_0685/klagomålsmail/A 64995-2021 FSC-klagomål mail.docx", "A 64995-2021")</f>
        <v/>
      </c>
      <c r="X75">
        <f>HYPERLINK("https://klasma.github.io/Logging_0685/tillsyn/A 64995-2021 tillsynsbegäran.docx", "A 64995-2021")</f>
        <v/>
      </c>
      <c r="Y75">
        <f>HYPERLINK("https://klasma.github.io/Logging_0685/tillsynsmail/A 64995-2021 tillsynsbegäran mail.docx", "A 64995-2021")</f>
        <v/>
      </c>
    </row>
    <row r="76" ht="15" customHeight="1">
      <c r="A76" t="inlineStr">
        <is>
          <t>A 5498-2022</t>
        </is>
      </c>
      <c r="B76" s="1" t="n">
        <v>44595</v>
      </c>
      <c r="C76" s="1" t="n">
        <v>45587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5498-2022 artfynd.xlsx", "A 5498-2022")</f>
        <v/>
      </c>
      <c r="T76">
        <f>HYPERLINK("https://klasma.github.io/Logging_0685/kartor/A 5498-2022 karta.png", "A 5498-2022")</f>
        <v/>
      </c>
      <c r="V76">
        <f>HYPERLINK("https://klasma.github.io/Logging_0685/klagomål/A 5498-2022 FSC-klagomål.docx", "A 5498-2022")</f>
        <v/>
      </c>
      <c r="W76">
        <f>HYPERLINK("https://klasma.github.io/Logging_0685/klagomålsmail/A 5498-2022 FSC-klagomål mail.docx", "A 5498-2022")</f>
        <v/>
      </c>
      <c r="X76">
        <f>HYPERLINK("https://klasma.github.io/Logging_0685/tillsyn/A 5498-2022 tillsynsbegäran.docx", "A 5498-2022")</f>
        <v/>
      </c>
      <c r="Y76">
        <f>HYPERLINK("https://klasma.github.io/Logging_0685/tillsynsmail/A 5498-2022 tillsynsbegäran mail.docx", "A 5498-2022")</f>
        <v/>
      </c>
    </row>
    <row r="77" ht="15" customHeight="1">
      <c r="A77" t="inlineStr">
        <is>
          <t>A 26920-2022</t>
        </is>
      </c>
      <c r="B77" s="1" t="n">
        <v>44740</v>
      </c>
      <c r="C77" s="1" t="n">
        <v>45587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Adam och eva</t>
        </is>
      </c>
      <c r="S77">
        <f>HYPERLINK("https://klasma.github.io/Logging_0685/artfynd/A 26920-2022 artfynd.xlsx", "A 26920-2022")</f>
        <v/>
      </c>
      <c r="T77">
        <f>HYPERLINK("https://klasma.github.io/Logging_0685/kartor/A 26920-2022 karta.png", "A 26920-2022")</f>
        <v/>
      </c>
      <c r="V77">
        <f>HYPERLINK("https://klasma.github.io/Logging_0685/klagomål/A 26920-2022 FSC-klagomål.docx", "A 26920-2022")</f>
        <v/>
      </c>
      <c r="W77">
        <f>HYPERLINK("https://klasma.github.io/Logging_0685/klagomålsmail/A 26920-2022 FSC-klagomål mail.docx", "A 26920-2022")</f>
        <v/>
      </c>
      <c r="X77">
        <f>HYPERLINK("https://klasma.github.io/Logging_0685/tillsyn/A 26920-2022 tillsynsbegäran.docx", "A 26920-2022")</f>
        <v/>
      </c>
      <c r="Y77">
        <f>HYPERLINK("https://klasma.github.io/Logging_0685/tillsynsmail/A 26920-2022 tillsynsbegäran mail.docx", "A 26920-2022")</f>
        <v/>
      </c>
    </row>
    <row r="78" ht="15" customHeight="1">
      <c r="A78" t="inlineStr">
        <is>
          <t>A 28349-2022</t>
        </is>
      </c>
      <c r="B78" s="1" t="n">
        <v>44747</v>
      </c>
      <c r="C78" s="1" t="n">
        <v>45587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HYPERLINK("https://klasma.github.io/Logging_0685/artfynd/A 28349-2022 artfynd.xlsx", "A 28349-2022")</f>
        <v/>
      </c>
      <c r="T78">
        <f>HYPERLINK("https://klasma.github.io/Logging_0685/kartor/A 28349-2022 karta.png", "A 28349-2022")</f>
        <v/>
      </c>
      <c r="V78">
        <f>HYPERLINK("https://klasma.github.io/Logging_0685/klagomål/A 28349-2022 FSC-klagomål.docx", "A 28349-2022")</f>
        <v/>
      </c>
      <c r="W78">
        <f>HYPERLINK("https://klasma.github.io/Logging_0685/klagomålsmail/A 28349-2022 FSC-klagomål mail.docx", "A 28349-2022")</f>
        <v/>
      </c>
      <c r="X78">
        <f>HYPERLINK("https://klasma.github.io/Logging_0685/tillsyn/A 28349-2022 tillsynsbegäran.docx", "A 28349-2022")</f>
        <v/>
      </c>
      <c r="Y78">
        <f>HYPERLINK("https://klasma.github.io/Logging_0685/tillsynsmail/A 28349-2022 tillsynsbegäran mail.docx", "A 28349-2022")</f>
        <v/>
      </c>
    </row>
    <row r="79" ht="15" customHeight="1">
      <c r="A79" t="inlineStr">
        <is>
          <t>A 39612-2022</t>
        </is>
      </c>
      <c r="B79" s="1" t="n">
        <v>44818</v>
      </c>
      <c r="C79" s="1" t="n">
        <v>45587</v>
      </c>
      <c r="D79" t="inlineStr">
        <is>
          <t>JÖNKÖPINGS LÄN</t>
        </is>
      </c>
      <c r="E79" t="inlineStr">
        <is>
          <t>VETLANDA</t>
        </is>
      </c>
      <c r="G79" t="n">
        <v>7.6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39612-2022 artfynd.xlsx", "A 39612-2022")</f>
        <v/>
      </c>
      <c r="T79">
        <f>HYPERLINK("https://klasma.github.io/Logging_0685/kartor/A 39612-2022 karta.png", "A 39612-2022")</f>
        <v/>
      </c>
      <c r="V79">
        <f>HYPERLINK("https://klasma.github.io/Logging_0685/klagomål/A 39612-2022 FSC-klagomål.docx", "A 39612-2022")</f>
        <v/>
      </c>
      <c r="W79">
        <f>HYPERLINK("https://klasma.github.io/Logging_0685/klagomålsmail/A 39612-2022 FSC-klagomål mail.docx", "A 39612-2022")</f>
        <v/>
      </c>
      <c r="X79">
        <f>HYPERLINK("https://klasma.github.io/Logging_0685/tillsyn/A 39612-2022 tillsynsbegäran.docx", "A 39612-2022")</f>
        <v/>
      </c>
      <c r="Y79">
        <f>HYPERLINK("https://klasma.github.io/Logging_0685/tillsynsmail/A 39612-2022 tillsynsbegäran mail.docx", "A 39612-2022")</f>
        <v/>
      </c>
    </row>
    <row r="80" ht="15" customHeight="1">
      <c r="A80" t="inlineStr">
        <is>
          <t>A 39857-2022</t>
        </is>
      </c>
      <c r="B80" s="1" t="n">
        <v>44819</v>
      </c>
      <c r="C80" s="1" t="n">
        <v>45587</v>
      </c>
      <c r="D80" t="inlineStr">
        <is>
          <t>JÖNKÖPINGS LÄN</t>
        </is>
      </c>
      <c r="E80" t="inlineStr">
        <is>
          <t>VETLANDA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HYPERLINK("https://klasma.github.io/Logging_0685/artfynd/A 39857-2022 artfynd.xlsx", "A 39857-2022")</f>
        <v/>
      </c>
      <c r="T80">
        <f>HYPERLINK("https://klasma.github.io/Logging_0685/kartor/A 39857-2022 karta.png", "A 39857-2022")</f>
        <v/>
      </c>
      <c r="V80">
        <f>HYPERLINK("https://klasma.github.io/Logging_0685/klagomål/A 39857-2022 FSC-klagomål.docx", "A 39857-2022")</f>
        <v/>
      </c>
      <c r="W80">
        <f>HYPERLINK("https://klasma.github.io/Logging_0685/klagomålsmail/A 39857-2022 FSC-klagomål mail.docx", "A 39857-2022")</f>
        <v/>
      </c>
      <c r="X80">
        <f>HYPERLINK("https://klasma.github.io/Logging_0685/tillsyn/A 39857-2022 tillsynsbegäran.docx", "A 39857-2022")</f>
        <v/>
      </c>
      <c r="Y80">
        <f>HYPERLINK("https://klasma.github.io/Logging_0685/tillsynsmail/A 39857-2022 tillsynsbegäran mail.docx", "A 39857-2022")</f>
        <v/>
      </c>
    </row>
    <row r="81" ht="15" customHeight="1">
      <c r="A81" t="inlineStr">
        <is>
          <t>A 42142-2022</t>
        </is>
      </c>
      <c r="B81" s="1" t="n">
        <v>44830</v>
      </c>
      <c r="C81" s="1" t="n">
        <v>45587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42142-2022 artfynd.xlsx", "A 42142-2022")</f>
        <v/>
      </c>
      <c r="T81">
        <f>HYPERLINK("https://klasma.github.io/Logging_0685/kartor/A 42142-2022 karta.png", "A 42142-2022")</f>
        <v/>
      </c>
      <c r="V81">
        <f>HYPERLINK("https://klasma.github.io/Logging_0685/klagomål/A 42142-2022 FSC-klagomål.docx", "A 42142-2022")</f>
        <v/>
      </c>
      <c r="W81">
        <f>HYPERLINK("https://klasma.github.io/Logging_0685/klagomålsmail/A 42142-2022 FSC-klagomål mail.docx", "A 42142-2022")</f>
        <v/>
      </c>
      <c r="X81">
        <f>HYPERLINK("https://klasma.github.io/Logging_0685/tillsyn/A 42142-2022 tillsynsbegäran.docx", "A 42142-2022")</f>
        <v/>
      </c>
      <c r="Y81">
        <f>HYPERLINK("https://klasma.github.io/Logging_0685/tillsynsmail/A 42142-2022 tillsynsbegäran mail.docx", "A 42142-2022")</f>
        <v/>
      </c>
    </row>
    <row r="82" ht="15" customHeight="1">
      <c r="A82" t="inlineStr">
        <is>
          <t>A 43385-2022</t>
        </is>
      </c>
      <c r="B82" s="1" t="n">
        <v>44834</v>
      </c>
      <c r="C82" s="1" t="n">
        <v>45587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43385-2022 artfynd.xlsx", "A 43385-2022")</f>
        <v/>
      </c>
      <c r="T82">
        <f>HYPERLINK("https://klasma.github.io/Logging_0685/kartor/A 43385-2022 karta.png", "A 43385-2022")</f>
        <v/>
      </c>
      <c r="V82">
        <f>HYPERLINK("https://klasma.github.io/Logging_0685/klagomål/A 43385-2022 FSC-klagomål.docx", "A 43385-2022")</f>
        <v/>
      </c>
      <c r="W82">
        <f>HYPERLINK("https://klasma.github.io/Logging_0685/klagomålsmail/A 43385-2022 FSC-klagomål mail.docx", "A 43385-2022")</f>
        <v/>
      </c>
      <c r="X82">
        <f>HYPERLINK("https://klasma.github.io/Logging_0685/tillsyn/A 43385-2022 tillsynsbegäran.docx", "A 43385-2022")</f>
        <v/>
      </c>
      <c r="Y82">
        <f>HYPERLINK("https://klasma.github.io/Logging_0685/tillsynsmail/A 43385-2022 tillsynsbegäran mail.docx", "A 43385-2022")</f>
        <v/>
      </c>
    </row>
    <row r="83" ht="15" customHeight="1">
      <c r="A83" t="inlineStr">
        <is>
          <t>A 53741-2022</t>
        </is>
      </c>
      <c r="B83" s="1" t="n">
        <v>44880</v>
      </c>
      <c r="C83" s="1" t="n">
        <v>45587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HYPERLINK("https://klasma.github.io/Logging_0685/artfynd/A 53741-2022 artfynd.xlsx", "A 53741-2022")</f>
        <v/>
      </c>
      <c r="T83">
        <f>HYPERLINK("https://klasma.github.io/Logging_0685/kartor/A 53741-2022 karta.png", "A 53741-2022")</f>
        <v/>
      </c>
      <c r="V83">
        <f>HYPERLINK("https://klasma.github.io/Logging_0685/klagomål/A 53741-2022 FSC-klagomål.docx", "A 53741-2022")</f>
        <v/>
      </c>
      <c r="W83">
        <f>HYPERLINK("https://klasma.github.io/Logging_0685/klagomålsmail/A 53741-2022 FSC-klagomål mail.docx", "A 53741-2022")</f>
        <v/>
      </c>
      <c r="X83">
        <f>HYPERLINK("https://klasma.github.io/Logging_0685/tillsyn/A 53741-2022 tillsynsbegäran.docx", "A 53741-2022")</f>
        <v/>
      </c>
      <c r="Y83">
        <f>HYPERLINK("https://klasma.github.io/Logging_0685/tillsynsmail/A 53741-2022 tillsynsbegäran mail.docx", "A 53741-2022")</f>
        <v/>
      </c>
    </row>
    <row r="84" ht="15" customHeight="1">
      <c r="A84" t="inlineStr">
        <is>
          <t>A 56262-2022</t>
        </is>
      </c>
      <c r="B84" s="1" t="n">
        <v>44890</v>
      </c>
      <c r="C84" s="1" t="n">
        <v>45587</v>
      </c>
      <c r="D84" t="inlineStr">
        <is>
          <t>JÖNKÖPINGS LÄN</t>
        </is>
      </c>
      <c r="E84" t="inlineStr">
        <is>
          <t>VETLANDA</t>
        </is>
      </c>
      <c r="G84" t="n">
        <v>15.9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HYPERLINK("https://klasma.github.io/Logging_0685/artfynd/A 56262-2022 artfynd.xlsx", "A 56262-2022")</f>
        <v/>
      </c>
      <c r="T84">
        <f>HYPERLINK("https://klasma.github.io/Logging_0685/kartor/A 56262-2022 karta.png", "A 56262-2022")</f>
        <v/>
      </c>
      <c r="V84">
        <f>HYPERLINK("https://klasma.github.io/Logging_0685/klagomål/A 56262-2022 FSC-klagomål.docx", "A 56262-2022")</f>
        <v/>
      </c>
      <c r="W84">
        <f>HYPERLINK("https://klasma.github.io/Logging_0685/klagomålsmail/A 56262-2022 FSC-klagomål mail.docx", "A 56262-2022")</f>
        <v/>
      </c>
      <c r="X84">
        <f>HYPERLINK("https://klasma.github.io/Logging_0685/tillsyn/A 56262-2022 tillsynsbegäran.docx", "A 56262-2022")</f>
        <v/>
      </c>
      <c r="Y84">
        <f>HYPERLINK("https://klasma.github.io/Logging_0685/tillsynsmail/A 56262-2022 tillsynsbegäran mail.docx", "A 56262-2022")</f>
        <v/>
      </c>
    </row>
    <row r="85" ht="15" customHeight="1">
      <c r="A85" t="inlineStr">
        <is>
          <t>A 59894-2022</t>
        </is>
      </c>
      <c r="B85" s="1" t="n">
        <v>44908</v>
      </c>
      <c r="C85" s="1" t="n">
        <v>45587</v>
      </c>
      <c r="D85" t="inlineStr">
        <is>
          <t>JÖNKÖPINGS LÄN</t>
        </is>
      </c>
      <c r="E85" t="inlineStr">
        <is>
          <t>VETLANDA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Backklöver</t>
        </is>
      </c>
      <c r="S85">
        <f>HYPERLINK("https://klasma.github.io/Logging_0685/artfynd/A 59894-2022 artfynd.xlsx", "A 59894-2022")</f>
        <v/>
      </c>
      <c r="T85">
        <f>HYPERLINK("https://klasma.github.io/Logging_0685/kartor/A 59894-2022 karta.png", "A 59894-2022")</f>
        <v/>
      </c>
      <c r="V85">
        <f>HYPERLINK("https://klasma.github.io/Logging_0685/klagomål/A 59894-2022 FSC-klagomål.docx", "A 59894-2022")</f>
        <v/>
      </c>
      <c r="W85">
        <f>HYPERLINK("https://klasma.github.io/Logging_0685/klagomålsmail/A 59894-2022 FSC-klagomål mail.docx", "A 59894-2022")</f>
        <v/>
      </c>
      <c r="X85">
        <f>HYPERLINK("https://klasma.github.io/Logging_0685/tillsyn/A 59894-2022 tillsynsbegäran.docx", "A 59894-2022")</f>
        <v/>
      </c>
      <c r="Y85">
        <f>HYPERLINK("https://klasma.github.io/Logging_0685/tillsynsmail/A 59894-2022 tillsynsbegäran mail.docx", "A 59894-2022")</f>
        <v/>
      </c>
    </row>
    <row r="86" ht="15" customHeight="1">
      <c r="A86" t="inlineStr">
        <is>
          <t>A 61446-2022</t>
        </is>
      </c>
      <c r="B86" s="1" t="n">
        <v>44916</v>
      </c>
      <c r="C86" s="1" t="n">
        <v>45587</v>
      </c>
      <c r="D86" t="inlineStr">
        <is>
          <t>JÖNKÖPINGS LÄN</t>
        </is>
      </c>
      <c r="E86" t="inlineStr">
        <is>
          <t>VETLANDA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Krokfibbla</t>
        </is>
      </c>
      <c r="S86">
        <f>HYPERLINK("https://klasma.github.io/Logging_0685/artfynd/A 61446-2022 artfynd.xlsx", "A 61446-2022")</f>
        <v/>
      </c>
      <c r="T86">
        <f>HYPERLINK("https://klasma.github.io/Logging_0685/kartor/A 61446-2022 karta.png", "A 61446-2022")</f>
        <v/>
      </c>
      <c r="V86">
        <f>HYPERLINK("https://klasma.github.io/Logging_0685/klagomål/A 61446-2022 FSC-klagomål.docx", "A 61446-2022")</f>
        <v/>
      </c>
      <c r="W86">
        <f>HYPERLINK("https://klasma.github.io/Logging_0685/klagomålsmail/A 61446-2022 FSC-klagomål mail.docx", "A 61446-2022")</f>
        <v/>
      </c>
      <c r="X86">
        <f>HYPERLINK("https://klasma.github.io/Logging_0685/tillsyn/A 61446-2022 tillsynsbegäran.docx", "A 61446-2022")</f>
        <v/>
      </c>
      <c r="Y86">
        <f>HYPERLINK("https://klasma.github.io/Logging_0685/tillsynsmail/A 61446-2022 tillsynsbegäran mail.docx", "A 61446-2022")</f>
        <v/>
      </c>
    </row>
    <row r="87" ht="15" customHeight="1">
      <c r="A87" t="inlineStr">
        <is>
          <t>A 5369-2023</t>
        </is>
      </c>
      <c r="B87" s="1" t="n">
        <v>44959</v>
      </c>
      <c r="C87" s="1" t="n">
        <v>45587</v>
      </c>
      <c r="D87" t="inlineStr">
        <is>
          <t>JÖNKÖPINGS LÄN</t>
        </is>
      </c>
      <c r="E87" t="inlineStr">
        <is>
          <t>VETLANDA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5369-2023 artfynd.xlsx", "A 5369-2023")</f>
        <v/>
      </c>
      <c r="T87">
        <f>HYPERLINK("https://klasma.github.io/Logging_0685/kartor/A 5369-2023 karta.png", "A 5369-2023")</f>
        <v/>
      </c>
      <c r="V87">
        <f>HYPERLINK("https://klasma.github.io/Logging_0685/klagomål/A 5369-2023 FSC-klagomål.docx", "A 5369-2023")</f>
        <v/>
      </c>
      <c r="W87">
        <f>HYPERLINK("https://klasma.github.io/Logging_0685/klagomålsmail/A 5369-2023 FSC-klagomål mail.docx", "A 5369-2023")</f>
        <v/>
      </c>
      <c r="X87">
        <f>HYPERLINK("https://klasma.github.io/Logging_0685/tillsyn/A 5369-2023 tillsynsbegäran.docx", "A 5369-2023")</f>
        <v/>
      </c>
      <c r="Y87">
        <f>HYPERLINK("https://klasma.github.io/Logging_0685/tillsynsmail/A 5369-2023 tillsynsbegäran mail.docx", "A 5369-2023")</f>
        <v/>
      </c>
    </row>
    <row r="88" ht="15" customHeight="1">
      <c r="A88" t="inlineStr">
        <is>
          <t>A 10919-2023</t>
        </is>
      </c>
      <c r="B88" s="1" t="n">
        <v>44991</v>
      </c>
      <c r="C88" s="1" t="n">
        <v>45587</v>
      </c>
      <c r="D88" t="inlineStr">
        <is>
          <t>JÖNKÖPINGS LÄN</t>
        </is>
      </c>
      <c r="E88" t="inlineStr">
        <is>
          <t>VETLANDA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10919-2023 artfynd.xlsx", "A 10919-2023")</f>
        <v/>
      </c>
      <c r="T88">
        <f>HYPERLINK("https://klasma.github.io/Logging_0685/kartor/A 10919-2023 karta.png", "A 10919-2023")</f>
        <v/>
      </c>
      <c r="V88">
        <f>HYPERLINK("https://klasma.github.io/Logging_0685/klagomål/A 10919-2023 FSC-klagomål.docx", "A 10919-2023")</f>
        <v/>
      </c>
      <c r="W88">
        <f>HYPERLINK("https://klasma.github.io/Logging_0685/klagomålsmail/A 10919-2023 FSC-klagomål mail.docx", "A 10919-2023")</f>
        <v/>
      </c>
      <c r="X88">
        <f>HYPERLINK("https://klasma.github.io/Logging_0685/tillsyn/A 10919-2023 tillsynsbegäran.docx", "A 10919-2023")</f>
        <v/>
      </c>
      <c r="Y88">
        <f>HYPERLINK("https://klasma.github.io/Logging_0685/tillsynsmail/A 10919-2023 tillsynsbegäran mail.docx", "A 10919-2023")</f>
        <v/>
      </c>
    </row>
    <row r="89" ht="15" customHeight="1">
      <c r="A89" t="inlineStr">
        <is>
          <t>A 12223-2023</t>
        </is>
      </c>
      <c r="B89" s="1" t="n">
        <v>44998</v>
      </c>
      <c r="C89" s="1" t="n">
        <v>45587</v>
      </c>
      <c r="D89" t="inlineStr">
        <is>
          <t>JÖNKÖPINGS LÄN</t>
        </is>
      </c>
      <c r="E89" t="inlineStr">
        <is>
          <t>VETLANDA</t>
        </is>
      </c>
      <c r="G89" t="n">
        <v>8.800000000000001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HYPERLINK("https://klasma.github.io/Logging_0685/artfynd/A 12223-2023 artfynd.xlsx", "A 12223-2023")</f>
        <v/>
      </c>
      <c r="T89">
        <f>HYPERLINK("https://klasma.github.io/Logging_0685/kartor/A 12223-2023 karta.png", "A 12223-2023")</f>
        <v/>
      </c>
      <c r="V89">
        <f>HYPERLINK("https://klasma.github.io/Logging_0685/klagomål/A 12223-2023 FSC-klagomål.docx", "A 12223-2023")</f>
        <v/>
      </c>
      <c r="W89">
        <f>HYPERLINK("https://klasma.github.io/Logging_0685/klagomålsmail/A 12223-2023 FSC-klagomål mail.docx", "A 12223-2023")</f>
        <v/>
      </c>
      <c r="X89">
        <f>HYPERLINK("https://klasma.github.io/Logging_0685/tillsyn/A 12223-2023 tillsynsbegäran.docx", "A 12223-2023")</f>
        <v/>
      </c>
      <c r="Y89">
        <f>HYPERLINK("https://klasma.github.io/Logging_0685/tillsynsmail/A 12223-2023 tillsynsbegäran mail.docx", "A 12223-2023")</f>
        <v/>
      </c>
    </row>
    <row r="90" ht="15" customHeight="1">
      <c r="A90" t="inlineStr">
        <is>
          <t>A 14083-2023</t>
        </is>
      </c>
      <c r="B90" s="1" t="n">
        <v>45009</v>
      </c>
      <c r="C90" s="1" t="n">
        <v>45587</v>
      </c>
      <c r="D90" t="inlineStr">
        <is>
          <t>JÖNKÖPINGS LÄN</t>
        </is>
      </c>
      <c r="E90" t="inlineStr">
        <is>
          <t>VETLANDA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Spindelört</t>
        </is>
      </c>
      <c r="S90">
        <f>HYPERLINK("https://klasma.github.io/Logging_0685/artfynd/A 14083-2023 artfynd.xlsx", "A 14083-2023")</f>
        <v/>
      </c>
      <c r="T90">
        <f>HYPERLINK("https://klasma.github.io/Logging_0685/kartor/A 14083-2023 karta.png", "A 14083-2023")</f>
        <v/>
      </c>
      <c r="V90">
        <f>HYPERLINK("https://klasma.github.io/Logging_0685/klagomål/A 14083-2023 FSC-klagomål.docx", "A 14083-2023")</f>
        <v/>
      </c>
      <c r="W90">
        <f>HYPERLINK("https://klasma.github.io/Logging_0685/klagomålsmail/A 14083-2023 FSC-klagomål mail.docx", "A 14083-2023")</f>
        <v/>
      </c>
      <c r="X90">
        <f>HYPERLINK("https://klasma.github.io/Logging_0685/tillsyn/A 14083-2023 tillsynsbegäran.docx", "A 14083-2023")</f>
        <v/>
      </c>
      <c r="Y90">
        <f>HYPERLINK("https://klasma.github.io/Logging_0685/tillsynsmail/A 14083-2023 tillsynsbegäran mail.docx", "A 14083-2023")</f>
        <v/>
      </c>
    </row>
    <row r="91" ht="15" customHeight="1">
      <c r="A91" t="inlineStr">
        <is>
          <t>A 15659-2023</t>
        </is>
      </c>
      <c r="B91" s="1" t="n">
        <v>45021</v>
      </c>
      <c r="C91" s="1" t="n">
        <v>45587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15659-2023 artfynd.xlsx", "A 15659-2023")</f>
        <v/>
      </c>
      <c r="T91">
        <f>HYPERLINK("https://klasma.github.io/Logging_0685/kartor/A 15659-2023 karta.png", "A 15659-2023")</f>
        <v/>
      </c>
      <c r="V91">
        <f>HYPERLINK("https://klasma.github.io/Logging_0685/klagomål/A 15659-2023 FSC-klagomål.docx", "A 15659-2023")</f>
        <v/>
      </c>
      <c r="W91">
        <f>HYPERLINK("https://klasma.github.io/Logging_0685/klagomålsmail/A 15659-2023 FSC-klagomål mail.docx", "A 15659-2023")</f>
        <v/>
      </c>
      <c r="X91">
        <f>HYPERLINK("https://klasma.github.io/Logging_0685/tillsyn/A 15659-2023 tillsynsbegäran.docx", "A 15659-2023")</f>
        <v/>
      </c>
      <c r="Y91">
        <f>HYPERLINK("https://klasma.github.io/Logging_0685/tillsynsmail/A 15659-2023 tillsynsbegäran mail.docx", "A 15659-2023")</f>
        <v/>
      </c>
    </row>
    <row r="92" ht="15" customHeight="1">
      <c r="A92" t="inlineStr">
        <is>
          <t>A 24945-2023</t>
        </is>
      </c>
      <c r="B92" s="1" t="n">
        <v>45085</v>
      </c>
      <c r="C92" s="1" t="n">
        <v>45587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HYPERLINK("https://klasma.github.io/Logging_0685/artfynd/A 24945-2023 artfynd.xlsx", "A 24945-2023")</f>
        <v/>
      </c>
      <c r="T92">
        <f>HYPERLINK("https://klasma.github.io/Logging_0685/kartor/A 24945-2023 karta.png", "A 24945-2023")</f>
        <v/>
      </c>
      <c r="V92">
        <f>HYPERLINK("https://klasma.github.io/Logging_0685/klagomål/A 24945-2023 FSC-klagomål.docx", "A 24945-2023")</f>
        <v/>
      </c>
      <c r="W92">
        <f>HYPERLINK("https://klasma.github.io/Logging_0685/klagomålsmail/A 24945-2023 FSC-klagomål mail.docx", "A 24945-2023")</f>
        <v/>
      </c>
      <c r="X92">
        <f>HYPERLINK("https://klasma.github.io/Logging_0685/tillsyn/A 24945-2023 tillsynsbegäran.docx", "A 24945-2023")</f>
        <v/>
      </c>
      <c r="Y92">
        <f>HYPERLINK("https://klasma.github.io/Logging_0685/tillsynsmail/A 24945-2023 tillsynsbegäran mail.docx", "A 24945-2023")</f>
        <v/>
      </c>
    </row>
    <row r="93" ht="15" customHeight="1">
      <c r="A93" t="inlineStr">
        <is>
          <t>A 27548-2023</t>
        </is>
      </c>
      <c r="B93" s="1" t="n">
        <v>45092</v>
      </c>
      <c r="C93" s="1" t="n">
        <v>45587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27548-2023 artfynd.xlsx", "A 27548-2023")</f>
        <v/>
      </c>
      <c r="T93">
        <f>HYPERLINK("https://klasma.github.io/Logging_0685/kartor/A 27548-2023 karta.png", "A 27548-2023")</f>
        <v/>
      </c>
      <c r="V93">
        <f>HYPERLINK("https://klasma.github.io/Logging_0685/klagomål/A 27548-2023 FSC-klagomål.docx", "A 27548-2023")</f>
        <v/>
      </c>
      <c r="W93">
        <f>HYPERLINK("https://klasma.github.io/Logging_0685/klagomålsmail/A 27548-2023 FSC-klagomål mail.docx", "A 27548-2023")</f>
        <v/>
      </c>
      <c r="X93">
        <f>HYPERLINK("https://klasma.github.io/Logging_0685/tillsyn/A 27548-2023 tillsynsbegäran.docx", "A 27548-2023")</f>
        <v/>
      </c>
      <c r="Y93">
        <f>HYPERLINK("https://klasma.github.io/Logging_0685/tillsynsmail/A 27548-2023 tillsynsbegäran mail.docx", "A 27548-2023")</f>
        <v/>
      </c>
    </row>
    <row r="94" ht="15" customHeight="1">
      <c r="A94" t="inlineStr">
        <is>
          <t>A 28407-2023</t>
        </is>
      </c>
      <c r="B94" s="1" t="n">
        <v>45101</v>
      </c>
      <c r="C94" s="1" t="n">
        <v>45587</v>
      </c>
      <c r="D94" t="inlineStr">
        <is>
          <t>JÖNKÖPINGS LÄN</t>
        </is>
      </c>
      <c r="E94" t="inlineStr">
        <is>
          <t>VETLANDA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28407-2023 artfynd.xlsx", "A 28407-2023")</f>
        <v/>
      </c>
      <c r="T94">
        <f>HYPERLINK("https://klasma.github.io/Logging_0685/kartor/A 28407-2023 karta.png", "A 28407-2023")</f>
        <v/>
      </c>
      <c r="U94">
        <f>HYPERLINK("https://klasma.github.io/Logging_0685/knärot/A 28407-2023 karta knärot.png", "A 28407-2023")</f>
        <v/>
      </c>
      <c r="V94">
        <f>HYPERLINK("https://klasma.github.io/Logging_0685/klagomål/A 28407-2023 FSC-klagomål.docx", "A 28407-2023")</f>
        <v/>
      </c>
      <c r="W94">
        <f>HYPERLINK("https://klasma.github.io/Logging_0685/klagomålsmail/A 28407-2023 FSC-klagomål mail.docx", "A 28407-2023")</f>
        <v/>
      </c>
      <c r="X94">
        <f>HYPERLINK("https://klasma.github.io/Logging_0685/tillsyn/A 28407-2023 tillsynsbegäran.docx", "A 28407-2023")</f>
        <v/>
      </c>
      <c r="Y94">
        <f>HYPERLINK("https://klasma.github.io/Logging_0685/tillsynsmail/A 28407-2023 tillsynsbegäran mail.docx", "A 28407-2023")</f>
        <v/>
      </c>
    </row>
    <row r="95" ht="15" customHeight="1">
      <c r="A95" t="inlineStr">
        <is>
          <t>A 28829-2023</t>
        </is>
      </c>
      <c r="B95" s="1" t="n">
        <v>45104</v>
      </c>
      <c r="C95" s="1" t="n">
        <v>45587</v>
      </c>
      <c r="D95" t="inlineStr">
        <is>
          <t>JÖNKÖPINGS LÄN</t>
        </is>
      </c>
      <c r="E95" t="inlineStr">
        <is>
          <t>VETLANDA</t>
        </is>
      </c>
      <c r="G95" t="n">
        <v>8.6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HYPERLINK("https://klasma.github.io/Logging_0685/artfynd/A 28829-2023 artfynd.xlsx", "A 28829-2023")</f>
        <v/>
      </c>
      <c r="T95">
        <f>HYPERLINK("https://klasma.github.io/Logging_0685/kartor/A 28829-2023 karta.png", "A 28829-2023")</f>
        <v/>
      </c>
      <c r="V95">
        <f>HYPERLINK("https://klasma.github.io/Logging_0685/klagomål/A 28829-2023 FSC-klagomål.docx", "A 28829-2023")</f>
        <v/>
      </c>
      <c r="W95">
        <f>HYPERLINK("https://klasma.github.io/Logging_0685/klagomålsmail/A 28829-2023 FSC-klagomål mail.docx", "A 28829-2023")</f>
        <v/>
      </c>
      <c r="X95">
        <f>HYPERLINK("https://klasma.github.io/Logging_0685/tillsyn/A 28829-2023 tillsynsbegäran.docx", "A 28829-2023")</f>
        <v/>
      </c>
      <c r="Y95">
        <f>HYPERLINK("https://klasma.github.io/Logging_0685/tillsynsmail/A 28829-2023 tillsynsbegäran mail.docx", "A 28829-2023")</f>
        <v/>
      </c>
      <c r="Z95">
        <f>HYPERLINK("https://klasma.github.io/Logging_0685/fåglar/A 28829-2023 prioriterade fågelarter.docx", "A 28829-2023")</f>
        <v/>
      </c>
    </row>
    <row r="96" ht="15" customHeight="1">
      <c r="A96" t="inlineStr">
        <is>
          <t>A 29027-2023</t>
        </is>
      </c>
      <c r="B96" s="1" t="n">
        <v>45104</v>
      </c>
      <c r="C96" s="1" t="n">
        <v>45587</v>
      </c>
      <c r="D96" t="inlineStr">
        <is>
          <t>JÖNKÖPINGS LÄN</t>
        </is>
      </c>
      <c r="E96" t="inlineStr">
        <is>
          <t>VETLANDA</t>
        </is>
      </c>
      <c r="G96" t="n">
        <v>10.1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HYPERLINK("https://klasma.github.io/Logging_0685/artfynd/A 29027-2023 artfynd.xlsx", "A 29027-2023")</f>
        <v/>
      </c>
      <c r="T96">
        <f>HYPERLINK("https://klasma.github.io/Logging_0685/kartor/A 29027-2023 karta.png", "A 29027-2023")</f>
        <v/>
      </c>
      <c r="U96">
        <f>HYPERLINK("https://klasma.github.io/Logging_0685/knärot/A 29027-2023 karta knärot.png", "A 29027-2023")</f>
        <v/>
      </c>
      <c r="V96">
        <f>HYPERLINK("https://klasma.github.io/Logging_0685/klagomål/A 29027-2023 FSC-klagomål.docx", "A 29027-2023")</f>
        <v/>
      </c>
      <c r="W96">
        <f>HYPERLINK("https://klasma.github.io/Logging_0685/klagomålsmail/A 29027-2023 FSC-klagomål mail.docx", "A 29027-2023")</f>
        <v/>
      </c>
      <c r="X96">
        <f>HYPERLINK("https://klasma.github.io/Logging_0685/tillsyn/A 29027-2023 tillsynsbegäran.docx", "A 29027-2023")</f>
        <v/>
      </c>
      <c r="Y96">
        <f>HYPERLINK("https://klasma.github.io/Logging_0685/tillsynsmail/A 29027-2023 tillsynsbegäran mail.docx", "A 29027-2023")</f>
        <v/>
      </c>
    </row>
    <row r="97" ht="15" customHeight="1">
      <c r="A97" t="inlineStr">
        <is>
          <t>A 35845-2023</t>
        </is>
      </c>
      <c r="B97" s="1" t="n">
        <v>45148</v>
      </c>
      <c r="C97" s="1" t="n">
        <v>45587</v>
      </c>
      <c r="D97" t="inlineStr">
        <is>
          <t>JÖNKÖPINGS LÄN</t>
        </is>
      </c>
      <c r="E97" t="inlineStr">
        <is>
          <t>VETLANDA</t>
        </is>
      </c>
      <c r="G97" t="n">
        <v>5.1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35845-2023 artfynd.xlsx", "A 35845-2023")</f>
        <v/>
      </c>
      <c r="T97">
        <f>HYPERLINK("https://klasma.github.io/Logging_0685/kartor/A 35845-2023 karta.png", "A 35845-2023")</f>
        <v/>
      </c>
      <c r="V97">
        <f>HYPERLINK("https://klasma.github.io/Logging_0685/klagomål/A 35845-2023 FSC-klagomål.docx", "A 35845-2023")</f>
        <v/>
      </c>
      <c r="W97">
        <f>HYPERLINK("https://klasma.github.io/Logging_0685/klagomålsmail/A 35845-2023 FSC-klagomål mail.docx", "A 35845-2023")</f>
        <v/>
      </c>
      <c r="X97">
        <f>HYPERLINK("https://klasma.github.io/Logging_0685/tillsyn/A 35845-2023 tillsynsbegäran.docx", "A 35845-2023")</f>
        <v/>
      </c>
      <c r="Y97">
        <f>HYPERLINK("https://klasma.github.io/Logging_0685/tillsynsmail/A 35845-2023 tillsynsbegäran mail.docx", "A 35845-2023")</f>
        <v/>
      </c>
    </row>
    <row r="98" ht="15" customHeight="1">
      <c r="A98" t="inlineStr">
        <is>
          <t>A 43157-2023</t>
        </is>
      </c>
      <c r="B98" s="1" t="n">
        <v>45183</v>
      </c>
      <c r="C98" s="1" t="n">
        <v>45587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HYPERLINK("https://klasma.github.io/Logging_0685/artfynd/A 43157-2023 artfynd.xlsx", "A 43157-2023")</f>
        <v/>
      </c>
      <c r="T98">
        <f>HYPERLINK("https://klasma.github.io/Logging_0685/kartor/A 43157-2023 karta.png", "A 43157-2023")</f>
        <v/>
      </c>
      <c r="V98">
        <f>HYPERLINK("https://klasma.github.io/Logging_0685/klagomål/A 43157-2023 FSC-klagomål.docx", "A 43157-2023")</f>
        <v/>
      </c>
      <c r="W98">
        <f>HYPERLINK("https://klasma.github.io/Logging_0685/klagomålsmail/A 43157-2023 FSC-klagomål mail.docx", "A 43157-2023")</f>
        <v/>
      </c>
      <c r="X98">
        <f>HYPERLINK("https://klasma.github.io/Logging_0685/tillsyn/A 43157-2023 tillsynsbegäran.docx", "A 43157-2023")</f>
        <v/>
      </c>
      <c r="Y98">
        <f>HYPERLINK("https://klasma.github.io/Logging_0685/tillsynsmail/A 43157-2023 tillsynsbegäran mail.docx", "A 43157-2023")</f>
        <v/>
      </c>
    </row>
    <row r="99" ht="15" customHeight="1">
      <c r="A99" t="inlineStr">
        <is>
          <t>A 45170-2023</t>
        </is>
      </c>
      <c r="B99" s="1" t="n">
        <v>45191</v>
      </c>
      <c r="C99" s="1" t="n">
        <v>45587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HYPERLINK("https://klasma.github.io/Logging_0685/artfynd/A 45170-2023 artfynd.xlsx", "A 45170-2023")</f>
        <v/>
      </c>
      <c r="T99">
        <f>HYPERLINK("https://klasma.github.io/Logging_0685/kartor/A 45170-2023 karta.png", "A 45170-2023")</f>
        <v/>
      </c>
      <c r="V99">
        <f>HYPERLINK("https://klasma.github.io/Logging_0685/klagomål/A 45170-2023 FSC-klagomål.docx", "A 45170-2023")</f>
        <v/>
      </c>
      <c r="W99">
        <f>HYPERLINK("https://klasma.github.io/Logging_0685/klagomålsmail/A 45170-2023 FSC-klagomål mail.docx", "A 45170-2023")</f>
        <v/>
      </c>
      <c r="X99">
        <f>HYPERLINK("https://klasma.github.io/Logging_0685/tillsyn/A 45170-2023 tillsynsbegäran.docx", "A 45170-2023")</f>
        <v/>
      </c>
      <c r="Y99">
        <f>HYPERLINK("https://klasma.github.io/Logging_0685/tillsynsmail/A 45170-2023 tillsynsbegäran mail.docx", "A 45170-2023")</f>
        <v/>
      </c>
    </row>
    <row r="100" ht="15" customHeight="1">
      <c r="A100" t="inlineStr">
        <is>
          <t>A 57111-2023</t>
        </is>
      </c>
      <c r="B100" s="1" t="n">
        <v>45239</v>
      </c>
      <c r="C100" s="1" t="n">
        <v>45587</v>
      </c>
      <c r="D100" t="inlineStr">
        <is>
          <t>JÖNKÖPINGS LÄN</t>
        </is>
      </c>
      <c r="E100" t="inlineStr">
        <is>
          <t>VETLANDA</t>
        </is>
      </c>
      <c r="F100" t="inlineStr">
        <is>
          <t>Kyrkan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57111-2023 artfynd.xlsx", "A 57111-2023")</f>
        <v/>
      </c>
      <c r="T100">
        <f>HYPERLINK("https://klasma.github.io/Logging_0685/kartor/A 57111-2023 karta.png", "A 57111-2023")</f>
        <v/>
      </c>
      <c r="V100">
        <f>HYPERLINK("https://klasma.github.io/Logging_0685/klagomål/A 57111-2023 FSC-klagomål.docx", "A 57111-2023")</f>
        <v/>
      </c>
      <c r="W100">
        <f>HYPERLINK("https://klasma.github.io/Logging_0685/klagomålsmail/A 57111-2023 FSC-klagomål mail.docx", "A 57111-2023")</f>
        <v/>
      </c>
      <c r="X100">
        <f>HYPERLINK("https://klasma.github.io/Logging_0685/tillsyn/A 57111-2023 tillsynsbegäran.docx", "A 57111-2023")</f>
        <v/>
      </c>
      <c r="Y100">
        <f>HYPERLINK("https://klasma.github.io/Logging_0685/tillsynsmail/A 57111-2023 tillsynsbegäran mail.docx", "A 57111-2023")</f>
        <v/>
      </c>
    </row>
    <row r="101" ht="15" customHeight="1">
      <c r="A101" t="inlineStr">
        <is>
          <t>A 56147-2023</t>
        </is>
      </c>
      <c r="B101" s="1" t="n">
        <v>45240</v>
      </c>
      <c r="C101" s="1" t="n">
        <v>45587</v>
      </c>
      <c r="D101" t="inlineStr">
        <is>
          <t>JÖNKÖPINGS LÄN</t>
        </is>
      </c>
      <c r="E101" t="inlineStr">
        <is>
          <t>VETLANDA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Gräsull</t>
        </is>
      </c>
      <c r="S101">
        <f>HYPERLINK("https://klasma.github.io/Logging_0685/artfynd/A 56147-2023 artfynd.xlsx", "A 56147-2023")</f>
        <v/>
      </c>
      <c r="T101">
        <f>HYPERLINK("https://klasma.github.io/Logging_0685/kartor/A 56147-2023 karta.png", "A 56147-2023")</f>
        <v/>
      </c>
      <c r="V101">
        <f>HYPERLINK("https://klasma.github.io/Logging_0685/klagomål/A 56147-2023 FSC-klagomål.docx", "A 56147-2023")</f>
        <v/>
      </c>
      <c r="W101">
        <f>HYPERLINK("https://klasma.github.io/Logging_0685/klagomålsmail/A 56147-2023 FSC-klagomål mail.docx", "A 56147-2023")</f>
        <v/>
      </c>
      <c r="X101">
        <f>HYPERLINK("https://klasma.github.io/Logging_0685/tillsyn/A 56147-2023 tillsynsbegäran.docx", "A 56147-2023")</f>
        <v/>
      </c>
      <c r="Y101">
        <f>HYPERLINK("https://klasma.github.io/Logging_0685/tillsynsmail/A 56147-2023 tillsynsbegäran mail.docx", "A 56147-2023")</f>
        <v/>
      </c>
    </row>
    <row r="102" ht="15" customHeight="1">
      <c r="A102" t="inlineStr">
        <is>
          <t>A 60971-2023</t>
        </is>
      </c>
      <c r="B102" s="1" t="n">
        <v>45261</v>
      </c>
      <c r="C102" s="1" t="n">
        <v>45587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60971-2023 artfynd.xlsx", "A 60971-2023")</f>
        <v/>
      </c>
      <c r="T102">
        <f>HYPERLINK("https://klasma.github.io/Logging_0685/kartor/A 60971-2023 karta.png", "A 60971-2023")</f>
        <v/>
      </c>
      <c r="V102">
        <f>HYPERLINK("https://klasma.github.io/Logging_0685/klagomål/A 60971-2023 FSC-klagomål.docx", "A 60971-2023")</f>
        <v/>
      </c>
      <c r="W102">
        <f>HYPERLINK("https://klasma.github.io/Logging_0685/klagomålsmail/A 60971-2023 FSC-klagomål mail.docx", "A 60971-2023")</f>
        <v/>
      </c>
      <c r="X102">
        <f>HYPERLINK("https://klasma.github.io/Logging_0685/tillsyn/A 60971-2023 tillsynsbegäran.docx", "A 60971-2023")</f>
        <v/>
      </c>
      <c r="Y102">
        <f>HYPERLINK("https://klasma.github.io/Logging_0685/tillsynsmail/A 60971-2023 tillsynsbegäran mail.docx", "A 60971-2023")</f>
        <v/>
      </c>
    </row>
    <row r="103" ht="15" customHeight="1">
      <c r="A103" t="inlineStr">
        <is>
          <t>A 555-2024</t>
        </is>
      </c>
      <c r="B103" s="1" t="n">
        <v>45299</v>
      </c>
      <c r="C103" s="1" t="n">
        <v>45587</v>
      </c>
      <c r="D103" t="inlineStr">
        <is>
          <t>JÖNKÖPINGS LÄN</t>
        </is>
      </c>
      <c r="E103" t="inlineStr">
        <is>
          <t>VETLANDA</t>
        </is>
      </c>
      <c r="F103" t="inlineStr">
        <is>
          <t>Kommuner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HYPERLINK("https://klasma.github.io/Logging_0685/artfynd/A 555-2024 artfynd.xlsx", "A 555-2024")</f>
        <v/>
      </c>
      <c r="T103">
        <f>HYPERLINK("https://klasma.github.io/Logging_0685/kartor/A 555-2024 karta.png", "A 555-2024")</f>
        <v/>
      </c>
      <c r="V103">
        <f>HYPERLINK("https://klasma.github.io/Logging_0685/klagomål/A 555-2024 FSC-klagomål.docx", "A 555-2024")</f>
        <v/>
      </c>
      <c r="W103">
        <f>HYPERLINK("https://klasma.github.io/Logging_0685/klagomålsmail/A 555-2024 FSC-klagomål mail.docx", "A 555-2024")</f>
        <v/>
      </c>
      <c r="X103">
        <f>HYPERLINK("https://klasma.github.io/Logging_0685/tillsyn/A 555-2024 tillsynsbegäran.docx", "A 555-2024")</f>
        <v/>
      </c>
      <c r="Y103">
        <f>HYPERLINK("https://klasma.github.io/Logging_0685/tillsynsmail/A 555-2024 tillsynsbegäran mail.docx", "A 555-2024")</f>
        <v/>
      </c>
    </row>
    <row r="104" ht="15" customHeight="1">
      <c r="A104" t="inlineStr">
        <is>
          <t>A 3135-2024</t>
        </is>
      </c>
      <c r="B104" s="1" t="n">
        <v>45316</v>
      </c>
      <c r="C104" s="1" t="n">
        <v>45587</v>
      </c>
      <c r="D104" t="inlineStr">
        <is>
          <t>JÖNKÖPINGS LÄN</t>
        </is>
      </c>
      <c r="E104" t="inlineStr">
        <is>
          <t>VETLANDA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HYPERLINK("https://klasma.github.io/Logging_0685/artfynd/A 3135-2024 artfynd.xlsx", "A 3135-2024")</f>
        <v/>
      </c>
      <c r="T104">
        <f>HYPERLINK("https://klasma.github.io/Logging_0685/kartor/A 3135-2024 karta.png", "A 3135-2024")</f>
        <v/>
      </c>
      <c r="V104">
        <f>HYPERLINK("https://klasma.github.io/Logging_0685/klagomål/A 3135-2024 FSC-klagomål.docx", "A 3135-2024")</f>
        <v/>
      </c>
      <c r="W104">
        <f>HYPERLINK("https://klasma.github.io/Logging_0685/klagomålsmail/A 3135-2024 FSC-klagomål mail.docx", "A 3135-2024")</f>
        <v/>
      </c>
      <c r="X104">
        <f>HYPERLINK("https://klasma.github.io/Logging_0685/tillsyn/A 3135-2024 tillsynsbegäran.docx", "A 3135-2024")</f>
        <v/>
      </c>
      <c r="Y104">
        <f>HYPERLINK("https://klasma.github.io/Logging_0685/tillsynsmail/A 3135-2024 tillsynsbegäran mail.docx", "A 3135-2024")</f>
        <v/>
      </c>
    </row>
    <row r="105" ht="15" customHeight="1">
      <c r="A105" t="inlineStr">
        <is>
          <t>A 6777-2024</t>
        </is>
      </c>
      <c r="B105" s="1" t="n">
        <v>45342</v>
      </c>
      <c r="C105" s="1" t="n">
        <v>45587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HYPERLINK("https://klasma.github.io/Logging_0685/artfynd/A 6777-2024 artfynd.xlsx", "A 6777-2024")</f>
        <v/>
      </c>
      <c r="T105">
        <f>HYPERLINK("https://klasma.github.io/Logging_0685/kartor/A 6777-2024 karta.png", "A 6777-2024")</f>
        <v/>
      </c>
      <c r="V105">
        <f>HYPERLINK("https://klasma.github.io/Logging_0685/klagomål/A 6777-2024 FSC-klagomål.docx", "A 6777-2024")</f>
        <v/>
      </c>
      <c r="W105">
        <f>HYPERLINK("https://klasma.github.io/Logging_0685/klagomålsmail/A 6777-2024 FSC-klagomål mail.docx", "A 6777-2024")</f>
        <v/>
      </c>
      <c r="X105">
        <f>HYPERLINK("https://klasma.github.io/Logging_0685/tillsyn/A 6777-2024 tillsynsbegäran.docx", "A 6777-2024")</f>
        <v/>
      </c>
      <c r="Y105">
        <f>HYPERLINK("https://klasma.github.io/Logging_0685/tillsynsmail/A 6777-2024 tillsynsbegäran mail.docx", "A 6777-2024")</f>
        <v/>
      </c>
    </row>
    <row r="106" ht="15" customHeight="1">
      <c r="A106" t="inlineStr">
        <is>
          <t>A 8677-2024</t>
        </is>
      </c>
      <c r="B106" s="1" t="n">
        <v>45352</v>
      </c>
      <c r="C106" s="1" t="n">
        <v>45587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8677-2024 artfynd.xlsx", "A 8677-2024")</f>
        <v/>
      </c>
      <c r="T106">
        <f>HYPERLINK("https://klasma.github.io/Logging_0685/kartor/A 8677-2024 karta.png", "A 8677-2024")</f>
        <v/>
      </c>
      <c r="V106">
        <f>HYPERLINK("https://klasma.github.io/Logging_0685/klagomål/A 8677-2024 FSC-klagomål.docx", "A 8677-2024")</f>
        <v/>
      </c>
      <c r="W106">
        <f>HYPERLINK("https://klasma.github.io/Logging_0685/klagomålsmail/A 8677-2024 FSC-klagomål mail.docx", "A 8677-2024")</f>
        <v/>
      </c>
      <c r="X106">
        <f>HYPERLINK("https://klasma.github.io/Logging_0685/tillsyn/A 8677-2024 tillsynsbegäran.docx", "A 8677-2024")</f>
        <v/>
      </c>
      <c r="Y106">
        <f>HYPERLINK("https://klasma.github.io/Logging_0685/tillsynsmail/A 8677-2024 tillsynsbegäran mail.docx", "A 8677-2024")</f>
        <v/>
      </c>
    </row>
    <row r="107" ht="15" customHeight="1">
      <c r="A107" t="inlineStr">
        <is>
          <t>A 15177-2024</t>
        </is>
      </c>
      <c r="B107" s="1" t="n">
        <v>45400</v>
      </c>
      <c r="C107" s="1" t="n">
        <v>45587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20.9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15177-2024 artfynd.xlsx", "A 15177-2024")</f>
        <v/>
      </c>
      <c r="T107">
        <f>HYPERLINK("https://klasma.github.io/Logging_0685/kartor/A 15177-2024 karta.png", "A 15177-2024")</f>
        <v/>
      </c>
      <c r="U107">
        <f>HYPERLINK("https://klasma.github.io/Logging_0685/knärot/A 15177-2024 karta knärot.png", "A 15177-2024")</f>
        <v/>
      </c>
      <c r="V107">
        <f>HYPERLINK("https://klasma.github.io/Logging_0685/klagomål/A 15177-2024 FSC-klagomål.docx", "A 15177-2024")</f>
        <v/>
      </c>
      <c r="W107">
        <f>HYPERLINK("https://klasma.github.io/Logging_0685/klagomålsmail/A 15177-2024 FSC-klagomål mail.docx", "A 15177-2024")</f>
        <v/>
      </c>
      <c r="X107">
        <f>HYPERLINK("https://klasma.github.io/Logging_0685/tillsyn/A 15177-2024 tillsynsbegäran.docx", "A 15177-2024")</f>
        <v/>
      </c>
      <c r="Y107">
        <f>HYPERLINK("https://klasma.github.io/Logging_0685/tillsynsmail/A 15177-2024 tillsynsbegäran mail.docx", "A 15177-2024")</f>
        <v/>
      </c>
    </row>
    <row r="108" ht="15" customHeight="1">
      <c r="A108" t="inlineStr">
        <is>
          <t>A 16508-2024</t>
        </is>
      </c>
      <c r="B108" s="1" t="n">
        <v>45408</v>
      </c>
      <c r="C108" s="1" t="n">
        <v>45587</v>
      </c>
      <c r="D108" t="inlineStr">
        <is>
          <t>JÖNKÖPINGS LÄN</t>
        </is>
      </c>
      <c r="E108" t="inlineStr">
        <is>
          <t>VETLANDA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16508-2024 artfynd.xlsx", "A 16508-2024")</f>
        <v/>
      </c>
      <c r="T108">
        <f>HYPERLINK("https://klasma.github.io/Logging_0685/kartor/A 16508-2024 karta.png", "A 16508-2024")</f>
        <v/>
      </c>
      <c r="V108">
        <f>HYPERLINK("https://klasma.github.io/Logging_0685/klagomål/A 16508-2024 FSC-klagomål.docx", "A 16508-2024")</f>
        <v/>
      </c>
      <c r="W108">
        <f>HYPERLINK("https://klasma.github.io/Logging_0685/klagomålsmail/A 16508-2024 FSC-klagomål mail.docx", "A 16508-2024")</f>
        <v/>
      </c>
      <c r="X108">
        <f>HYPERLINK("https://klasma.github.io/Logging_0685/tillsyn/A 16508-2024 tillsynsbegäran.docx", "A 16508-2024")</f>
        <v/>
      </c>
      <c r="Y108">
        <f>HYPERLINK("https://klasma.github.io/Logging_0685/tillsynsmail/A 16508-2024 tillsynsbegäran mail.docx", "A 16508-2024")</f>
        <v/>
      </c>
    </row>
    <row r="109" ht="15" customHeight="1">
      <c r="A109" t="inlineStr">
        <is>
          <t>A 17874-2024</t>
        </is>
      </c>
      <c r="B109" s="1" t="n">
        <v>45419</v>
      </c>
      <c r="C109" s="1" t="n">
        <v>45587</v>
      </c>
      <c r="D109" t="inlineStr">
        <is>
          <t>JÖNKÖPINGS LÄN</t>
        </is>
      </c>
      <c r="E109" t="inlineStr">
        <is>
          <t>VETLANDA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Dvärghäxört</t>
        </is>
      </c>
      <c r="S109">
        <f>HYPERLINK("https://klasma.github.io/Logging_0685/artfynd/A 17874-2024 artfynd.xlsx", "A 17874-2024")</f>
        <v/>
      </c>
      <c r="T109">
        <f>HYPERLINK("https://klasma.github.io/Logging_0685/kartor/A 17874-2024 karta.png", "A 17874-2024")</f>
        <v/>
      </c>
      <c r="V109">
        <f>HYPERLINK("https://klasma.github.io/Logging_0685/klagomål/A 17874-2024 FSC-klagomål.docx", "A 17874-2024")</f>
        <v/>
      </c>
      <c r="W109">
        <f>HYPERLINK("https://klasma.github.io/Logging_0685/klagomålsmail/A 17874-2024 FSC-klagomål mail.docx", "A 17874-2024")</f>
        <v/>
      </c>
      <c r="X109">
        <f>HYPERLINK("https://klasma.github.io/Logging_0685/tillsyn/A 17874-2024 tillsynsbegäran.docx", "A 17874-2024")</f>
        <v/>
      </c>
      <c r="Y109">
        <f>HYPERLINK("https://klasma.github.io/Logging_0685/tillsynsmail/A 17874-2024 tillsynsbegäran mail.docx", "A 17874-2024")</f>
        <v/>
      </c>
    </row>
    <row r="110" ht="15" customHeight="1">
      <c r="A110" t="inlineStr">
        <is>
          <t>A 22965-2024</t>
        </is>
      </c>
      <c r="B110" s="1" t="n">
        <v>45449</v>
      </c>
      <c r="C110" s="1" t="n">
        <v>45587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HYPERLINK("https://klasma.github.io/Logging_0685/artfynd/A 22965-2024 artfynd.xlsx", "A 22965-2024")</f>
        <v/>
      </c>
      <c r="T110">
        <f>HYPERLINK("https://klasma.github.io/Logging_0685/kartor/A 22965-2024 karta.png", "A 22965-2024")</f>
        <v/>
      </c>
      <c r="V110">
        <f>HYPERLINK("https://klasma.github.io/Logging_0685/klagomål/A 22965-2024 FSC-klagomål.docx", "A 22965-2024")</f>
        <v/>
      </c>
      <c r="W110">
        <f>HYPERLINK("https://klasma.github.io/Logging_0685/klagomålsmail/A 22965-2024 FSC-klagomål mail.docx", "A 22965-2024")</f>
        <v/>
      </c>
      <c r="X110">
        <f>HYPERLINK("https://klasma.github.io/Logging_0685/tillsyn/A 22965-2024 tillsynsbegäran.docx", "A 22965-2024")</f>
        <v/>
      </c>
      <c r="Y110">
        <f>HYPERLINK("https://klasma.github.io/Logging_0685/tillsynsmail/A 22965-2024 tillsynsbegäran mail.docx", "A 22965-2024")</f>
        <v/>
      </c>
      <c r="Z110">
        <f>HYPERLINK("https://klasma.github.io/Logging_0685/fåglar/A 22965-2024 prioriterade fågelarter.docx", "A 22965-2024")</f>
        <v/>
      </c>
    </row>
    <row r="111" ht="15" customHeight="1">
      <c r="A111" t="inlineStr">
        <is>
          <t>A 28783-2024</t>
        </is>
      </c>
      <c r="B111" s="1" t="n">
        <v>45478</v>
      </c>
      <c r="C111" s="1" t="n">
        <v>45587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28783-2024 artfynd.xlsx", "A 28783-2024")</f>
        <v/>
      </c>
      <c r="T111">
        <f>HYPERLINK("https://klasma.github.io/Logging_0685/kartor/A 28783-2024 karta.png", "A 28783-2024")</f>
        <v/>
      </c>
      <c r="V111">
        <f>HYPERLINK("https://klasma.github.io/Logging_0685/klagomål/A 28783-2024 FSC-klagomål.docx", "A 28783-2024")</f>
        <v/>
      </c>
      <c r="W111">
        <f>HYPERLINK("https://klasma.github.io/Logging_0685/klagomålsmail/A 28783-2024 FSC-klagomål mail.docx", "A 28783-2024")</f>
        <v/>
      </c>
      <c r="X111">
        <f>HYPERLINK("https://klasma.github.io/Logging_0685/tillsyn/A 28783-2024 tillsynsbegäran.docx", "A 28783-2024")</f>
        <v/>
      </c>
      <c r="Y111">
        <f>HYPERLINK("https://klasma.github.io/Logging_0685/tillsynsmail/A 28783-2024 tillsynsbegäran mail.docx", "A 28783-2024")</f>
        <v/>
      </c>
    </row>
    <row r="112" ht="15" customHeight="1">
      <c r="A112" t="inlineStr">
        <is>
          <t>A 33744-2024</t>
        </is>
      </c>
      <c r="B112" s="1" t="n">
        <v>45520</v>
      </c>
      <c r="C112" s="1" t="n">
        <v>45587</v>
      </c>
      <c r="D112" t="inlineStr">
        <is>
          <t>JÖNKÖPINGS LÄN</t>
        </is>
      </c>
      <c r="E112" t="inlineStr">
        <is>
          <t>VETLANDA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HYPERLINK("https://klasma.github.io/Logging_0685/artfynd/A 33744-2024 artfynd.xlsx", "A 33744-2024")</f>
        <v/>
      </c>
      <c r="T112">
        <f>HYPERLINK("https://klasma.github.io/Logging_0685/kartor/A 33744-2024 karta.png", "A 33744-2024")</f>
        <v/>
      </c>
      <c r="V112">
        <f>HYPERLINK("https://klasma.github.io/Logging_0685/klagomål/A 33744-2024 FSC-klagomål.docx", "A 33744-2024")</f>
        <v/>
      </c>
      <c r="W112">
        <f>HYPERLINK("https://klasma.github.io/Logging_0685/klagomålsmail/A 33744-2024 FSC-klagomål mail.docx", "A 33744-2024")</f>
        <v/>
      </c>
      <c r="X112">
        <f>HYPERLINK("https://klasma.github.io/Logging_0685/tillsyn/A 33744-2024 tillsynsbegäran.docx", "A 33744-2024")</f>
        <v/>
      </c>
      <c r="Y112">
        <f>HYPERLINK("https://klasma.github.io/Logging_0685/tillsynsmail/A 33744-2024 tillsynsbegäran mail.docx", "A 33744-2024")</f>
        <v/>
      </c>
    </row>
    <row r="113" ht="15" customHeight="1">
      <c r="A113" t="inlineStr">
        <is>
          <t>A 35657-2024</t>
        </is>
      </c>
      <c r="B113" s="1" t="n">
        <v>45532</v>
      </c>
      <c r="C113" s="1" t="n">
        <v>45587</v>
      </c>
      <c r="D113" t="inlineStr">
        <is>
          <t>JÖNKÖPINGS LÄN</t>
        </is>
      </c>
      <c r="E113" t="inlineStr">
        <is>
          <t>VETLANDA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Åkerkål</t>
        </is>
      </c>
      <c r="S113">
        <f>HYPERLINK("https://klasma.github.io/Logging_0685/artfynd/A 35657-2024 artfynd.xlsx", "A 35657-2024")</f>
        <v/>
      </c>
      <c r="T113">
        <f>HYPERLINK("https://klasma.github.io/Logging_0685/kartor/A 35657-2024 karta.png", "A 35657-2024")</f>
        <v/>
      </c>
      <c r="V113">
        <f>HYPERLINK("https://klasma.github.io/Logging_0685/klagomål/A 35657-2024 FSC-klagomål.docx", "A 35657-2024")</f>
        <v/>
      </c>
      <c r="W113">
        <f>HYPERLINK("https://klasma.github.io/Logging_0685/klagomålsmail/A 35657-2024 FSC-klagomål mail.docx", "A 35657-2024")</f>
        <v/>
      </c>
      <c r="X113">
        <f>HYPERLINK("https://klasma.github.io/Logging_0685/tillsyn/A 35657-2024 tillsynsbegäran.docx", "A 35657-2024")</f>
        <v/>
      </c>
      <c r="Y113">
        <f>HYPERLINK("https://klasma.github.io/Logging_0685/tillsynsmail/A 35657-2024 tillsynsbegäran mail.docx", "A 35657-2024")</f>
        <v/>
      </c>
    </row>
    <row r="114" ht="15" customHeight="1">
      <c r="A114" t="inlineStr">
        <is>
          <t>A 36067-2024</t>
        </is>
      </c>
      <c r="B114" s="1" t="n">
        <v>45533</v>
      </c>
      <c r="C114" s="1" t="n">
        <v>45587</v>
      </c>
      <c r="D114" t="inlineStr">
        <is>
          <t>JÖNKÖPINGS LÄN</t>
        </is>
      </c>
      <c r="E114" t="inlineStr">
        <is>
          <t>VETLANDA</t>
        </is>
      </c>
      <c r="G114" t="n">
        <v>6.8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HYPERLINK("https://klasma.github.io/Logging_0685/artfynd/A 36067-2024 artfynd.xlsx", "A 36067-2024")</f>
        <v/>
      </c>
      <c r="T114">
        <f>HYPERLINK("https://klasma.github.io/Logging_0685/kartor/A 36067-2024 karta.png", "A 36067-2024")</f>
        <v/>
      </c>
      <c r="V114">
        <f>HYPERLINK("https://klasma.github.io/Logging_0685/klagomål/A 36067-2024 FSC-klagomål.docx", "A 36067-2024")</f>
        <v/>
      </c>
      <c r="W114">
        <f>HYPERLINK("https://klasma.github.io/Logging_0685/klagomålsmail/A 36067-2024 FSC-klagomål mail.docx", "A 36067-2024")</f>
        <v/>
      </c>
      <c r="X114">
        <f>HYPERLINK("https://klasma.github.io/Logging_0685/tillsyn/A 36067-2024 tillsynsbegäran.docx", "A 36067-2024")</f>
        <v/>
      </c>
      <c r="Y114">
        <f>HYPERLINK("https://klasma.github.io/Logging_0685/tillsynsmail/A 36067-2024 tillsynsbegäran mail.docx", "A 36067-2024")</f>
        <v/>
      </c>
    </row>
    <row r="115" ht="15" customHeight="1">
      <c r="A115" t="inlineStr">
        <is>
          <t>A 40417-2024</t>
        </is>
      </c>
      <c r="B115" s="1" t="n">
        <v>45555</v>
      </c>
      <c r="C115" s="1" t="n">
        <v>45587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40417-2024 artfynd.xlsx", "A 40417-2024")</f>
        <v/>
      </c>
      <c r="T115">
        <f>HYPERLINK("https://klasma.github.io/Logging_0685/kartor/A 40417-2024 karta.png", "A 40417-2024")</f>
        <v/>
      </c>
      <c r="V115">
        <f>HYPERLINK("https://klasma.github.io/Logging_0685/klagomål/A 40417-2024 FSC-klagomål.docx", "A 40417-2024")</f>
        <v/>
      </c>
      <c r="W115">
        <f>HYPERLINK("https://klasma.github.io/Logging_0685/klagomålsmail/A 40417-2024 FSC-klagomål mail.docx", "A 40417-2024")</f>
        <v/>
      </c>
      <c r="X115">
        <f>HYPERLINK("https://klasma.github.io/Logging_0685/tillsyn/A 40417-2024 tillsynsbegäran.docx", "A 40417-2024")</f>
        <v/>
      </c>
      <c r="Y115">
        <f>HYPERLINK("https://klasma.github.io/Logging_0685/tillsynsmail/A 40417-2024 tillsynsbegäran mail.docx", "A 40417-2024")</f>
        <v/>
      </c>
    </row>
    <row r="116" ht="15" customHeight="1">
      <c r="A116" t="inlineStr">
        <is>
          <t>A 42637-2024</t>
        </is>
      </c>
      <c r="B116" s="1" t="n">
        <v>45565</v>
      </c>
      <c r="C116" s="1" t="n">
        <v>45587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42637-2024 artfynd.xlsx", "A 42637-2024")</f>
        <v/>
      </c>
      <c r="T116">
        <f>HYPERLINK("https://klasma.github.io/Logging_0685/kartor/A 42637-2024 karta.png", "A 42637-2024")</f>
        <v/>
      </c>
      <c r="V116">
        <f>HYPERLINK("https://klasma.github.io/Logging_0685/klagomål/A 42637-2024 FSC-klagomål.docx", "A 42637-2024")</f>
        <v/>
      </c>
      <c r="W116">
        <f>HYPERLINK("https://klasma.github.io/Logging_0685/klagomålsmail/A 42637-2024 FSC-klagomål mail.docx", "A 42637-2024")</f>
        <v/>
      </c>
      <c r="X116">
        <f>HYPERLINK("https://klasma.github.io/Logging_0685/tillsyn/A 42637-2024 tillsynsbegäran.docx", "A 42637-2024")</f>
        <v/>
      </c>
      <c r="Y116">
        <f>HYPERLINK("https://klasma.github.io/Logging_0685/tillsynsmail/A 42637-2024 tillsynsbegäran mail.docx", "A 42637-2024")</f>
        <v/>
      </c>
    </row>
    <row r="117" ht="15" customHeight="1">
      <c r="A117" t="inlineStr">
        <is>
          <t>A 43565-2024</t>
        </is>
      </c>
      <c r="B117" s="1" t="n">
        <v>45569</v>
      </c>
      <c r="C117" s="1" t="n">
        <v>45587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43565-2024 artfynd.xlsx", "A 43565-2024")</f>
        <v/>
      </c>
      <c r="T117">
        <f>HYPERLINK("https://klasma.github.io/Logging_0685/kartor/A 43565-2024 karta.png", "A 43565-2024")</f>
        <v/>
      </c>
      <c r="V117">
        <f>HYPERLINK("https://klasma.github.io/Logging_0685/klagomål/A 43565-2024 FSC-klagomål.docx", "A 43565-2024")</f>
        <v/>
      </c>
      <c r="W117">
        <f>HYPERLINK("https://klasma.github.io/Logging_0685/klagomålsmail/A 43565-2024 FSC-klagomål mail.docx", "A 43565-2024")</f>
        <v/>
      </c>
      <c r="X117">
        <f>HYPERLINK("https://klasma.github.io/Logging_0685/tillsyn/A 43565-2024 tillsynsbegäran.docx", "A 43565-2024")</f>
        <v/>
      </c>
      <c r="Y117">
        <f>HYPERLINK("https://klasma.github.io/Logging_0685/tillsynsmail/A 43565-2024 tillsynsbegäran mail.docx", "A 43565-2024")</f>
        <v/>
      </c>
    </row>
    <row r="118" ht="15" customHeight="1">
      <c r="A118" t="inlineStr">
        <is>
          <t>A 47071-2024</t>
        </is>
      </c>
      <c r="B118" s="1" t="n">
        <v>45586</v>
      </c>
      <c r="C118" s="1" t="n">
        <v>45587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Etternässla</t>
        </is>
      </c>
      <c r="S118">
        <f>HYPERLINK("https://klasma.github.io/Logging_0685/artfynd/A 47071-2024 artfynd.xlsx", "A 47071-2024")</f>
        <v/>
      </c>
      <c r="T118">
        <f>HYPERLINK("https://klasma.github.io/Logging_0685/kartor/A 47071-2024 karta.png", "A 47071-2024")</f>
        <v/>
      </c>
      <c r="V118">
        <f>HYPERLINK("https://klasma.github.io/Logging_0685/klagomål/A 47071-2024 FSC-klagomål.docx", "A 47071-2024")</f>
        <v/>
      </c>
      <c r="W118">
        <f>HYPERLINK("https://klasma.github.io/Logging_0685/klagomålsmail/A 47071-2024 FSC-klagomål mail.docx", "A 47071-2024")</f>
        <v/>
      </c>
      <c r="X118">
        <f>HYPERLINK("https://klasma.github.io/Logging_0685/tillsyn/A 47071-2024 tillsynsbegäran.docx", "A 47071-2024")</f>
        <v/>
      </c>
      <c r="Y118">
        <f>HYPERLINK("https://klasma.github.io/Logging_0685/tillsynsmail/A 47071-2024 tillsynsbegäran mail.docx", "A 47071-2024")</f>
        <v/>
      </c>
    </row>
    <row r="119" ht="15" customHeight="1">
      <c r="A119" t="inlineStr">
        <is>
          <t>A 18559-2019</t>
        </is>
      </c>
      <c r="B119" s="1" t="n">
        <v>43559</v>
      </c>
      <c r="C119" s="1" t="n">
        <v>45587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18733-2019</t>
        </is>
      </c>
      <c r="B120" s="1" t="n">
        <v>43560</v>
      </c>
      <c r="C120" s="1" t="n">
        <v>45587</v>
      </c>
      <c r="D120" t="inlineStr">
        <is>
          <t>JÖNKÖPINGS LÄN</t>
        </is>
      </c>
      <c r="E120" t="inlineStr">
        <is>
          <t>VETLANDA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19600-2019</t>
        </is>
      </c>
      <c r="B121" s="1" t="n">
        <v>43566</v>
      </c>
      <c r="C121" s="1" t="n">
        <v>45587</v>
      </c>
      <c r="D121" t="inlineStr">
        <is>
          <t>JÖNKÖPINGS LÄN</t>
        </is>
      </c>
      <c r="E121" t="inlineStr">
        <is>
          <t>VETLANDA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19605-2019</t>
        </is>
      </c>
      <c r="B122" s="1" t="n">
        <v>43566</v>
      </c>
      <c r="C122" s="1" t="n">
        <v>45587</v>
      </c>
      <c r="D122" t="inlineStr">
        <is>
          <t>JÖNKÖPINGS LÄN</t>
        </is>
      </c>
      <c r="E122" t="inlineStr">
        <is>
          <t>VETLANDA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19911-2019</t>
        </is>
      </c>
      <c r="B123" s="1" t="n">
        <v>43567</v>
      </c>
      <c r="C123" s="1" t="n">
        <v>45587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20325-2019</t>
        </is>
      </c>
      <c r="B124" s="1" t="n">
        <v>43571</v>
      </c>
      <c r="C124" s="1" t="n">
        <v>45587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21227-2019</t>
        </is>
      </c>
      <c r="B125" s="1" t="n">
        <v>43579</v>
      </c>
      <c r="C125" s="1" t="n">
        <v>45587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21354-2019</t>
        </is>
      </c>
      <c r="B126" s="1" t="n">
        <v>43579</v>
      </c>
      <c r="C126" s="1" t="n">
        <v>45587</v>
      </c>
      <c r="D126" t="inlineStr">
        <is>
          <t>JÖNKÖPINGS LÄN</t>
        </is>
      </c>
      <c r="E126" t="inlineStr">
        <is>
          <t>VETLANDA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21571-2019</t>
        </is>
      </c>
      <c r="B127" s="1" t="n">
        <v>43580</v>
      </c>
      <c r="C127" s="1" t="n">
        <v>45587</v>
      </c>
      <c r="D127" t="inlineStr">
        <is>
          <t>JÖNKÖPINGS LÄN</t>
        </is>
      </c>
      <c r="E127" t="inlineStr">
        <is>
          <t>VETLANDA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21568-2019</t>
        </is>
      </c>
      <c r="B128" s="1" t="n">
        <v>43580</v>
      </c>
      <c r="C128" s="1" t="n">
        <v>45587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21856-2019</t>
        </is>
      </c>
      <c r="B129" s="1" t="n">
        <v>43584</v>
      </c>
      <c r="C129" s="1" t="n">
        <v>45587</v>
      </c>
      <c r="D129" t="inlineStr">
        <is>
          <t>JÖNKÖPINGS LÄN</t>
        </is>
      </c>
      <c r="E129" t="inlineStr">
        <is>
          <t>VETLANDA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22167-2019</t>
        </is>
      </c>
      <c r="B130" s="1" t="n">
        <v>43585</v>
      </c>
      <c r="C130" s="1" t="n">
        <v>45587</v>
      </c>
      <c r="D130" t="inlineStr">
        <is>
          <t>JÖNKÖPINGS LÄN</t>
        </is>
      </c>
      <c r="E130" t="inlineStr">
        <is>
          <t>VETLANDA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22171-2019</t>
        </is>
      </c>
      <c r="B131" s="1" t="n">
        <v>43585</v>
      </c>
      <c r="C131" s="1" t="n">
        <v>45587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23164-2019</t>
        </is>
      </c>
      <c r="B132" s="1" t="n">
        <v>43592</v>
      </c>
      <c r="C132" s="1" t="n">
        <v>45587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23371-2019</t>
        </is>
      </c>
      <c r="B133" s="1" t="n">
        <v>43593</v>
      </c>
      <c r="C133" s="1" t="n">
        <v>45587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23369-2019</t>
        </is>
      </c>
      <c r="B134" s="1" t="n">
        <v>43593</v>
      </c>
      <c r="C134" s="1" t="n">
        <v>45587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23650-2019</t>
        </is>
      </c>
      <c r="B135" s="1" t="n">
        <v>43594</v>
      </c>
      <c r="C135" s="1" t="n">
        <v>45587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23978-2019</t>
        </is>
      </c>
      <c r="B136" s="1" t="n">
        <v>43595</v>
      </c>
      <c r="C136" s="1" t="n">
        <v>45587</v>
      </c>
      <c r="D136" t="inlineStr">
        <is>
          <t>JÖNKÖPINGS LÄN</t>
        </is>
      </c>
      <c r="E136" t="inlineStr">
        <is>
          <t>VETLANDA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24648-2019</t>
        </is>
      </c>
      <c r="B137" s="1" t="n">
        <v>43601</v>
      </c>
      <c r="C137" s="1" t="n">
        <v>45587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24649-2019</t>
        </is>
      </c>
      <c r="B138" s="1" t="n">
        <v>43601</v>
      </c>
      <c r="C138" s="1" t="n">
        <v>45587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25086-2019</t>
        </is>
      </c>
      <c r="B139" s="1" t="n">
        <v>43605</v>
      </c>
      <c r="C139" s="1" t="n">
        <v>45587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25888-2019</t>
        </is>
      </c>
      <c r="B140" s="1" t="n">
        <v>43605</v>
      </c>
      <c r="C140" s="1" t="n">
        <v>45587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25819-2019</t>
        </is>
      </c>
      <c r="B141" s="1" t="n">
        <v>43605</v>
      </c>
      <c r="C141" s="1" t="n">
        <v>45587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25868-2019</t>
        </is>
      </c>
      <c r="B142" s="1" t="n">
        <v>43605</v>
      </c>
      <c r="C142" s="1" t="n">
        <v>45587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25795-2019</t>
        </is>
      </c>
      <c r="B143" s="1" t="n">
        <v>43605</v>
      </c>
      <c r="C143" s="1" t="n">
        <v>45587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25083-2019</t>
        </is>
      </c>
      <c r="B144" s="1" t="n">
        <v>43605</v>
      </c>
      <c r="C144" s="1" t="n">
        <v>45587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25389-2019</t>
        </is>
      </c>
      <c r="B145" s="1" t="n">
        <v>43606</v>
      </c>
      <c r="C145" s="1" t="n">
        <v>45587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25379-2019</t>
        </is>
      </c>
      <c r="B146" s="1" t="n">
        <v>43606</v>
      </c>
      <c r="C146" s="1" t="n">
        <v>45587</v>
      </c>
      <c r="D146" t="inlineStr">
        <is>
          <t>JÖNKÖPINGS LÄN</t>
        </is>
      </c>
      <c r="E146" t="inlineStr">
        <is>
          <t>VETLANDA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25582-2019</t>
        </is>
      </c>
      <c r="B147" s="1" t="n">
        <v>43607</v>
      </c>
      <c r="C147" s="1" t="n">
        <v>45587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26554-2019</t>
        </is>
      </c>
      <c r="B148" s="1" t="n">
        <v>43612</v>
      </c>
      <c r="C148" s="1" t="n">
        <v>45587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27044-2019</t>
        </is>
      </c>
      <c r="B149" s="1" t="n">
        <v>43614</v>
      </c>
      <c r="C149" s="1" t="n">
        <v>45587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27466-2019</t>
        </is>
      </c>
      <c r="B150" s="1" t="n">
        <v>43618</v>
      </c>
      <c r="C150" s="1" t="n">
        <v>45587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27642-2019</t>
        </is>
      </c>
      <c r="B151" s="1" t="n">
        <v>43619</v>
      </c>
      <c r="C151" s="1" t="n">
        <v>45587</v>
      </c>
      <c r="D151" t="inlineStr">
        <is>
          <t>JÖNKÖPINGS LÄN</t>
        </is>
      </c>
      <c r="E151" t="inlineStr">
        <is>
          <t>VETLANDA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27643-2019</t>
        </is>
      </c>
      <c r="B152" s="1" t="n">
        <v>43619</v>
      </c>
      <c r="C152" s="1" t="n">
        <v>45587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28246-2019</t>
        </is>
      </c>
      <c r="B153" s="1" t="n">
        <v>43622</v>
      </c>
      <c r="C153" s="1" t="n">
        <v>45587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28587-2019</t>
        </is>
      </c>
      <c r="B154" s="1" t="n">
        <v>43626</v>
      </c>
      <c r="C154" s="1" t="n">
        <v>45587</v>
      </c>
      <c r="D154" t="inlineStr">
        <is>
          <t>JÖNKÖPINGS LÄN</t>
        </is>
      </c>
      <c r="E154" t="inlineStr">
        <is>
          <t>VETLANDA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28657-2019</t>
        </is>
      </c>
      <c r="B155" s="1" t="n">
        <v>43627</v>
      </c>
      <c r="C155" s="1" t="n">
        <v>45587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28676-2019</t>
        </is>
      </c>
      <c r="B156" s="1" t="n">
        <v>43627</v>
      </c>
      <c r="C156" s="1" t="n">
        <v>45587</v>
      </c>
      <c r="D156" t="inlineStr">
        <is>
          <t>JÖNKÖPINGS LÄN</t>
        </is>
      </c>
      <c r="E156" t="inlineStr">
        <is>
          <t>VETLANDA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29406-2019</t>
        </is>
      </c>
      <c r="B157" s="1" t="n">
        <v>43629</v>
      </c>
      <c r="C157" s="1" t="n">
        <v>45587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29420-2019</t>
        </is>
      </c>
      <c r="B158" s="1" t="n">
        <v>43629</v>
      </c>
      <c r="C158" s="1" t="n">
        <v>45587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29716-2019</t>
        </is>
      </c>
      <c r="B159" s="1" t="n">
        <v>43630</v>
      </c>
      <c r="C159" s="1" t="n">
        <v>45587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29539-2019</t>
        </is>
      </c>
      <c r="B160" s="1" t="n">
        <v>43630</v>
      </c>
      <c r="C160" s="1" t="n">
        <v>45587</v>
      </c>
      <c r="D160" t="inlineStr">
        <is>
          <t>JÖNKÖPINGS LÄN</t>
        </is>
      </c>
      <c r="E160" t="inlineStr">
        <is>
          <t>VETLANDA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30909-2019</t>
        </is>
      </c>
      <c r="B161" s="1" t="n">
        <v>43636</v>
      </c>
      <c r="C161" s="1" t="n">
        <v>45587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30803-2019</t>
        </is>
      </c>
      <c r="B162" s="1" t="n">
        <v>43636</v>
      </c>
      <c r="C162" s="1" t="n">
        <v>45587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30791-2019</t>
        </is>
      </c>
      <c r="B163" s="1" t="n">
        <v>43636</v>
      </c>
      <c r="C163" s="1" t="n">
        <v>45587</v>
      </c>
      <c r="D163" t="inlineStr">
        <is>
          <t>JÖNKÖPINGS LÄN</t>
        </is>
      </c>
      <c r="E163" t="inlineStr">
        <is>
          <t>VETLANDA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31246-2019</t>
        </is>
      </c>
      <c r="B164" s="1" t="n">
        <v>43640</v>
      </c>
      <c r="C164" s="1" t="n">
        <v>45587</v>
      </c>
      <c r="D164" t="inlineStr">
        <is>
          <t>JÖNKÖPINGS LÄN</t>
        </is>
      </c>
      <c r="E164" t="inlineStr">
        <is>
          <t>VETLANDA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31819-2019</t>
        </is>
      </c>
      <c r="B165" s="1" t="n">
        <v>43642</v>
      </c>
      <c r="C165" s="1" t="n">
        <v>45587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31858-2019</t>
        </is>
      </c>
      <c r="B166" s="1" t="n">
        <v>43642</v>
      </c>
      <c r="C166" s="1" t="n">
        <v>45587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32235-2019</t>
        </is>
      </c>
      <c r="B167" s="1" t="n">
        <v>43644</v>
      </c>
      <c r="C167" s="1" t="n">
        <v>45587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32241-2019</t>
        </is>
      </c>
      <c r="B168" s="1" t="n">
        <v>43644</v>
      </c>
      <c r="C168" s="1" t="n">
        <v>45587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32237-2019</t>
        </is>
      </c>
      <c r="B169" s="1" t="n">
        <v>43644</v>
      </c>
      <c r="C169" s="1" t="n">
        <v>45587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32504-2019</t>
        </is>
      </c>
      <c r="B170" s="1" t="n">
        <v>43644</v>
      </c>
      <c r="C170" s="1" t="n">
        <v>45587</v>
      </c>
      <c r="D170" t="inlineStr">
        <is>
          <t>JÖNKÖPINGS LÄN</t>
        </is>
      </c>
      <c r="E170" t="inlineStr">
        <is>
          <t>VETLANDA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35494-2019</t>
        </is>
      </c>
      <c r="B171" s="1" t="n">
        <v>43651</v>
      </c>
      <c r="C171" s="1" t="n">
        <v>45587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35489-2019</t>
        </is>
      </c>
      <c r="B172" s="1" t="n">
        <v>43651</v>
      </c>
      <c r="C172" s="1" t="n">
        <v>45587</v>
      </c>
      <c r="D172" t="inlineStr">
        <is>
          <t>JÖNKÖPINGS LÄN</t>
        </is>
      </c>
      <c r="E172" t="inlineStr">
        <is>
          <t>VETLANDA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34380-2019</t>
        </is>
      </c>
      <c r="B173" s="1" t="n">
        <v>43656</v>
      </c>
      <c r="C173" s="1" t="n">
        <v>45587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35935-2019</t>
        </is>
      </c>
      <c r="B174" s="1" t="n">
        <v>43656</v>
      </c>
      <c r="C174" s="1" t="n">
        <v>45587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35946-2019</t>
        </is>
      </c>
      <c r="B175" s="1" t="n">
        <v>43656</v>
      </c>
      <c r="C175" s="1" t="n">
        <v>45587</v>
      </c>
      <c r="D175" t="inlineStr">
        <is>
          <t>JÖNKÖPINGS LÄN</t>
        </is>
      </c>
      <c r="E175" t="inlineStr">
        <is>
          <t>VETLANDA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35910-2019</t>
        </is>
      </c>
      <c r="B176" s="1" t="n">
        <v>43656</v>
      </c>
      <c r="C176" s="1" t="n">
        <v>45587</v>
      </c>
      <c r="D176" t="inlineStr">
        <is>
          <t>JÖNKÖPINGS LÄN</t>
        </is>
      </c>
      <c r="E176" t="inlineStr">
        <is>
          <t>VETLANDA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35945-2019</t>
        </is>
      </c>
      <c r="B177" s="1" t="n">
        <v>43656</v>
      </c>
      <c r="C177" s="1" t="n">
        <v>45587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35942-2019</t>
        </is>
      </c>
      <c r="B178" s="1" t="n">
        <v>43656</v>
      </c>
      <c r="C178" s="1" t="n">
        <v>45587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35944-2019</t>
        </is>
      </c>
      <c r="B179" s="1" t="n">
        <v>43656</v>
      </c>
      <c r="C179" s="1" t="n">
        <v>45587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35903-2019</t>
        </is>
      </c>
      <c r="B180" s="1" t="n">
        <v>43656</v>
      </c>
      <c r="C180" s="1" t="n">
        <v>45587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34775-2019</t>
        </is>
      </c>
      <c r="B181" s="1" t="n">
        <v>43658</v>
      </c>
      <c r="C181" s="1" t="n">
        <v>45587</v>
      </c>
      <c r="D181" t="inlineStr">
        <is>
          <t>JÖNKÖPINGS LÄN</t>
        </is>
      </c>
      <c r="E181" t="inlineStr">
        <is>
          <t>VETLANDA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35117-2019</t>
        </is>
      </c>
      <c r="B182" s="1" t="n">
        <v>43661</v>
      </c>
      <c r="C182" s="1" t="n">
        <v>45587</v>
      </c>
      <c r="D182" t="inlineStr">
        <is>
          <t>JÖNKÖPINGS LÄN</t>
        </is>
      </c>
      <c r="E182" t="inlineStr">
        <is>
          <t>VETLANDA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35309-2019</t>
        </is>
      </c>
      <c r="B183" s="1" t="n">
        <v>43662</v>
      </c>
      <c r="C183" s="1" t="n">
        <v>45587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35310-2019</t>
        </is>
      </c>
      <c r="B184" s="1" t="n">
        <v>43662</v>
      </c>
      <c r="C184" s="1" t="n">
        <v>45587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35477-2019</t>
        </is>
      </c>
      <c r="B185" s="1" t="n">
        <v>43663</v>
      </c>
      <c r="C185" s="1" t="n">
        <v>45587</v>
      </c>
      <c r="D185" t="inlineStr">
        <is>
          <t>JÖNKÖPINGS LÄN</t>
        </is>
      </c>
      <c r="E185" t="inlineStr">
        <is>
          <t>VETLANDA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35528-2019</t>
        </is>
      </c>
      <c r="B186" s="1" t="n">
        <v>43664</v>
      </c>
      <c r="C186" s="1" t="n">
        <v>45587</v>
      </c>
      <c r="D186" t="inlineStr">
        <is>
          <t>JÖNKÖPINGS LÄN</t>
        </is>
      </c>
      <c r="E186" t="inlineStr">
        <is>
          <t>VETLANDA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35914-2019</t>
        </is>
      </c>
      <c r="B187" s="1" t="n">
        <v>43665</v>
      </c>
      <c r="C187" s="1" t="n">
        <v>45587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35760-2019</t>
        </is>
      </c>
      <c r="B188" s="1" t="n">
        <v>43665</v>
      </c>
      <c r="C188" s="1" t="n">
        <v>45587</v>
      </c>
      <c r="D188" t="inlineStr">
        <is>
          <t>JÖNKÖPINGS LÄN</t>
        </is>
      </c>
      <c r="E188" t="inlineStr">
        <is>
          <t>VETLANDA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35904-2019</t>
        </is>
      </c>
      <c r="B189" s="1" t="n">
        <v>43665</v>
      </c>
      <c r="C189" s="1" t="n">
        <v>45587</v>
      </c>
      <c r="D189" t="inlineStr">
        <is>
          <t>JÖNKÖPINGS LÄN</t>
        </is>
      </c>
      <c r="E189" t="inlineStr">
        <is>
          <t>VETLANDA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35925-2019</t>
        </is>
      </c>
      <c r="B190" s="1" t="n">
        <v>43665</v>
      </c>
      <c r="C190" s="1" t="n">
        <v>45587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35815-2019</t>
        </is>
      </c>
      <c r="B191" s="1" t="n">
        <v>43665</v>
      </c>
      <c r="C191" s="1" t="n">
        <v>45587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35876-2019</t>
        </is>
      </c>
      <c r="B192" s="1" t="n">
        <v>43665</v>
      </c>
      <c r="C192" s="1" t="n">
        <v>45587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35902-2019</t>
        </is>
      </c>
      <c r="B193" s="1" t="n">
        <v>43665</v>
      </c>
      <c r="C193" s="1" t="n">
        <v>45587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37557-2019</t>
        </is>
      </c>
      <c r="B194" s="1" t="n">
        <v>43679</v>
      </c>
      <c r="C194" s="1" t="n">
        <v>45587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37569-2019</t>
        </is>
      </c>
      <c r="B195" s="1" t="n">
        <v>43679</v>
      </c>
      <c r="C195" s="1" t="n">
        <v>45587</v>
      </c>
      <c r="D195" t="inlineStr">
        <is>
          <t>JÖNKÖPINGS LÄN</t>
        </is>
      </c>
      <c r="E195" t="inlineStr">
        <is>
          <t>VETLANDA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37738-2019</t>
        </is>
      </c>
      <c r="B196" s="1" t="n">
        <v>43682</v>
      </c>
      <c r="C196" s="1" t="n">
        <v>45587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38454-2019</t>
        </is>
      </c>
      <c r="B197" s="1" t="n">
        <v>43683</v>
      </c>
      <c r="C197" s="1" t="n">
        <v>45587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38481-2019</t>
        </is>
      </c>
      <c r="B198" s="1" t="n">
        <v>43685</v>
      </c>
      <c r="C198" s="1" t="n">
        <v>45587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38657-2019</t>
        </is>
      </c>
      <c r="B199" s="1" t="n">
        <v>43686</v>
      </c>
      <c r="C199" s="1" t="n">
        <v>45587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39318-2019</t>
        </is>
      </c>
      <c r="B200" s="1" t="n">
        <v>43686</v>
      </c>
      <c r="C200" s="1" t="n">
        <v>45587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38856-2019</t>
        </is>
      </c>
      <c r="B201" s="1" t="n">
        <v>43689</v>
      </c>
      <c r="C201" s="1" t="n">
        <v>45587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38855-2019</t>
        </is>
      </c>
      <c r="B202" s="1" t="n">
        <v>43689</v>
      </c>
      <c r="C202" s="1" t="n">
        <v>45587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41146-2019</t>
        </is>
      </c>
      <c r="B203" s="1" t="n">
        <v>43691</v>
      </c>
      <c r="C203" s="1" t="n">
        <v>45587</v>
      </c>
      <c r="D203" t="inlineStr">
        <is>
          <t>JÖNKÖPINGS LÄN</t>
        </is>
      </c>
      <c r="E203" t="inlineStr">
        <is>
          <t>VETLANDA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39880-2019</t>
        </is>
      </c>
      <c r="B204" s="1" t="n">
        <v>43692</v>
      </c>
      <c r="C204" s="1" t="n">
        <v>45587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39932-2019</t>
        </is>
      </c>
      <c r="B205" s="1" t="n">
        <v>43692</v>
      </c>
      <c r="C205" s="1" t="n">
        <v>45587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40603-2019</t>
        </is>
      </c>
      <c r="B206" s="1" t="n">
        <v>43696</v>
      </c>
      <c r="C206" s="1" t="n">
        <v>45587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41205-2019</t>
        </is>
      </c>
      <c r="B207" s="1" t="n">
        <v>43696</v>
      </c>
      <c r="C207" s="1" t="n">
        <v>45587</v>
      </c>
      <c r="D207" t="inlineStr">
        <is>
          <t>JÖNKÖPINGS LÄN</t>
        </is>
      </c>
      <c r="E207" t="inlineStr">
        <is>
          <t>VETLANDA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40975-2019</t>
        </is>
      </c>
      <c r="B208" s="1" t="n">
        <v>43697</v>
      </c>
      <c r="C208" s="1" t="n">
        <v>45587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40976-2019</t>
        </is>
      </c>
      <c r="B209" s="1" t="n">
        <v>43697</v>
      </c>
      <c r="C209" s="1" t="n">
        <v>45587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40944-2019</t>
        </is>
      </c>
      <c r="B210" s="1" t="n">
        <v>43697</v>
      </c>
      <c r="C210" s="1" t="n">
        <v>45587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40997-2019</t>
        </is>
      </c>
      <c r="B211" s="1" t="n">
        <v>43697</v>
      </c>
      <c r="C211" s="1" t="n">
        <v>45587</v>
      </c>
      <c r="D211" t="inlineStr">
        <is>
          <t>JÖNKÖPINGS LÄN</t>
        </is>
      </c>
      <c r="E211" t="inlineStr">
        <is>
          <t>VETLANDA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41868-2019</t>
        </is>
      </c>
      <c r="B212" s="1" t="n">
        <v>43697</v>
      </c>
      <c r="C212" s="1" t="n">
        <v>45587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41224-2019</t>
        </is>
      </c>
      <c r="B213" s="1" t="n">
        <v>43698</v>
      </c>
      <c r="C213" s="1" t="n">
        <v>45587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41504-2019</t>
        </is>
      </c>
      <c r="B214" s="1" t="n">
        <v>43699</v>
      </c>
      <c r="C214" s="1" t="n">
        <v>45587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41528-2019</t>
        </is>
      </c>
      <c r="B215" s="1" t="n">
        <v>43699</v>
      </c>
      <c r="C215" s="1" t="n">
        <v>45587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42711-2019</t>
        </is>
      </c>
      <c r="B216" s="1" t="n">
        <v>43700</v>
      </c>
      <c r="C216" s="1" t="n">
        <v>45587</v>
      </c>
      <c r="D216" t="inlineStr">
        <is>
          <t>JÖNKÖPINGS LÄN</t>
        </is>
      </c>
      <c r="E216" t="inlineStr">
        <is>
          <t>VETLANDA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42564-2019</t>
        </is>
      </c>
      <c r="B217" s="1" t="n">
        <v>43704</v>
      </c>
      <c r="C217" s="1" t="n">
        <v>45587</v>
      </c>
      <c r="D217" t="inlineStr">
        <is>
          <t>JÖNKÖPINGS LÄN</t>
        </is>
      </c>
      <c r="E217" t="inlineStr">
        <is>
          <t>VETLANDA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42740-2019</t>
        </is>
      </c>
      <c r="B218" s="1" t="n">
        <v>43704</v>
      </c>
      <c r="C218" s="1" t="n">
        <v>45587</v>
      </c>
      <c r="D218" t="inlineStr">
        <is>
          <t>JÖNKÖPINGS LÄN</t>
        </is>
      </c>
      <c r="E218" t="inlineStr">
        <is>
          <t>VETLANDA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42735-2019</t>
        </is>
      </c>
      <c r="B219" s="1" t="n">
        <v>43704</v>
      </c>
      <c r="C219" s="1" t="n">
        <v>45587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43006-2019</t>
        </is>
      </c>
      <c r="B220" s="1" t="n">
        <v>43705</v>
      </c>
      <c r="C220" s="1" t="n">
        <v>45587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43017-2019</t>
        </is>
      </c>
      <c r="B221" s="1" t="n">
        <v>43705</v>
      </c>
      <c r="C221" s="1" t="n">
        <v>45587</v>
      </c>
      <c r="D221" t="inlineStr">
        <is>
          <t>JÖNKÖPINGS LÄN</t>
        </is>
      </c>
      <c r="E221" t="inlineStr">
        <is>
          <t>VETLANDA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42917-2019</t>
        </is>
      </c>
      <c r="B222" s="1" t="n">
        <v>43705</v>
      </c>
      <c r="C222" s="1" t="n">
        <v>45587</v>
      </c>
      <c r="D222" t="inlineStr">
        <is>
          <t>JÖNKÖPINGS LÄN</t>
        </is>
      </c>
      <c r="E222" t="inlineStr">
        <is>
          <t>VETLANDA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42994-2019</t>
        </is>
      </c>
      <c r="B223" s="1" t="n">
        <v>43705</v>
      </c>
      <c r="C223" s="1" t="n">
        <v>45587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43013-2019</t>
        </is>
      </c>
      <c r="B224" s="1" t="n">
        <v>43705</v>
      </c>
      <c r="C224" s="1" t="n">
        <v>45587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43755-2019</t>
        </is>
      </c>
      <c r="B225" s="1" t="n">
        <v>43707</v>
      </c>
      <c r="C225" s="1" t="n">
        <v>45587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44285-2019</t>
        </is>
      </c>
      <c r="B226" s="1" t="n">
        <v>43710</v>
      </c>
      <c r="C226" s="1" t="n">
        <v>45587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44279-2019</t>
        </is>
      </c>
      <c r="B227" s="1" t="n">
        <v>43710</v>
      </c>
      <c r="C227" s="1" t="n">
        <v>45587</v>
      </c>
      <c r="D227" t="inlineStr">
        <is>
          <t>JÖNKÖPINGS LÄN</t>
        </is>
      </c>
      <c r="E227" t="inlineStr">
        <is>
          <t>VETLANDA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44563-2019</t>
        </is>
      </c>
      <c r="B228" s="1" t="n">
        <v>43711</v>
      </c>
      <c r="C228" s="1" t="n">
        <v>45587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45195-2019</t>
        </is>
      </c>
      <c r="B229" s="1" t="n">
        <v>43713</v>
      </c>
      <c r="C229" s="1" t="n">
        <v>45587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45121-2019</t>
        </is>
      </c>
      <c r="B230" s="1" t="n">
        <v>43713</v>
      </c>
      <c r="C230" s="1" t="n">
        <v>45587</v>
      </c>
      <c r="D230" t="inlineStr">
        <is>
          <t>JÖNKÖPINGS LÄN</t>
        </is>
      </c>
      <c r="E230" t="inlineStr">
        <is>
          <t>VETLANDA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45347-2019</t>
        </is>
      </c>
      <c r="B231" s="1" t="n">
        <v>43714</v>
      </c>
      <c r="C231" s="1" t="n">
        <v>45587</v>
      </c>
      <c r="D231" t="inlineStr">
        <is>
          <t>JÖNKÖPINGS LÄN</t>
        </is>
      </c>
      <c r="E231" t="inlineStr">
        <is>
          <t>VETLANDA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45473-2019</t>
        </is>
      </c>
      <c r="B232" s="1" t="n">
        <v>43714</v>
      </c>
      <c r="C232" s="1" t="n">
        <v>45587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45487-2019</t>
        </is>
      </c>
      <c r="B233" s="1" t="n">
        <v>43714</v>
      </c>
      <c r="C233" s="1" t="n">
        <v>45587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45453-2019</t>
        </is>
      </c>
      <c r="B234" s="1" t="n">
        <v>43714</v>
      </c>
      <c r="C234" s="1" t="n">
        <v>45587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45415-2019</t>
        </is>
      </c>
      <c r="B235" s="1" t="n">
        <v>43714</v>
      </c>
      <c r="C235" s="1" t="n">
        <v>45587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46059-2019</t>
        </is>
      </c>
      <c r="B236" s="1" t="n">
        <v>43718</v>
      </c>
      <c r="C236" s="1" t="n">
        <v>45587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46433-2019</t>
        </is>
      </c>
      <c r="B237" s="1" t="n">
        <v>43718</v>
      </c>
      <c r="C237" s="1" t="n">
        <v>45587</v>
      </c>
      <c r="D237" t="inlineStr">
        <is>
          <t>JÖNKÖPINGS LÄN</t>
        </is>
      </c>
      <c r="E237" t="inlineStr">
        <is>
          <t>VETLANDA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46148-2019</t>
        </is>
      </c>
      <c r="B238" s="1" t="n">
        <v>43718</v>
      </c>
      <c r="C238" s="1" t="n">
        <v>45587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46176-2019</t>
        </is>
      </c>
      <c r="B239" s="1" t="n">
        <v>43718</v>
      </c>
      <c r="C239" s="1" t="n">
        <v>45587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46417-2019</t>
        </is>
      </c>
      <c r="B240" s="1" t="n">
        <v>43719</v>
      </c>
      <c r="C240" s="1" t="n">
        <v>45587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46642-2019</t>
        </is>
      </c>
      <c r="B241" s="1" t="n">
        <v>43719</v>
      </c>
      <c r="C241" s="1" t="n">
        <v>45587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46973-2019</t>
        </is>
      </c>
      <c r="B242" s="1" t="n">
        <v>43720</v>
      </c>
      <c r="C242" s="1" t="n">
        <v>45587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47019-2019</t>
        </is>
      </c>
      <c r="B243" s="1" t="n">
        <v>43720</v>
      </c>
      <c r="C243" s="1" t="n">
        <v>45587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47199-2019</t>
        </is>
      </c>
      <c r="B244" s="1" t="n">
        <v>43721</v>
      </c>
      <c r="C244" s="1" t="n">
        <v>45587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47333-2019</t>
        </is>
      </c>
      <c r="B245" s="1" t="n">
        <v>43721</v>
      </c>
      <c r="C245" s="1" t="n">
        <v>45587</v>
      </c>
      <c r="D245" t="inlineStr">
        <is>
          <t>JÖNKÖPINGS LÄN</t>
        </is>
      </c>
      <c r="E245" t="inlineStr">
        <is>
          <t>VETLANDA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47614-2019</t>
        </is>
      </c>
      <c r="B246" s="1" t="n">
        <v>43724</v>
      </c>
      <c r="C246" s="1" t="n">
        <v>45587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47762-2019</t>
        </is>
      </c>
      <c r="B247" s="1" t="n">
        <v>43724</v>
      </c>
      <c r="C247" s="1" t="n">
        <v>45587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47794-2019</t>
        </is>
      </c>
      <c r="B248" s="1" t="n">
        <v>43724</v>
      </c>
      <c r="C248" s="1" t="n">
        <v>45587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47736-2019</t>
        </is>
      </c>
      <c r="B249" s="1" t="n">
        <v>43724</v>
      </c>
      <c r="C249" s="1" t="n">
        <v>45587</v>
      </c>
      <c r="D249" t="inlineStr">
        <is>
          <t>JÖNKÖPINGS LÄN</t>
        </is>
      </c>
      <c r="E249" t="inlineStr">
        <is>
          <t>VETLANDA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48168-2019</t>
        </is>
      </c>
      <c r="B250" s="1" t="n">
        <v>43726</v>
      </c>
      <c r="C250" s="1" t="n">
        <v>45587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48209-2019</t>
        </is>
      </c>
      <c r="B251" s="1" t="n">
        <v>43726</v>
      </c>
      <c r="C251" s="1" t="n">
        <v>45587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49478-2019</t>
        </is>
      </c>
      <c r="B252" s="1" t="n">
        <v>43728</v>
      </c>
      <c r="C252" s="1" t="n">
        <v>45587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48987-2019</t>
        </is>
      </c>
      <c r="B253" s="1" t="n">
        <v>43729</v>
      </c>
      <c r="C253" s="1" t="n">
        <v>45587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49061-2019</t>
        </is>
      </c>
      <c r="B254" s="1" t="n">
        <v>43731</v>
      </c>
      <c r="C254" s="1" t="n">
        <v>45587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49257-2019</t>
        </is>
      </c>
      <c r="B255" s="1" t="n">
        <v>43731</v>
      </c>
      <c r="C255" s="1" t="n">
        <v>45587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49466-2019</t>
        </is>
      </c>
      <c r="B256" s="1" t="n">
        <v>43732</v>
      </c>
      <c r="C256" s="1" t="n">
        <v>45587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49599-2019</t>
        </is>
      </c>
      <c r="B257" s="1" t="n">
        <v>43732</v>
      </c>
      <c r="C257" s="1" t="n">
        <v>45587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50242-2019</t>
        </is>
      </c>
      <c r="B258" s="1" t="n">
        <v>43734</v>
      </c>
      <c r="C258" s="1" t="n">
        <v>45587</v>
      </c>
      <c r="D258" t="inlineStr">
        <is>
          <t>JÖNKÖPINGS LÄN</t>
        </is>
      </c>
      <c r="E258" t="inlineStr">
        <is>
          <t>VETLANDA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50383-2019</t>
        </is>
      </c>
      <c r="B259" s="1" t="n">
        <v>43735</v>
      </c>
      <c r="C259" s="1" t="n">
        <v>45587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50935-2019</t>
        </is>
      </c>
      <c r="B260" s="1" t="n">
        <v>43738</v>
      </c>
      <c r="C260" s="1" t="n">
        <v>45587</v>
      </c>
      <c r="D260" t="inlineStr">
        <is>
          <t>JÖNKÖPINGS LÄN</t>
        </is>
      </c>
      <c r="E260" t="inlineStr">
        <is>
          <t>VETLANDA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52203-2019</t>
        </is>
      </c>
      <c r="B261" s="1" t="n">
        <v>43742</v>
      </c>
      <c r="C261" s="1" t="n">
        <v>45587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52202-2019</t>
        </is>
      </c>
      <c r="B262" s="1" t="n">
        <v>43742</v>
      </c>
      <c r="C262" s="1" t="n">
        <v>45587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54908-2019</t>
        </is>
      </c>
      <c r="B263" s="1" t="n">
        <v>43749</v>
      </c>
      <c r="C263" s="1" t="n">
        <v>45587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54897-2019</t>
        </is>
      </c>
      <c r="B264" s="1" t="n">
        <v>43749</v>
      </c>
      <c r="C264" s="1" t="n">
        <v>45587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56017-2019</t>
        </is>
      </c>
      <c r="B265" s="1" t="n">
        <v>43761</v>
      </c>
      <c r="C265" s="1" t="n">
        <v>45587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56026-2019</t>
        </is>
      </c>
      <c r="B266" s="1" t="n">
        <v>43761</v>
      </c>
      <c r="C266" s="1" t="n">
        <v>45587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56568-2019</t>
        </is>
      </c>
      <c r="B267" s="1" t="n">
        <v>43763</v>
      </c>
      <c r="C267" s="1" t="n">
        <v>45587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57111-2019</t>
        </is>
      </c>
      <c r="B268" s="1" t="n">
        <v>43766</v>
      </c>
      <c r="C268" s="1" t="n">
        <v>45587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57822-2019</t>
        </is>
      </c>
      <c r="B269" s="1" t="n">
        <v>43768</v>
      </c>
      <c r="C269" s="1" t="n">
        <v>45587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58845-2019</t>
        </is>
      </c>
      <c r="B270" s="1" t="n">
        <v>43774</v>
      </c>
      <c r="C270" s="1" t="n">
        <v>45587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59944-2019</t>
        </is>
      </c>
      <c r="B271" s="1" t="n">
        <v>43777</v>
      </c>
      <c r="C271" s="1" t="n">
        <v>45587</v>
      </c>
      <c r="D271" t="inlineStr">
        <is>
          <t>JÖNKÖPINGS LÄN</t>
        </is>
      </c>
      <c r="E271" t="inlineStr">
        <is>
          <t>VETLANDA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59960-2019</t>
        </is>
      </c>
      <c r="B272" s="1" t="n">
        <v>43777</v>
      </c>
      <c r="C272" s="1" t="n">
        <v>45587</v>
      </c>
      <c r="D272" t="inlineStr">
        <is>
          <t>JÖNKÖPINGS LÄN</t>
        </is>
      </c>
      <c r="E272" t="inlineStr">
        <is>
          <t>VETLANDA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59949-2019</t>
        </is>
      </c>
      <c r="B273" s="1" t="n">
        <v>43777</v>
      </c>
      <c r="C273" s="1" t="n">
        <v>45587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61973-2019</t>
        </is>
      </c>
      <c r="B274" s="1" t="n">
        <v>43781</v>
      </c>
      <c r="C274" s="1" t="n">
        <v>45587</v>
      </c>
      <c r="D274" t="inlineStr">
        <is>
          <t>JÖNKÖPINGS LÄN</t>
        </is>
      </c>
      <c r="E274" t="inlineStr">
        <is>
          <t>VETLANDA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61409-2019</t>
        </is>
      </c>
      <c r="B275" s="1" t="n">
        <v>43783</v>
      </c>
      <c r="C275" s="1" t="n">
        <v>45587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61634-2019</t>
        </is>
      </c>
      <c r="B276" s="1" t="n">
        <v>43784</v>
      </c>
      <c r="C276" s="1" t="n">
        <v>45587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61633-2019</t>
        </is>
      </c>
      <c r="B277" s="1" t="n">
        <v>43784</v>
      </c>
      <c r="C277" s="1" t="n">
        <v>45587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62274-2019</t>
        </is>
      </c>
      <c r="B278" s="1" t="n">
        <v>43788</v>
      </c>
      <c r="C278" s="1" t="n">
        <v>45587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62628-2019</t>
        </is>
      </c>
      <c r="B279" s="1" t="n">
        <v>43789</v>
      </c>
      <c r="C279" s="1" t="n">
        <v>45587</v>
      </c>
      <c r="D279" t="inlineStr">
        <is>
          <t>JÖNKÖPINGS LÄN</t>
        </is>
      </c>
      <c r="E279" t="inlineStr">
        <is>
          <t>VETLANDA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63958-2019</t>
        </is>
      </c>
      <c r="B280" s="1" t="n">
        <v>43790</v>
      </c>
      <c r="C280" s="1" t="n">
        <v>45587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63417-2019</t>
        </is>
      </c>
      <c r="B281" s="1" t="n">
        <v>43794</v>
      </c>
      <c r="C281" s="1" t="n">
        <v>45587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63749-2019</t>
        </is>
      </c>
      <c r="B282" s="1" t="n">
        <v>43795</v>
      </c>
      <c r="C282" s="1" t="n">
        <v>45587</v>
      </c>
      <c r="D282" t="inlineStr">
        <is>
          <t>JÖNKÖPINGS LÄN</t>
        </is>
      </c>
      <c r="E282" t="inlineStr">
        <is>
          <t>VETLANDA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63574-2019</t>
        </is>
      </c>
      <c r="B283" s="1" t="n">
        <v>43795</v>
      </c>
      <c r="C283" s="1" t="n">
        <v>45587</v>
      </c>
      <c r="D283" t="inlineStr">
        <is>
          <t>JÖNKÖPINGS LÄN</t>
        </is>
      </c>
      <c r="E283" t="inlineStr">
        <is>
          <t>VETLANDA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63644-2019</t>
        </is>
      </c>
      <c r="B284" s="1" t="n">
        <v>43795</v>
      </c>
      <c r="C284" s="1" t="n">
        <v>45587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63651-2019</t>
        </is>
      </c>
      <c r="B285" s="1" t="n">
        <v>43795</v>
      </c>
      <c r="C285" s="1" t="n">
        <v>45587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64043-2019</t>
        </is>
      </c>
      <c r="B286" s="1" t="n">
        <v>43796</v>
      </c>
      <c r="C286" s="1" t="n">
        <v>45587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64818-2019</t>
        </is>
      </c>
      <c r="B287" s="1" t="n">
        <v>43801</v>
      </c>
      <c r="C287" s="1" t="n">
        <v>45587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64806-2019</t>
        </is>
      </c>
      <c r="B288" s="1" t="n">
        <v>43801</v>
      </c>
      <c r="C288" s="1" t="n">
        <v>45587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64950-2019</t>
        </is>
      </c>
      <c r="B289" s="1" t="n">
        <v>43801</v>
      </c>
      <c r="C289" s="1" t="n">
        <v>45587</v>
      </c>
      <c r="D289" t="inlineStr">
        <is>
          <t>JÖNKÖPINGS LÄN</t>
        </is>
      </c>
      <c r="E289" t="inlineStr">
        <is>
          <t>VETLANDA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65382-2019</t>
        </is>
      </c>
      <c r="B290" s="1" t="n">
        <v>43803</v>
      </c>
      <c r="C290" s="1" t="n">
        <v>45587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66600-2019</t>
        </is>
      </c>
      <c r="B291" s="1" t="n">
        <v>43803</v>
      </c>
      <c r="C291" s="1" t="n">
        <v>45587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66601-2019</t>
        </is>
      </c>
      <c r="B292" s="1" t="n">
        <v>43804</v>
      </c>
      <c r="C292" s="1" t="n">
        <v>45587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67657-2019</t>
        </is>
      </c>
      <c r="B293" s="1" t="n">
        <v>43809</v>
      </c>
      <c r="C293" s="1" t="n">
        <v>45587</v>
      </c>
      <c r="D293" t="inlineStr">
        <is>
          <t>JÖNKÖPINGS LÄN</t>
        </is>
      </c>
      <c r="E293" t="inlineStr">
        <is>
          <t>VETLANDA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67265-2019</t>
        </is>
      </c>
      <c r="B294" s="1" t="n">
        <v>43812</v>
      </c>
      <c r="C294" s="1" t="n">
        <v>45587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67476-2019</t>
        </is>
      </c>
      <c r="B295" s="1" t="n">
        <v>43814</v>
      </c>
      <c r="C295" s="1" t="n">
        <v>45587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67472-2019</t>
        </is>
      </c>
      <c r="B296" s="1" t="n">
        <v>43814</v>
      </c>
      <c r="C296" s="1" t="n">
        <v>45587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68654-2019</t>
        </is>
      </c>
      <c r="B297" s="1" t="n">
        <v>43814</v>
      </c>
      <c r="C297" s="1" t="n">
        <v>45587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67751-2019</t>
        </is>
      </c>
      <c r="B298" s="1" t="n">
        <v>43815</v>
      </c>
      <c r="C298" s="1" t="n">
        <v>45587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294-2020</t>
        </is>
      </c>
      <c r="B299" s="1" t="n">
        <v>43817</v>
      </c>
      <c r="C299" s="1" t="n">
        <v>45587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886-2020</t>
        </is>
      </c>
      <c r="B300" s="1" t="n">
        <v>43817</v>
      </c>
      <c r="C300" s="1" t="n">
        <v>45587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891-2020</t>
        </is>
      </c>
      <c r="B301" s="1" t="n">
        <v>43817</v>
      </c>
      <c r="C301" s="1" t="n">
        <v>45587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68090-2019</t>
        </is>
      </c>
      <c r="B302" s="1" t="n">
        <v>43817</v>
      </c>
      <c r="C302" s="1" t="n">
        <v>45587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68324-2019</t>
        </is>
      </c>
      <c r="B303" s="1" t="n">
        <v>43818</v>
      </c>
      <c r="C303" s="1" t="n">
        <v>45587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68507-2019</t>
        </is>
      </c>
      <c r="B304" s="1" t="n">
        <v>43818</v>
      </c>
      <c r="C304" s="1" t="n">
        <v>45587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68516-2019</t>
        </is>
      </c>
      <c r="B305" s="1" t="n">
        <v>43818</v>
      </c>
      <c r="C305" s="1" t="n">
        <v>45587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68503-2019</t>
        </is>
      </c>
      <c r="B306" s="1" t="n">
        <v>43818</v>
      </c>
      <c r="C306" s="1" t="n">
        <v>45587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68681-2019</t>
        </is>
      </c>
      <c r="B307" s="1" t="n">
        <v>43819</v>
      </c>
      <c r="C307" s="1" t="n">
        <v>45587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68748-2019</t>
        </is>
      </c>
      <c r="B308" s="1" t="n">
        <v>43819</v>
      </c>
      <c r="C308" s="1" t="n">
        <v>45587</v>
      </c>
      <c r="D308" t="inlineStr">
        <is>
          <t>JÖNKÖPINGS LÄN</t>
        </is>
      </c>
      <c r="E308" t="inlineStr">
        <is>
          <t>VETLANDA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68765-2019</t>
        </is>
      </c>
      <c r="B309" s="1" t="n">
        <v>43819</v>
      </c>
      <c r="C309" s="1" t="n">
        <v>45587</v>
      </c>
      <c r="D309" t="inlineStr">
        <is>
          <t>JÖNKÖPINGS LÄN</t>
        </is>
      </c>
      <c r="E309" t="inlineStr">
        <is>
          <t>VETLANDA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68725-2019</t>
        </is>
      </c>
      <c r="B310" s="1" t="n">
        <v>43819</v>
      </c>
      <c r="C310" s="1" t="n">
        <v>45587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68733-2019</t>
        </is>
      </c>
      <c r="B311" s="1" t="n">
        <v>43819</v>
      </c>
      <c r="C311" s="1" t="n">
        <v>45587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299-2020</t>
        </is>
      </c>
      <c r="B312" s="1" t="n">
        <v>43837</v>
      </c>
      <c r="C312" s="1" t="n">
        <v>45587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640-2020</t>
        </is>
      </c>
      <c r="B313" s="1" t="n">
        <v>43838</v>
      </c>
      <c r="C313" s="1" t="n">
        <v>45587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1279-2020</t>
        </is>
      </c>
      <c r="B314" s="1" t="n">
        <v>43841</v>
      </c>
      <c r="C314" s="1" t="n">
        <v>45587</v>
      </c>
      <c r="D314" t="inlineStr">
        <is>
          <t>JÖNKÖPINGS LÄN</t>
        </is>
      </c>
      <c r="E314" t="inlineStr">
        <is>
          <t>VETLANDA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1278-2020</t>
        </is>
      </c>
      <c r="B315" s="1" t="n">
        <v>43841</v>
      </c>
      <c r="C315" s="1" t="n">
        <v>45587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1325-2020</t>
        </is>
      </c>
      <c r="B316" s="1" t="n">
        <v>43843</v>
      </c>
      <c r="C316" s="1" t="n">
        <v>45587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1889-2020</t>
        </is>
      </c>
      <c r="B317" s="1" t="n">
        <v>43845</v>
      </c>
      <c r="C317" s="1" t="n">
        <v>45587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2839-2020</t>
        </is>
      </c>
      <c r="B318" s="1" t="n">
        <v>43850</v>
      </c>
      <c r="C318" s="1" t="n">
        <v>45587</v>
      </c>
      <c r="D318" t="inlineStr">
        <is>
          <t>JÖNKÖPINGS LÄN</t>
        </is>
      </c>
      <c r="E318" t="inlineStr">
        <is>
          <t>VETLANDA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2900-2020</t>
        </is>
      </c>
      <c r="B319" s="1" t="n">
        <v>43850</v>
      </c>
      <c r="C319" s="1" t="n">
        <v>45587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2702-2020</t>
        </is>
      </c>
      <c r="B320" s="1" t="n">
        <v>43850</v>
      </c>
      <c r="C320" s="1" t="n">
        <v>45587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3024-2020</t>
        </is>
      </c>
      <c r="B321" s="1" t="n">
        <v>43850</v>
      </c>
      <c r="C321" s="1" t="n">
        <v>45587</v>
      </c>
      <c r="D321" t="inlineStr">
        <is>
          <t>JÖNKÖPINGS LÄN</t>
        </is>
      </c>
      <c r="E321" t="inlineStr">
        <is>
          <t>VETLANDA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3018-2020</t>
        </is>
      </c>
      <c r="B322" s="1" t="n">
        <v>43851</v>
      </c>
      <c r="C322" s="1" t="n">
        <v>45587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4559-2020</t>
        </is>
      </c>
      <c r="B323" s="1" t="n">
        <v>43851</v>
      </c>
      <c r="C323" s="1" t="n">
        <v>45587</v>
      </c>
      <c r="D323" t="inlineStr">
        <is>
          <t>JÖNKÖPINGS LÄN</t>
        </is>
      </c>
      <c r="E323" t="inlineStr">
        <is>
          <t>VETLANDA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4264-2020</t>
        </is>
      </c>
      <c r="B324" s="1" t="n">
        <v>43857</v>
      </c>
      <c r="C324" s="1" t="n">
        <v>45587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4823-2020</t>
        </is>
      </c>
      <c r="B325" s="1" t="n">
        <v>43859</v>
      </c>
      <c r="C325" s="1" t="n">
        <v>45587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6255-2020</t>
        </is>
      </c>
      <c r="B326" s="1" t="n">
        <v>43866</v>
      </c>
      <c r="C326" s="1" t="n">
        <v>45587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7428-2020</t>
        </is>
      </c>
      <c r="B327" s="1" t="n">
        <v>43871</v>
      </c>
      <c r="C327" s="1" t="n">
        <v>45587</v>
      </c>
      <c r="D327" t="inlineStr">
        <is>
          <t>JÖNKÖPINGS LÄN</t>
        </is>
      </c>
      <c r="E327" t="inlineStr">
        <is>
          <t>VETLANDA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7766-2020</t>
        </is>
      </c>
      <c r="B328" s="1" t="n">
        <v>43872</v>
      </c>
      <c r="C328" s="1" t="n">
        <v>45587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7829-2020</t>
        </is>
      </c>
      <c r="B329" s="1" t="n">
        <v>43873</v>
      </c>
      <c r="C329" s="1" t="n">
        <v>45587</v>
      </c>
      <c r="D329" t="inlineStr">
        <is>
          <t>JÖNKÖPINGS LÄN</t>
        </is>
      </c>
      <c r="E329" t="inlineStr">
        <is>
          <t>VETLANDA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8413-2020</t>
        </is>
      </c>
      <c r="B330" s="1" t="n">
        <v>43875</v>
      </c>
      <c r="C330" s="1" t="n">
        <v>45587</v>
      </c>
      <c r="D330" t="inlineStr">
        <is>
          <t>JÖNKÖPINGS LÄN</t>
        </is>
      </c>
      <c r="E330" t="inlineStr">
        <is>
          <t>VETLANDA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8556-2020</t>
        </is>
      </c>
      <c r="B331" s="1" t="n">
        <v>43877</v>
      </c>
      <c r="C331" s="1" t="n">
        <v>45587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10076-2020</t>
        </is>
      </c>
      <c r="B332" s="1" t="n">
        <v>43884</v>
      </c>
      <c r="C332" s="1" t="n">
        <v>45587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10940-2020</t>
        </is>
      </c>
      <c r="B333" s="1" t="n">
        <v>43885</v>
      </c>
      <c r="C333" s="1" t="n">
        <v>45587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10928-2020</t>
        </is>
      </c>
      <c r="B334" s="1" t="n">
        <v>43885</v>
      </c>
      <c r="C334" s="1" t="n">
        <v>45587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10857-2020</t>
        </is>
      </c>
      <c r="B335" s="1" t="n">
        <v>43885</v>
      </c>
      <c r="C335" s="1" t="n">
        <v>45587</v>
      </c>
      <c r="D335" t="inlineStr">
        <is>
          <t>JÖNKÖPINGS LÄN</t>
        </is>
      </c>
      <c r="E335" t="inlineStr">
        <is>
          <t>VETLANDA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10935-2020</t>
        </is>
      </c>
      <c r="B336" s="1" t="n">
        <v>43885</v>
      </c>
      <c r="C336" s="1" t="n">
        <v>45587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11069-2020</t>
        </is>
      </c>
      <c r="B337" s="1" t="n">
        <v>43885</v>
      </c>
      <c r="C337" s="1" t="n">
        <v>45587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10517-2020</t>
        </is>
      </c>
      <c r="B338" s="1" t="n">
        <v>43886</v>
      </c>
      <c r="C338" s="1" t="n">
        <v>45587</v>
      </c>
      <c r="D338" t="inlineStr">
        <is>
          <t>JÖNKÖPINGS LÄN</t>
        </is>
      </c>
      <c r="E338" t="inlineStr">
        <is>
          <t>VETLANDA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10613-2020</t>
        </is>
      </c>
      <c r="B339" s="1" t="n">
        <v>43887</v>
      </c>
      <c r="C339" s="1" t="n">
        <v>45587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11464-2020</t>
        </is>
      </c>
      <c r="B340" s="1" t="n">
        <v>43887</v>
      </c>
      <c r="C340" s="1" t="n">
        <v>45587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10726-2020</t>
        </is>
      </c>
      <c r="B341" s="1" t="n">
        <v>43888</v>
      </c>
      <c r="C341" s="1" t="n">
        <v>45587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11389-2020</t>
        </is>
      </c>
      <c r="B342" s="1" t="n">
        <v>43892</v>
      </c>
      <c r="C342" s="1" t="n">
        <v>45587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11830-2020</t>
        </is>
      </c>
      <c r="B343" s="1" t="n">
        <v>43894</v>
      </c>
      <c r="C343" s="1" t="n">
        <v>45587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11903-2020</t>
        </is>
      </c>
      <c r="B344" s="1" t="n">
        <v>43894</v>
      </c>
      <c r="C344" s="1" t="n">
        <v>45587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12201-2020</t>
        </is>
      </c>
      <c r="B345" s="1" t="n">
        <v>43895</v>
      </c>
      <c r="C345" s="1" t="n">
        <v>45587</v>
      </c>
      <c r="D345" t="inlineStr">
        <is>
          <t>JÖNKÖPINGS LÄN</t>
        </is>
      </c>
      <c r="E345" t="inlineStr">
        <is>
          <t>VETLANDA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12200-2020</t>
        </is>
      </c>
      <c r="B346" s="1" t="n">
        <v>43895</v>
      </c>
      <c r="C346" s="1" t="n">
        <v>45587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12839-2020</t>
        </is>
      </c>
      <c r="B347" s="1" t="n">
        <v>43899</v>
      </c>
      <c r="C347" s="1" t="n">
        <v>45587</v>
      </c>
      <c r="D347" t="inlineStr">
        <is>
          <t>JÖNKÖPINGS LÄN</t>
        </is>
      </c>
      <c r="E347" t="inlineStr">
        <is>
          <t>VETLANDA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12850-2020</t>
        </is>
      </c>
      <c r="B348" s="1" t="n">
        <v>43899</v>
      </c>
      <c r="C348" s="1" t="n">
        <v>45587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13953-2020</t>
        </is>
      </c>
      <c r="B349" s="1" t="n">
        <v>43899</v>
      </c>
      <c r="C349" s="1" t="n">
        <v>45587</v>
      </c>
      <c r="D349" t="inlineStr">
        <is>
          <t>JÖNKÖPINGS LÄN</t>
        </is>
      </c>
      <c r="E349" t="inlineStr">
        <is>
          <t>VETLANDA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12677-2020</t>
        </is>
      </c>
      <c r="B350" s="1" t="n">
        <v>43899</v>
      </c>
      <c r="C350" s="1" t="n">
        <v>45587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14111-2020</t>
        </is>
      </c>
      <c r="B351" s="1" t="n">
        <v>43900</v>
      </c>
      <c r="C351" s="1" t="n">
        <v>45587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12884-2020</t>
        </is>
      </c>
      <c r="B352" s="1" t="n">
        <v>43900</v>
      </c>
      <c r="C352" s="1" t="n">
        <v>45587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14249-2020</t>
        </is>
      </c>
      <c r="B353" s="1" t="n">
        <v>43907</v>
      </c>
      <c r="C353" s="1" t="n">
        <v>45587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14905-2020</t>
        </is>
      </c>
      <c r="B354" s="1" t="n">
        <v>43910</v>
      </c>
      <c r="C354" s="1" t="n">
        <v>45587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15156-2020</t>
        </is>
      </c>
      <c r="B355" s="1" t="n">
        <v>43912</v>
      </c>
      <c r="C355" s="1" t="n">
        <v>45587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16972-2020</t>
        </is>
      </c>
      <c r="B356" s="1" t="n">
        <v>43913</v>
      </c>
      <c r="C356" s="1" t="n">
        <v>45587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16919-2020</t>
        </is>
      </c>
      <c r="B357" s="1" t="n">
        <v>43913</v>
      </c>
      <c r="C357" s="1" t="n">
        <v>45587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16958-2020</t>
        </is>
      </c>
      <c r="B358" s="1" t="n">
        <v>43913</v>
      </c>
      <c r="C358" s="1" t="n">
        <v>45587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16973-2020</t>
        </is>
      </c>
      <c r="B359" s="1" t="n">
        <v>43913</v>
      </c>
      <c r="C359" s="1" t="n">
        <v>45587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16816-2020</t>
        </is>
      </c>
      <c r="B360" s="1" t="n">
        <v>43913</v>
      </c>
      <c r="C360" s="1" t="n">
        <v>45587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16965-2020</t>
        </is>
      </c>
      <c r="B361" s="1" t="n">
        <v>43913</v>
      </c>
      <c r="C361" s="1" t="n">
        <v>45587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16928-2020</t>
        </is>
      </c>
      <c r="B362" s="1" t="n">
        <v>43913</v>
      </c>
      <c r="C362" s="1" t="n">
        <v>45587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16434-2020</t>
        </is>
      </c>
      <c r="B363" s="1" t="n">
        <v>43919</v>
      </c>
      <c r="C363" s="1" t="n">
        <v>45587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16433-2020</t>
        </is>
      </c>
      <c r="B364" s="1" t="n">
        <v>43919</v>
      </c>
      <c r="C364" s="1" t="n">
        <v>45587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16449-2020</t>
        </is>
      </c>
      <c r="B365" s="1" t="n">
        <v>43920</v>
      </c>
      <c r="C365" s="1" t="n">
        <v>45587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17785-2020</t>
        </is>
      </c>
      <c r="B366" s="1" t="n">
        <v>43924</v>
      </c>
      <c r="C366" s="1" t="n">
        <v>45587</v>
      </c>
      <c r="D366" t="inlineStr">
        <is>
          <t>JÖNKÖPINGS LÄN</t>
        </is>
      </c>
      <c r="E366" t="inlineStr">
        <is>
          <t>VETLANDA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17790-2020</t>
        </is>
      </c>
      <c r="B367" s="1" t="n">
        <v>43924</v>
      </c>
      <c r="C367" s="1" t="n">
        <v>45587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18127-2020</t>
        </is>
      </c>
      <c r="B368" s="1" t="n">
        <v>43927</v>
      </c>
      <c r="C368" s="1" t="n">
        <v>45587</v>
      </c>
      <c r="D368" t="inlineStr">
        <is>
          <t>JÖNKÖPINGS LÄN</t>
        </is>
      </c>
      <c r="E368" t="inlineStr">
        <is>
          <t>VETLANDA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18702-2020</t>
        </is>
      </c>
      <c r="B369" s="1" t="n">
        <v>43930</v>
      </c>
      <c r="C369" s="1" t="n">
        <v>45587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19072-2020</t>
        </is>
      </c>
      <c r="B370" s="1" t="n">
        <v>43936</v>
      </c>
      <c r="C370" s="1" t="n">
        <v>45587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21157-2020</t>
        </is>
      </c>
      <c r="B371" s="1" t="n">
        <v>43951</v>
      </c>
      <c r="C371" s="1" t="n">
        <v>45587</v>
      </c>
      <c r="D371" t="inlineStr">
        <is>
          <t>JÖNKÖPINGS LÄN</t>
        </is>
      </c>
      <c r="E371" t="inlineStr">
        <is>
          <t>VETLANDA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22239-2020</t>
        </is>
      </c>
      <c r="B372" s="1" t="n">
        <v>43956</v>
      </c>
      <c r="C372" s="1" t="n">
        <v>45587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21907-2020</t>
        </is>
      </c>
      <c r="B373" s="1" t="n">
        <v>43958</v>
      </c>
      <c r="C373" s="1" t="n">
        <v>45587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21889-2020</t>
        </is>
      </c>
      <c r="B374" s="1" t="n">
        <v>43958</v>
      </c>
      <c r="C374" s="1" t="n">
        <v>45587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23328-2020</t>
        </is>
      </c>
      <c r="B375" s="1" t="n">
        <v>43966</v>
      </c>
      <c r="C375" s="1" t="n">
        <v>45587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24783-2020</t>
        </is>
      </c>
      <c r="B376" s="1" t="n">
        <v>43978</v>
      </c>
      <c r="C376" s="1" t="n">
        <v>45587</v>
      </c>
      <c r="D376" t="inlineStr">
        <is>
          <t>JÖNKÖPINGS LÄN</t>
        </is>
      </c>
      <c r="E376" t="inlineStr">
        <is>
          <t>VETLANDA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25366-2020</t>
        </is>
      </c>
      <c r="B377" s="1" t="n">
        <v>43980</v>
      </c>
      <c r="C377" s="1" t="n">
        <v>45587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25569-2020</t>
        </is>
      </c>
      <c r="B378" s="1" t="n">
        <v>43983</v>
      </c>
      <c r="C378" s="1" t="n">
        <v>45587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25774-2020</t>
        </is>
      </c>
      <c r="B379" s="1" t="n">
        <v>43984</v>
      </c>
      <c r="C379" s="1" t="n">
        <v>45587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26717-2020</t>
        </is>
      </c>
      <c r="B380" s="1" t="n">
        <v>43990</v>
      </c>
      <c r="C380" s="1" t="n">
        <v>45587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27881-2020</t>
        </is>
      </c>
      <c r="B381" s="1" t="n">
        <v>43994</v>
      </c>
      <c r="C381" s="1" t="n">
        <v>45587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27915-2020</t>
        </is>
      </c>
      <c r="B382" s="1" t="n">
        <v>43997</v>
      </c>
      <c r="C382" s="1" t="n">
        <v>45587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28436-2020</t>
        </is>
      </c>
      <c r="B383" s="1" t="n">
        <v>43997</v>
      </c>
      <c r="C383" s="1" t="n">
        <v>45587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28693-2020</t>
        </is>
      </c>
      <c r="B384" s="1" t="n">
        <v>43998</v>
      </c>
      <c r="C384" s="1" t="n">
        <v>45587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28612-2020</t>
        </is>
      </c>
      <c r="B385" s="1" t="n">
        <v>43998</v>
      </c>
      <c r="C385" s="1" t="n">
        <v>45587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28700-2020</t>
        </is>
      </c>
      <c r="B386" s="1" t="n">
        <v>43998</v>
      </c>
      <c r="C386" s="1" t="n">
        <v>45587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28706-2020</t>
        </is>
      </c>
      <c r="B387" s="1" t="n">
        <v>43998</v>
      </c>
      <c r="C387" s="1" t="n">
        <v>45587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28707-2020</t>
        </is>
      </c>
      <c r="B388" s="1" t="n">
        <v>43999</v>
      </c>
      <c r="C388" s="1" t="n">
        <v>45587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29853-2020</t>
        </is>
      </c>
      <c r="B389" s="1" t="n">
        <v>44006</v>
      </c>
      <c r="C389" s="1" t="n">
        <v>45587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29945-2020</t>
        </is>
      </c>
      <c r="B390" s="1" t="n">
        <v>44006</v>
      </c>
      <c r="C390" s="1" t="n">
        <v>45587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29936-2020</t>
        </is>
      </c>
      <c r="B391" s="1" t="n">
        <v>44006</v>
      </c>
      <c r="C391" s="1" t="n">
        <v>45587</v>
      </c>
      <c r="D391" t="inlineStr">
        <is>
          <t>JÖNKÖPINGS LÄN</t>
        </is>
      </c>
      <c r="E391" t="inlineStr">
        <is>
          <t>VETLANDA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31443-2020</t>
        </is>
      </c>
      <c r="B392" s="1" t="n">
        <v>44013</v>
      </c>
      <c r="C392" s="1" t="n">
        <v>45587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32216-2020</t>
        </is>
      </c>
      <c r="B393" s="1" t="n">
        <v>44015</v>
      </c>
      <c r="C393" s="1" t="n">
        <v>45587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32179-2020</t>
        </is>
      </c>
      <c r="B394" s="1" t="n">
        <v>44015</v>
      </c>
      <c r="C394" s="1" t="n">
        <v>45587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32275-2020</t>
        </is>
      </c>
      <c r="B395" s="1" t="n">
        <v>44015</v>
      </c>
      <c r="C395" s="1" t="n">
        <v>45587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32870-2020</t>
        </is>
      </c>
      <c r="B396" s="1" t="n">
        <v>44018</v>
      </c>
      <c r="C396" s="1" t="n">
        <v>45587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HYPERLINK("https://klasma.github.io/Logging_0685/knärot/A 32870-2020 karta knärot.png", "A 32870-2020")</f>
        <v/>
      </c>
      <c r="V396">
        <f>HYPERLINK("https://klasma.github.io/Logging_0685/klagomål/A 32870-2020 FSC-klagomål.docx", "A 32870-2020")</f>
        <v/>
      </c>
      <c r="W396">
        <f>HYPERLINK("https://klasma.github.io/Logging_0685/klagomålsmail/A 32870-2020 FSC-klagomål mail.docx", "A 32870-2020")</f>
        <v/>
      </c>
      <c r="X396">
        <f>HYPERLINK("https://klasma.github.io/Logging_0685/tillsyn/A 32870-2020 tillsynsbegäran.docx", "A 32870-2020")</f>
        <v/>
      </c>
      <c r="Y396">
        <f>HYPERLINK("https://klasma.github.io/Logging_0685/tillsynsmail/A 32870-2020 tillsynsbegäran mail.docx", "A 32870-2020")</f>
        <v/>
      </c>
    </row>
    <row r="397" ht="15" customHeight="1">
      <c r="A397" t="inlineStr">
        <is>
          <t>A 32698-2020</t>
        </is>
      </c>
      <c r="B397" s="1" t="n">
        <v>44019</v>
      </c>
      <c r="C397" s="1" t="n">
        <v>45587</v>
      </c>
      <c r="D397" t="inlineStr">
        <is>
          <t>JÖNKÖPINGS LÄN</t>
        </is>
      </c>
      <c r="E397" t="inlineStr">
        <is>
          <t>VETLANDA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32693-2020</t>
        </is>
      </c>
      <c r="B398" s="1" t="n">
        <v>44019</v>
      </c>
      <c r="C398" s="1" t="n">
        <v>45587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32699-2020</t>
        </is>
      </c>
      <c r="B399" s="1" t="n">
        <v>44019</v>
      </c>
      <c r="C399" s="1" t="n">
        <v>45587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32976-2020</t>
        </is>
      </c>
      <c r="B400" s="1" t="n">
        <v>44020</v>
      </c>
      <c r="C400" s="1" t="n">
        <v>45587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32981-2020</t>
        </is>
      </c>
      <c r="B401" s="1" t="n">
        <v>44020</v>
      </c>
      <c r="C401" s="1" t="n">
        <v>45587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32982-2020</t>
        </is>
      </c>
      <c r="B402" s="1" t="n">
        <v>44020</v>
      </c>
      <c r="C402" s="1" t="n">
        <v>45587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33081-2020</t>
        </is>
      </c>
      <c r="B403" s="1" t="n">
        <v>44021</v>
      </c>
      <c r="C403" s="1" t="n">
        <v>45587</v>
      </c>
      <c r="D403" t="inlineStr">
        <is>
          <t>JÖNKÖPINGS LÄN</t>
        </is>
      </c>
      <c r="E403" t="inlineStr">
        <is>
          <t>VETLANDA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33079-2020</t>
        </is>
      </c>
      <c r="B404" s="1" t="n">
        <v>44021</v>
      </c>
      <c r="C404" s="1" t="n">
        <v>45587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34002-2020</t>
        </is>
      </c>
      <c r="B405" s="1" t="n">
        <v>44026</v>
      </c>
      <c r="C405" s="1" t="n">
        <v>45587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33989-2020</t>
        </is>
      </c>
      <c r="B406" s="1" t="n">
        <v>44026</v>
      </c>
      <c r="C406" s="1" t="n">
        <v>45587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34179-2020</t>
        </is>
      </c>
      <c r="B407" s="1" t="n">
        <v>44029</v>
      </c>
      <c r="C407" s="1" t="n">
        <v>45587</v>
      </c>
      <c r="D407" t="inlineStr">
        <is>
          <t>JÖNKÖPINGS LÄN</t>
        </is>
      </c>
      <c r="E407" t="inlineStr">
        <is>
          <t>VETLANDA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34485-2020</t>
        </is>
      </c>
      <c r="B408" s="1" t="n">
        <v>44033</v>
      </c>
      <c r="C408" s="1" t="n">
        <v>45587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35476-2020</t>
        </is>
      </c>
      <c r="B409" s="1" t="n">
        <v>44042</v>
      </c>
      <c r="C409" s="1" t="n">
        <v>45587</v>
      </c>
      <c r="D409" t="inlineStr">
        <is>
          <t>JÖNKÖPINGS LÄN</t>
        </is>
      </c>
      <c r="E409" t="inlineStr">
        <is>
          <t>VETLANDA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35674-2020</t>
        </is>
      </c>
      <c r="B410" s="1" t="n">
        <v>44046</v>
      </c>
      <c r="C410" s="1" t="n">
        <v>45587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36303-2020</t>
        </is>
      </c>
      <c r="B411" s="1" t="n">
        <v>44049</v>
      </c>
      <c r="C411" s="1" t="n">
        <v>45587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36527-2020</t>
        </is>
      </c>
      <c r="B412" s="1" t="n">
        <v>44050</v>
      </c>
      <c r="C412" s="1" t="n">
        <v>45587</v>
      </c>
      <c r="D412" t="inlineStr">
        <is>
          <t>JÖNKÖPINGS LÄN</t>
        </is>
      </c>
      <c r="E412" t="inlineStr">
        <is>
          <t>VETLANDA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37177-2020</t>
        </is>
      </c>
      <c r="B413" s="1" t="n">
        <v>44054</v>
      </c>
      <c r="C413" s="1" t="n">
        <v>45587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37766-2020</t>
        </is>
      </c>
      <c r="B414" s="1" t="n">
        <v>44056</v>
      </c>
      <c r="C414" s="1" t="n">
        <v>45587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38128-2020</t>
        </is>
      </c>
      <c r="B415" s="1" t="n">
        <v>44059</v>
      </c>
      <c r="C415" s="1" t="n">
        <v>45587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40090-2020</t>
        </is>
      </c>
      <c r="B416" s="1" t="n">
        <v>44064</v>
      </c>
      <c r="C416" s="1" t="n">
        <v>45587</v>
      </c>
      <c r="D416" t="inlineStr">
        <is>
          <t>JÖNKÖPINGS LÄN</t>
        </is>
      </c>
      <c r="E416" t="inlineStr">
        <is>
          <t>VETLANDA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40335-2020</t>
        </is>
      </c>
      <c r="B417" s="1" t="n">
        <v>44067</v>
      </c>
      <c r="C417" s="1" t="n">
        <v>45587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39989-2020</t>
        </is>
      </c>
      <c r="B418" s="1" t="n">
        <v>44067</v>
      </c>
      <c r="C418" s="1" t="n">
        <v>45587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40273-2020</t>
        </is>
      </c>
      <c r="B419" s="1" t="n">
        <v>44068</v>
      </c>
      <c r="C419" s="1" t="n">
        <v>45587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40563-2020</t>
        </is>
      </c>
      <c r="B420" s="1" t="n">
        <v>44069</v>
      </c>
      <c r="C420" s="1" t="n">
        <v>45587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40727-2020</t>
        </is>
      </c>
      <c r="B421" s="1" t="n">
        <v>44069</v>
      </c>
      <c r="C421" s="1" t="n">
        <v>45587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41194-2020</t>
        </is>
      </c>
      <c r="B422" s="1" t="n">
        <v>44071</v>
      </c>
      <c r="C422" s="1" t="n">
        <v>45587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41713-2020</t>
        </is>
      </c>
      <c r="B423" s="1" t="n">
        <v>44071</v>
      </c>
      <c r="C423" s="1" t="n">
        <v>45587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41320-2020</t>
        </is>
      </c>
      <c r="B424" s="1" t="n">
        <v>44071</v>
      </c>
      <c r="C424" s="1" t="n">
        <v>45587</v>
      </c>
      <c r="D424" t="inlineStr">
        <is>
          <t>JÖNKÖPINGS LÄN</t>
        </is>
      </c>
      <c r="E424" t="inlineStr">
        <is>
          <t>VETLANDA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41569-2020</t>
        </is>
      </c>
      <c r="B425" s="1" t="n">
        <v>44074</v>
      </c>
      <c r="C425" s="1" t="n">
        <v>45587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41505-2020</t>
        </is>
      </c>
      <c r="B426" s="1" t="n">
        <v>44074</v>
      </c>
      <c r="C426" s="1" t="n">
        <v>45587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42023-2020</t>
        </is>
      </c>
      <c r="B427" s="1" t="n">
        <v>44075</v>
      </c>
      <c r="C427" s="1" t="n">
        <v>45587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41925-2020</t>
        </is>
      </c>
      <c r="B428" s="1" t="n">
        <v>44075</v>
      </c>
      <c r="C428" s="1" t="n">
        <v>45587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44131-2020</t>
        </is>
      </c>
      <c r="B429" s="1" t="n">
        <v>44081</v>
      </c>
      <c r="C429" s="1" t="n">
        <v>45587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44123-2020</t>
        </is>
      </c>
      <c r="B430" s="1" t="n">
        <v>44081</v>
      </c>
      <c r="C430" s="1" t="n">
        <v>45587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44136-2020</t>
        </is>
      </c>
      <c r="B431" s="1" t="n">
        <v>44081</v>
      </c>
      <c r="C431" s="1" t="n">
        <v>45587</v>
      </c>
      <c r="D431" t="inlineStr">
        <is>
          <t>JÖNKÖPINGS LÄN</t>
        </is>
      </c>
      <c r="E431" t="inlineStr">
        <is>
          <t>VETLANDA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44473-2020</t>
        </is>
      </c>
      <c r="B432" s="1" t="n">
        <v>44084</v>
      </c>
      <c r="C432" s="1" t="n">
        <v>45587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44469-2020</t>
        </is>
      </c>
      <c r="B433" s="1" t="n">
        <v>44084</v>
      </c>
      <c r="C433" s="1" t="n">
        <v>45587</v>
      </c>
      <c r="D433" t="inlineStr">
        <is>
          <t>JÖNKÖPINGS LÄN</t>
        </is>
      </c>
      <c r="E433" t="inlineStr">
        <is>
          <t>VETLANDA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45112-2020</t>
        </is>
      </c>
      <c r="B434" s="1" t="n">
        <v>44088</v>
      </c>
      <c r="C434" s="1" t="n">
        <v>45587</v>
      </c>
      <c r="D434" t="inlineStr">
        <is>
          <t>JÖNKÖPINGS LÄN</t>
        </is>
      </c>
      <c r="E434" t="inlineStr">
        <is>
          <t>VETLANDA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46095-2020</t>
        </is>
      </c>
      <c r="B435" s="1" t="n">
        <v>44088</v>
      </c>
      <c r="C435" s="1" t="n">
        <v>45587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46086-2020</t>
        </is>
      </c>
      <c r="B436" s="1" t="n">
        <v>44088</v>
      </c>
      <c r="C436" s="1" t="n">
        <v>45587</v>
      </c>
      <c r="D436" t="inlineStr">
        <is>
          <t>JÖNKÖPINGS LÄN</t>
        </is>
      </c>
      <c r="E436" t="inlineStr">
        <is>
          <t>VETLANDA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47211-2020</t>
        </is>
      </c>
      <c r="B437" s="1" t="n">
        <v>44092</v>
      </c>
      <c r="C437" s="1" t="n">
        <v>45587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47183-2020</t>
        </is>
      </c>
      <c r="B438" s="1" t="n">
        <v>44092</v>
      </c>
      <c r="C438" s="1" t="n">
        <v>45587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47215-2020</t>
        </is>
      </c>
      <c r="B439" s="1" t="n">
        <v>44092</v>
      </c>
      <c r="C439" s="1" t="n">
        <v>45587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46703-2020</t>
        </is>
      </c>
      <c r="B440" s="1" t="n">
        <v>44095</v>
      </c>
      <c r="C440" s="1" t="n">
        <v>45587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46730-2020</t>
        </is>
      </c>
      <c r="B441" s="1" t="n">
        <v>44095</v>
      </c>
      <c r="C441" s="1" t="n">
        <v>45587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47302-2020</t>
        </is>
      </c>
      <c r="B442" s="1" t="n">
        <v>44097</v>
      </c>
      <c r="C442" s="1" t="n">
        <v>45587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49595-2020</t>
        </is>
      </c>
      <c r="B443" s="1" t="n">
        <v>44106</v>
      </c>
      <c r="C443" s="1" t="n">
        <v>45587</v>
      </c>
      <c r="D443" t="inlineStr">
        <is>
          <t>JÖNKÖPINGS LÄN</t>
        </is>
      </c>
      <c r="E443" t="inlineStr">
        <is>
          <t>VETLANDA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51229-2020</t>
        </is>
      </c>
      <c r="B444" s="1" t="n">
        <v>44106</v>
      </c>
      <c r="C444" s="1" t="n">
        <v>45587</v>
      </c>
      <c r="D444" t="inlineStr">
        <is>
          <t>JÖNKÖPINGS LÄN</t>
        </is>
      </c>
      <c r="E444" t="inlineStr">
        <is>
          <t>VETLANDA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51225-2020</t>
        </is>
      </c>
      <c r="B445" s="1" t="n">
        <v>44106</v>
      </c>
      <c r="C445" s="1" t="n">
        <v>45587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50114-2020</t>
        </is>
      </c>
      <c r="B446" s="1" t="n">
        <v>44109</v>
      </c>
      <c r="C446" s="1" t="n">
        <v>45587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50088-2020</t>
        </is>
      </c>
      <c r="B447" s="1" t="n">
        <v>44109</v>
      </c>
      <c r="C447" s="1" t="n">
        <v>45587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50299-2020</t>
        </is>
      </c>
      <c r="B448" s="1" t="n">
        <v>44110</v>
      </c>
      <c r="C448" s="1" t="n">
        <v>45587</v>
      </c>
      <c r="D448" t="inlineStr">
        <is>
          <t>JÖNKÖPINGS LÄN</t>
        </is>
      </c>
      <c r="E448" t="inlineStr">
        <is>
          <t>VETLANDA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50555-2020</t>
        </is>
      </c>
      <c r="B449" s="1" t="n">
        <v>44110</v>
      </c>
      <c r="C449" s="1" t="n">
        <v>45587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50561-2020</t>
        </is>
      </c>
      <c r="B450" s="1" t="n">
        <v>44110</v>
      </c>
      <c r="C450" s="1" t="n">
        <v>45587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50533-2020</t>
        </is>
      </c>
      <c r="B451" s="1" t="n">
        <v>44110</v>
      </c>
      <c r="C451" s="1" t="n">
        <v>45587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52706-2020</t>
        </is>
      </c>
      <c r="B452" s="1" t="n">
        <v>44110</v>
      </c>
      <c r="C452" s="1" t="n">
        <v>45587</v>
      </c>
      <c r="D452" t="inlineStr">
        <is>
          <t>JÖNKÖPINGS LÄN</t>
        </is>
      </c>
      <c r="E452" t="inlineStr">
        <is>
          <t>VETLANDA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50889-2020</t>
        </is>
      </c>
      <c r="B453" s="1" t="n">
        <v>44111</v>
      </c>
      <c r="C453" s="1" t="n">
        <v>45587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52193-2020</t>
        </is>
      </c>
      <c r="B454" s="1" t="n">
        <v>44117</v>
      </c>
      <c r="C454" s="1" t="n">
        <v>45587</v>
      </c>
      <c r="D454" t="inlineStr">
        <is>
          <t>JÖNKÖPINGS LÄN</t>
        </is>
      </c>
      <c r="E454" t="inlineStr">
        <is>
          <t>VETLANDA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52400-2020</t>
        </is>
      </c>
      <c r="B455" s="1" t="n">
        <v>44118</v>
      </c>
      <c r="C455" s="1" t="n">
        <v>45587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53123-2020</t>
        </is>
      </c>
      <c r="B456" s="1" t="n">
        <v>44120</v>
      </c>
      <c r="C456" s="1" t="n">
        <v>45587</v>
      </c>
      <c r="D456" t="inlineStr">
        <is>
          <t>JÖNKÖPINGS LÄN</t>
        </is>
      </c>
      <c r="E456" t="inlineStr">
        <is>
          <t>VETLANDA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53134-2020</t>
        </is>
      </c>
      <c r="B457" s="1" t="n">
        <v>44120</v>
      </c>
      <c r="C457" s="1" t="n">
        <v>45587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53117-2020</t>
        </is>
      </c>
      <c r="B458" s="1" t="n">
        <v>44120</v>
      </c>
      <c r="C458" s="1" t="n">
        <v>45587</v>
      </c>
      <c r="D458" t="inlineStr">
        <is>
          <t>JÖNKÖPINGS LÄN</t>
        </is>
      </c>
      <c r="E458" t="inlineStr">
        <is>
          <t>VETLANDA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53558-2020</t>
        </is>
      </c>
      <c r="B459" s="1" t="n">
        <v>44124</v>
      </c>
      <c r="C459" s="1" t="n">
        <v>45587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53630-2020</t>
        </is>
      </c>
      <c r="B460" s="1" t="n">
        <v>44124</v>
      </c>
      <c r="C460" s="1" t="n">
        <v>45587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53626-2020</t>
        </is>
      </c>
      <c r="B461" s="1" t="n">
        <v>44124</v>
      </c>
      <c r="C461" s="1" t="n">
        <v>45587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55416-2020</t>
        </is>
      </c>
      <c r="B462" s="1" t="n">
        <v>44130</v>
      </c>
      <c r="C462" s="1" t="n">
        <v>45587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55391-2020</t>
        </is>
      </c>
      <c r="B463" s="1" t="n">
        <v>44130</v>
      </c>
      <c r="C463" s="1" t="n">
        <v>45587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55699-2020</t>
        </is>
      </c>
      <c r="B464" s="1" t="n">
        <v>44132</v>
      </c>
      <c r="C464" s="1" t="n">
        <v>45587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55706-2020</t>
        </is>
      </c>
      <c r="B465" s="1" t="n">
        <v>44132</v>
      </c>
      <c r="C465" s="1" t="n">
        <v>45587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56548-2020</t>
        </is>
      </c>
      <c r="B466" s="1" t="n">
        <v>44137</v>
      </c>
      <c r="C466" s="1" t="n">
        <v>45587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56784-2020</t>
        </is>
      </c>
      <c r="B467" s="1" t="n">
        <v>44138</v>
      </c>
      <c r="C467" s="1" t="n">
        <v>45587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57582-2020</t>
        </is>
      </c>
      <c r="B468" s="1" t="n">
        <v>44139</v>
      </c>
      <c r="C468" s="1" t="n">
        <v>45587</v>
      </c>
      <c r="D468" t="inlineStr">
        <is>
          <t>JÖNKÖPINGS LÄN</t>
        </is>
      </c>
      <c r="E468" t="inlineStr">
        <is>
          <t>VETLANDA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57583-2020</t>
        </is>
      </c>
      <c r="B469" s="1" t="n">
        <v>44140</v>
      </c>
      <c r="C469" s="1" t="n">
        <v>45587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57611-2020</t>
        </is>
      </c>
      <c r="B470" s="1" t="n">
        <v>44140</v>
      </c>
      <c r="C470" s="1" t="n">
        <v>45587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60372-2020</t>
        </is>
      </c>
      <c r="B471" s="1" t="n">
        <v>44152</v>
      </c>
      <c r="C471" s="1" t="n">
        <v>45587</v>
      </c>
      <c r="D471" t="inlineStr">
        <is>
          <t>JÖNKÖPINGS LÄN</t>
        </is>
      </c>
      <c r="E471" t="inlineStr">
        <is>
          <t>VETLANDA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60564-2020</t>
        </is>
      </c>
      <c r="B472" s="1" t="n">
        <v>44153</v>
      </c>
      <c r="C472" s="1" t="n">
        <v>45587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60457-2020</t>
        </is>
      </c>
      <c r="B473" s="1" t="n">
        <v>44153</v>
      </c>
      <c r="C473" s="1" t="n">
        <v>45587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61097-2020</t>
        </is>
      </c>
      <c r="B474" s="1" t="n">
        <v>44154</v>
      </c>
      <c r="C474" s="1" t="n">
        <v>45587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61950-2020</t>
        </is>
      </c>
      <c r="B475" s="1" t="n">
        <v>44155</v>
      </c>
      <c r="C475" s="1" t="n">
        <v>45587</v>
      </c>
      <c r="D475" t="inlineStr">
        <is>
          <t>JÖNKÖPINGS LÄN</t>
        </is>
      </c>
      <c r="E475" t="inlineStr">
        <is>
          <t>VETLANDA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63934-2020</t>
        </is>
      </c>
      <c r="B476" s="1" t="n">
        <v>44167</v>
      </c>
      <c r="C476" s="1" t="n">
        <v>45587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63933-2020</t>
        </is>
      </c>
      <c r="B477" s="1" t="n">
        <v>44167</v>
      </c>
      <c r="C477" s="1" t="n">
        <v>45587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65069-2020</t>
        </is>
      </c>
      <c r="B478" s="1" t="n">
        <v>44167</v>
      </c>
      <c r="C478" s="1" t="n">
        <v>45587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64583-2020</t>
        </is>
      </c>
      <c r="B479" s="1" t="n">
        <v>44169</v>
      </c>
      <c r="C479" s="1" t="n">
        <v>45587</v>
      </c>
      <c r="D479" t="inlineStr">
        <is>
          <t>JÖNKÖPINGS LÄN</t>
        </is>
      </c>
      <c r="E479" t="inlineStr">
        <is>
          <t>VETLANDA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64524-2020</t>
        </is>
      </c>
      <c r="B480" s="1" t="n">
        <v>44169</v>
      </c>
      <c r="C480" s="1" t="n">
        <v>45587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65175-2020</t>
        </is>
      </c>
      <c r="B481" s="1" t="n">
        <v>44172</v>
      </c>
      <c r="C481" s="1" t="n">
        <v>45587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65501-2020</t>
        </is>
      </c>
      <c r="B482" s="1" t="n">
        <v>44173</v>
      </c>
      <c r="C482" s="1" t="n">
        <v>45587</v>
      </c>
      <c r="D482" t="inlineStr">
        <is>
          <t>JÖNKÖPINGS LÄN</t>
        </is>
      </c>
      <c r="E482" t="inlineStr">
        <is>
          <t>VETLANDA</t>
        </is>
      </c>
      <c r="F482" t="inlineStr">
        <is>
          <t>Övriga Aktiebolag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65891-2020</t>
        </is>
      </c>
      <c r="B483" s="1" t="n">
        <v>44174</v>
      </c>
      <c r="C483" s="1" t="n">
        <v>45587</v>
      </c>
      <c r="D483" t="inlineStr">
        <is>
          <t>JÖNKÖPINGS LÄN</t>
        </is>
      </c>
      <c r="E483" t="inlineStr">
        <is>
          <t>VETLANDA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66450-2020</t>
        </is>
      </c>
      <c r="B484" s="1" t="n">
        <v>44176</v>
      </c>
      <c r="C484" s="1" t="n">
        <v>45587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66482-2020</t>
        </is>
      </c>
      <c r="B485" s="1" t="n">
        <v>44177</v>
      </c>
      <c r="C485" s="1" t="n">
        <v>45587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66486-2020</t>
        </is>
      </c>
      <c r="B486" s="1" t="n">
        <v>44177</v>
      </c>
      <c r="C486" s="1" t="n">
        <v>45587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66760-2020</t>
        </is>
      </c>
      <c r="B487" s="1" t="n">
        <v>44179</v>
      </c>
      <c r="C487" s="1" t="n">
        <v>45587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67476-2020</t>
        </is>
      </c>
      <c r="B488" s="1" t="n">
        <v>44181</v>
      </c>
      <c r="C488" s="1" t="n">
        <v>45587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67469-2020</t>
        </is>
      </c>
      <c r="B489" s="1" t="n">
        <v>44181</v>
      </c>
      <c r="C489" s="1" t="n">
        <v>45587</v>
      </c>
      <c r="D489" t="inlineStr">
        <is>
          <t>JÖNKÖPINGS LÄN</t>
        </is>
      </c>
      <c r="E489" t="inlineStr">
        <is>
          <t>VETLANDA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67489-2020</t>
        </is>
      </c>
      <c r="B490" s="1" t="n">
        <v>44181</v>
      </c>
      <c r="C490" s="1" t="n">
        <v>45587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67466-2020</t>
        </is>
      </c>
      <c r="B491" s="1" t="n">
        <v>44181</v>
      </c>
      <c r="C491" s="1" t="n">
        <v>45587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67515-2020</t>
        </is>
      </c>
      <c r="B492" s="1" t="n">
        <v>44181</v>
      </c>
      <c r="C492" s="1" t="n">
        <v>45587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68303-2020</t>
        </is>
      </c>
      <c r="B493" s="1" t="n">
        <v>44185</v>
      </c>
      <c r="C493" s="1" t="n">
        <v>45587</v>
      </c>
      <c r="D493" t="inlineStr">
        <is>
          <t>JÖNKÖPINGS LÄN</t>
        </is>
      </c>
      <c r="E493" t="inlineStr">
        <is>
          <t>VETLANDA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68317-2020</t>
        </is>
      </c>
      <c r="B494" s="1" t="n">
        <v>44185</v>
      </c>
      <c r="C494" s="1" t="n">
        <v>45587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68306-2020</t>
        </is>
      </c>
      <c r="B495" s="1" t="n">
        <v>44185</v>
      </c>
      <c r="C495" s="1" t="n">
        <v>45587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68316-2020</t>
        </is>
      </c>
      <c r="B496" s="1" t="n">
        <v>44185</v>
      </c>
      <c r="C496" s="1" t="n">
        <v>45587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68477-2020</t>
        </is>
      </c>
      <c r="B497" s="1" t="n">
        <v>44186</v>
      </c>
      <c r="C497" s="1" t="n">
        <v>45587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68482-2020</t>
        </is>
      </c>
      <c r="B498" s="1" t="n">
        <v>44186</v>
      </c>
      <c r="C498" s="1" t="n">
        <v>45587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68780-2020</t>
        </is>
      </c>
      <c r="B499" s="1" t="n">
        <v>44187</v>
      </c>
      <c r="C499" s="1" t="n">
        <v>45587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69072-2020</t>
        </is>
      </c>
      <c r="B500" s="1" t="n">
        <v>44187</v>
      </c>
      <c r="C500" s="1" t="n">
        <v>45587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69003-2020</t>
        </is>
      </c>
      <c r="B501" s="1" t="n">
        <v>44188</v>
      </c>
      <c r="C501" s="1" t="n">
        <v>45587</v>
      </c>
      <c r="D501" t="inlineStr">
        <is>
          <t>JÖNKÖPINGS LÄN</t>
        </is>
      </c>
      <c r="E501" t="inlineStr">
        <is>
          <t>VETLANDA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69151-2020</t>
        </is>
      </c>
      <c r="B502" s="1" t="n">
        <v>44188</v>
      </c>
      <c r="C502" s="1" t="n">
        <v>45587</v>
      </c>
      <c r="D502" t="inlineStr">
        <is>
          <t>JÖNKÖPINGS LÄN</t>
        </is>
      </c>
      <c r="E502" t="inlineStr">
        <is>
          <t>VETLANDA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69152-2020</t>
        </is>
      </c>
      <c r="B503" s="1" t="n">
        <v>44188</v>
      </c>
      <c r="C503" s="1" t="n">
        <v>45587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111-2021</t>
        </is>
      </c>
      <c r="B504" s="1" t="n">
        <v>44196</v>
      </c>
      <c r="C504" s="1" t="n">
        <v>45587</v>
      </c>
      <c r="D504" t="inlineStr">
        <is>
          <t>JÖNKÖPINGS LÄN</t>
        </is>
      </c>
      <c r="E504" t="inlineStr">
        <is>
          <t>VETLANDA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45587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753-2021</t>
        </is>
      </c>
      <c r="B506" s="1" t="n">
        <v>44204</v>
      </c>
      <c r="C506" s="1" t="n">
        <v>45587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813-2021</t>
        </is>
      </c>
      <c r="B507" s="1" t="n">
        <v>44204</v>
      </c>
      <c r="C507" s="1" t="n">
        <v>45587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879-2021</t>
        </is>
      </c>
      <c r="B508" s="1" t="n">
        <v>44205</v>
      </c>
      <c r="C508" s="1" t="n">
        <v>45587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877-2021</t>
        </is>
      </c>
      <c r="B509" s="1" t="n">
        <v>44205</v>
      </c>
      <c r="C509" s="1" t="n">
        <v>45587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876-2021</t>
        </is>
      </c>
      <c r="B510" s="1" t="n">
        <v>44205</v>
      </c>
      <c r="C510" s="1" t="n">
        <v>45587</v>
      </c>
      <c r="D510" t="inlineStr">
        <is>
          <t>JÖNKÖPINGS LÄN</t>
        </is>
      </c>
      <c r="E510" t="inlineStr">
        <is>
          <t>VETLANDA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963-2021</t>
        </is>
      </c>
      <c r="B511" s="1" t="n">
        <v>44207</v>
      </c>
      <c r="C511" s="1" t="n">
        <v>45587</v>
      </c>
      <c r="D511" t="inlineStr">
        <is>
          <t>JÖNKÖPINGS LÄN</t>
        </is>
      </c>
      <c r="E511" t="inlineStr">
        <is>
          <t>VETLANDA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1739-2021</t>
        </is>
      </c>
      <c r="B512" s="1" t="n">
        <v>44209</v>
      </c>
      <c r="C512" s="1" t="n">
        <v>45587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2525-2021</t>
        </is>
      </c>
      <c r="B513" s="1" t="n">
        <v>44214</v>
      </c>
      <c r="C513" s="1" t="n">
        <v>45587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2871-2021</t>
        </is>
      </c>
      <c r="B514" s="1" t="n">
        <v>44214</v>
      </c>
      <c r="C514" s="1" t="n">
        <v>45587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2930-2021</t>
        </is>
      </c>
      <c r="B515" s="1" t="n">
        <v>44215</v>
      </c>
      <c r="C515" s="1" t="n">
        <v>45587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3374-2021</t>
        </is>
      </c>
      <c r="B516" s="1" t="n">
        <v>44218</v>
      </c>
      <c r="C516" s="1" t="n">
        <v>45587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3531-2021</t>
        </is>
      </c>
      <c r="B517" s="1" t="n">
        <v>44218</v>
      </c>
      <c r="C517" s="1" t="n">
        <v>45587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4620-2021</t>
        </is>
      </c>
      <c r="B518" s="1" t="n">
        <v>44224</v>
      </c>
      <c r="C518" s="1" t="n">
        <v>45587</v>
      </c>
      <c r="D518" t="inlineStr">
        <is>
          <t>JÖNKÖPINGS LÄN</t>
        </is>
      </c>
      <c r="E518" t="inlineStr">
        <is>
          <t>VETLANDA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5075-2021</t>
        </is>
      </c>
      <c r="B519" s="1" t="n">
        <v>44228</v>
      </c>
      <c r="C519" s="1" t="n">
        <v>45587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5067-2021</t>
        </is>
      </c>
      <c r="B520" s="1" t="n">
        <v>44228</v>
      </c>
      <c r="C520" s="1" t="n">
        <v>45587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6239-2021</t>
        </is>
      </c>
      <c r="B521" s="1" t="n">
        <v>44235</v>
      </c>
      <c r="C521" s="1" t="n">
        <v>45587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6321-2021</t>
        </is>
      </c>
      <c r="B522" s="1" t="n">
        <v>44235</v>
      </c>
      <c r="C522" s="1" t="n">
        <v>45587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6502-2021</t>
        </is>
      </c>
      <c r="B523" s="1" t="n">
        <v>44236</v>
      </c>
      <c r="C523" s="1" t="n">
        <v>45587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7674-2021</t>
        </is>
      </c>
      <c r="B524" s="1" t="n">
        <v>44239</v>
      </c>
      <c r="C524" s="1" t="n">
        <v>45587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7852-2021</t>
        </is>
      </c>
      <c r="B525" s="1" t="n">
        <v>44242</v>
      </c>
      <c r="C525" s="1" t="n">
        <v>45587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7860-2021</t>
        </is>
      </c>
      <c r="B526" s="1" t="n">
        <v>44242</v>
      </c>
      <c r="C526" s="1" t="n">
        <v>45587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7870-2021</t>
        </is>
      </c>
      <c r="B527" s="1" t="n">
        <v>44242</v>
      </c>
      <c r="C527" s="1" t="n">
        <v>45587</v>
      </c>
      <c r="D527" t="inlineStr">
        <is>
          <t>JÖNKÖPINGS LÄN</t>
        </is>
      </c>
      <c r="E527" t="inlineStr">
        <is>
          <t>VETLANDA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8098-2021</t>
        </is>
      </c>
      <c r="B528" s="1" t="n">
        <v>44243</v>
      </c>
      <c r="C528" s="1" t="n">
        <v>45587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8556-2021</t>
        </is>
      </c>
      <c r="B529" s="1" t="n">
        <v>44245</v>
      </c>
      <c r="C529" s="1" t="n">
        <v>45587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8602-2021</t>
        </is>
      </c>
      <c r="B530" s="1" t="n">
        <v>44245</v>
      </c>
      <c r="C530" s="1" t="n">
        <v>45587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8813-2021</t>
        </is>
      </c>
      <c r="B531" s="1" t="n">
        <v>44246</v>
      </c>
      <c r="C531" s="1" t="n">
        <v>45587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8809-2021</t>
        </is>
      </c>
      <c r="B532" s="1" t="n">
        <v>44246</v>
      </c>
      <c r="C532" s="1" t="n">
        <v>45587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8658-2021</t>
        </is>
      </c>
      <c r="B533" s="1" t="n">
        <v>44246</v>
      </c>
      <c r="C533" s="1" t="n">
        <v>45587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8872-2021</t>
        </is>
      </c>
      <c r="B534" s="1" t="n">
        <v>44247</v>
      </c>
      <c r="C534" s="1" t="n">
        <v>45587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9304-2021</t>
        </is>
      </c>
      <c r="B535" s="1" t="n">
        <v>44250</v>
      </c>
      <c r="C535" s="1" t="n">
        <v>45587</v>
      </c>
      <c r="D535" t="inlineStr">
        <is>
          <t>JÖNKÖPINGS LÄN</t>
        </is>
      </c>
      <c r="E535" t="inlineStr">
        <is>
          <t>VETLANDA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9386-2021</t>
        </is>
      </c>
      <c r="B536" s="1" t="n">
        <v>44250</v>
      </c>
      <c r="C536" s="1" t="n">
        <v>45587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9592-2021</t>
        </is>
      </c>
      <c r="B537" s="1" t="n">
        <v>44251</v>
      </c>
      <c r="C537" s="1" t="n">
        <v>45587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9665-2021</t>
        </is>
      </c>
      <c r="B538" s="1" t="n">
        <v>44252</v>
      </c>
      <c r="C538" s="1" t="n">
        <v>45587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9662-2021</t>
        </is>
      </c>
      <c r="B539" s="1" t="n">
        <v>44252</v>
      </c>
      <c r="C539" s="1" t="n">
        <v>45587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9699-2021</t>
        </is>
      </c>
      <c r="B540" s="1" t="n">
        <v>44252</v>
      </c>
      <c r="C540" s="1" t="n">
        <v>45587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9660-2021</t>
        </is>
      </c>
      <c r="B541" s="1" t="n">
        <v>44252</v>
      </c>
      <c r="C541" s="1" t="n">
        <v>45587</v>
      </c>
      <c r="D541" t="inlineStr">
        <is>
          <t>JÖNKÖPINGS LÄN</t>
        </is>
      </c>
      <c r="E541" t="inlineStr">
        <is>
          <t>VETLANDA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9697-2021</t>
        </is>
      </c>
      <c r="B542" s="1" t="n">
        <v>44252</v>
      </c>
      <c r="C542" s="1" t="n">
        <v>45587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10802-2021</t>
        </is>
      </c>
      <c r="B543" s="1" t="n">
        <v>44258</v>
      </c>
      <c r="C543" s="1" t="n">
        <v>45587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10741-2021</t>
        </is>
      </c>
      <c r="B544" s="1" t="n">
        <v>44259</v>
      </c>
      <c r="C544" s="1" t="n">
        <v>45587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11121-2021</t>
        </is>
      </c>
      <c r="B545" s="1" t="n">
        <v>44260</v>
      </c>
      <c r="C545" s="1" t="n">
        <v>45587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11160-2021</t>
        </is>
      </c>
      <c r="B546" s="1" t="n">
        <v>44262</v>
      </c>
      <c r="C546" s="1" t="n">
        <v>45587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11507-2021</t>
        </is>
      </c>
      <c r="B547" s="1" t="n">
        <v>44264</v>
      </c>
      <c r="C547" s="1" t="n">
        <v>45587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11671-2021</t>
        </is>
      </c>
      <c r="B548" s="1" t="n">
        <v>44264</v>
      </c>
      <c r="C548" s="1" t="n">
        <v>45587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12006-2021</t>
        </is>
      </c>
      <c r="B549" s="1" t="n">
        <v>44266</v>
      </c>
      <c r="C549" s="1" t="n">
        <v>45587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12224-2021</t>
        </is>
      </c>
      <c r="B550" s="1" t="n">
        <v>44266</v>
      </c>
      <c r="C550" s="1" t="n">
        <v>45587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12414-2021</t>
        </is>
      </c>
      <c r="B551" s="1" t="n">
        <v>44267</v>
      </c>
      <c r="C551" s="1" t="n">
        <v>45587</v>
      </c>
      <c r="D551" t="inlineStr">
        <is>
          <t>JÖNKÖPINGS LÄN</t>
        </is>
      </c>
      <c r="E551" t="inlineStr">
        <is>
          <t>VETLANDA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12379-2021</t>
        </is>
      </c>
      <c r="B552" s="1" t="n">
        <v>44267</v>
      </c>
      <c r="C552" s="1" t="n">
        <v>45587</v>
      </c>
      <c r="D552" t="inlineStr">
        <is>
          <t>JÖNKÖPINGS LÄN</t>
        </is>
      </c>
      <c r="E552" t="inlineStr">
        <is>
          <t>VETLANDA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12581-2021</t>
        </is>
      </c>
      <c r="B553" s="1" t="n">
        <v>44267</v>
      </c>
      <c r="C553" s="1" t="n">
        <v>45587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12759-2021</t>
        </is>
      </c>
      <c r="B554" s="1" t="n">
        <v>44270</v>
      </c>
      <c r="C554" s="1" t="n">
        <v>45587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12763-2021</t>
        </is>
      </c>
      <c r="B555" s="1" t="n">
        <v>44270</v>
      </c>
      <c r="C555" s="1" t="n">
        <v>45587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12974-2021</t>
        </is>
      </c>
      <c r="B556" s="1" t="n">
        <v>44271</v>
      </c>
      <c r="C556" s="1" t="n">
        <v>45587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13057-2021</t>
        </is>
      </c>
      <c r="B557" s="1" t="n">
        <v>44271</v>
      </c>
      <c r="C557" s="1" t="n">
        <v>45587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13221-2021</t>
        </is>
      </c>
      <c r="B558" s="1" t="n">
        <v>44272</v>
      </c>
      <c r="C558" s="1" t="n">
        <v>45587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13215-2021</t>
        </is>
      </c>
      <c r="B559" s="1" t="n">
        <v>44272</v>
      </c>
      <c r="C559" s="1" t="n">
        <v>45587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13409-2021</t>
        </is>
      </c>
      <c r="B560" s="1" t="n">
        <v>44273</v>
      </c>
      <c r="C560" s="1" t="n">
        <v>45587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13426-2021</t>
        </is>
      </c>
      <c r="B561" s="1" t="n">
        <v>44273</v>
      </c>
      <c r="C561" s="1" t="n">
        <v>45587</v>
      </c>
      <c r="D561" t="inlineStr">
        <is>
          <t>JÖNKÖPINGS LÄN</t>
        </is>
      </c>
      <c r="E561" t="inlineStr">
        <is>
          <t>VETLANDA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15657-2021</t>
        </is>
      </c>
      <c r="B562" s="1" t="n">
        <v>44286</v>
      </c>
      <c r="C562" s="1" t="n">
        <v>45587</v>
      </c>
      <c r="D562" t="inlineStr">
        <is>
          <t>JÖNKÖPINGS LÄN</t>
        </is>
      </c>
      <c r="E562" t="inlineStr">
        <is>
          <t>VETLANDA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15829-2021</t>
        </is>
      </c>
      <c r="B563" s="1" t="n">
        <v>44286</v>
      </c>
      <c r="C563" s="1" t="n">
        <v>45587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15723-2021</t>
        </is>
      </c>
      <c r="B564" s="1" t="n">
        <v>44286</v>
      </c>
      <c r="C564" s="1" t="n">
        <v>45587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15826-2021</t>
        </is>
      </c>
      <c r="B565" s="1" t="n">
        <v>44286</v>
      </c>
      <c r="C565" s="1" t="n">
        <v>45587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15823-2021</t>
        </is>
      </c>
      <c r="B566" s="1" t="n">
        <v>44286</v>
      </c>
      <c r="C566" s="1" t="n">
        <v>45587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15898-2021</t>
        </is>
      </c>
      <c r="B567" s="1" t="n">
        <v>44287</v>
      </c>
      <c r="C567" s="1" t="n">
        <v>45587</v>
      </c>
      <c r="D567" t="inlineStr">
        <is>
          <t>JÖNKÖPINGS LÄN</t>
        </is>
      </c>
      <c r="E567" t="inlineStr">
        <is>
          <t>VETLANDA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16119-2021</t>
        </is>
      </c>
      <c r="B568" s="1" t="n">
        <v>44291</v>
      </c>
      <c r="C568" s="1" t="n">
        <v>45587</v>
      </c>
      <c r="D568" t="inlineStr">
        <is>
          <t>JÖNKÖPINGS LÄN</t>
        </is>
      </c>
      <c r="E568" t="inlineStr">
        <is>
          <t>VETLANDA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16394-2021</t>
        </is>
      </c>
      <c r="B569" s="1" t="n">
        <v>44293</v>
      </c>
      <c r="C569" s="1" t="n">
        <v>45587</v>
      </c>
      <c r="D569" t="inlineStr">
        <is>
          <t>JÖNKÖPINGS LÄN</t>
        </is>
      </c>
      <c r="E569" t="inlineStr">
        <is>
          <t>VETLANDA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16762-2021</t>
        </is>
      </c>
      <c r="B570" s="1" t="n">
        <v>44294</v>
      </c>
      <c r="C570" s="1" t="n">
        <v>45587</v>
      </c>
      <c r="D570" t="inlineStr">
        <is>
          <t>JÖNKÖPINGS LÄN</t>
        </is>
      </c>
      <c r="E570" t="inlineStr">
        <is>
          <t>VETLANDA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16947-2021</t>
        </is>
      </c>
      <c r="B571" s="1" t="n">
        <v>44295</v>
      </c>
      <c r="C571" s="1" t="n">
        <v>45587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17712-2021</t>
        </is>
      </c>
      <c r="B572" s="1" t="n">
        <v>44300</v>
      </c>
      <c r="C572" s="1" t="n">
        <v>45587</v>
      </c>
      <c r="D572" t="inlineStr">
        <is>
          <t>JÖNKÖPINGS LÄN</t>
        </is>
      </c>
      <c r="E572" t="inlineStr">
        <is>
          <t>VETLANDA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17931-2021</t>
        </is>
      </c>
      <c r="B573" s="1" t="n">
        <v>44301</v>
      </c>
      <c r="C573" s="1" t="n">
        <v>45587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17974-2021</t>
        </is>
      </c>
      <c r="B574" s="1" t="n">
        <v>44301</v>
      </c>
      <c r="C574" s="1" t="n">
        <v>45587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17934-2021</t>
        </is>
      </c>
      <c r="B575" s="1" t="n">
        <v>44301</v>
      </c>
      <c r="C575" s="1" t="n">
        <v>45587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17976-2021</t>
        </is>
      </c>
      <c r="B576" s="1" t="n">
        <v>44301</v>
      </c>
      <c r="C576" s="1" t="n">
        <v>45587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17991-2021</t>
        </is>
      </c>
      <c r="B577" s="1" t="n">
        <v>44301</v>
      </c>
      <c r="C577" s="1" t="n">
        <v>45587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18271-2021</t>
        </is>
      </c>
      <c r="B578" s="1" t="n">
        <v>44305</v>
      </c>
      <c r="C578" s="1" t="n">
        <v>45587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18503-2021</t>
        </is>
      </c>
      <c r="B579" s="1" t="n">
        <v>44306</v>
      </c>
      <c r="C579" s="1" t="n">
        <v>45587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18506-2021</t>
        </is>
      </c>
      <c r="B580" s="1" t="n">
        <v>44306</v>
      </c>
      <c r="C580" s="1" t="n">
        <v>45587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19188-2021</t>
        </is>
      </c>
      <c r="B581" s="1" t="n">
        <v>44308</v>
      </c>
      <c r="C581" s="1" t="n">
        <v>45587</v>
      </c>
      <c r="D581" t="inlineStr">
        <is>
          <t>JÖNKÖPINGS LÄN</t>
        </is>
      </c>
      <c r="E581" t="inlineStr">
        <is>
          <t>VETLANDA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19852-2021</t>
        </is>
      </c>
      <c r="B582" s="1" t="n">
        <v>44309</v>
      </c>
      <c r="C582" s="1" t="n">
        <v>45587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20761-2021</t>
        </is>
      </c>
      <c r="B583" s="1" t="n">
        <v>44313</v>
      </c>
      <c r="C583" s="1" t="n">
        <v>45587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20765-2021</t>
        </is>
      </c>
      <c r="B584" s="1" t="n">
        <v>44313</v>
      </c>
      <c r="C584" s="1" t="n">
        <v>45587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20496-2021</t>
        </is>
      </c>
      <c r="B585" s="1" t="n">
        <v>44313</v>
      </c>
      <c r="C585" s="1" t="n">
        <v>45587</v>
      </c>
      <c r="D585" t="inlineStr">
        <is>
          <t>JÖNKÖPINGS LÄN</t>
        </is>
      </c>
      <c r="E585" t="inlineStr">
        <is>
          <t>VETLANDA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20759-2021</t>
        </is>
      </c>
      <c r="B586" s="1" t="n">
        <v>44313</v>
      </c>
      <c r="C586" s="1" t="n">
        <v>45587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20135-2021</t>
        </is>
      </c>
      <c r="B587" s="1" t="n">
        <v>44314</v>
      </c>
      <c r="C587" s="1" t="n">
        <v>45587</v>
      </c>
      <c r="D587" t="inlineStr">
        <is>
          <t>JÖNKÖPINGS LÄN</t>
        </is>
      </c>
      <c r="E587" t="inlineStr">
        <is>
          <t>VETLANDA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20378-2021</t>
        </is>
      </c>
      <c r="B588" s="1" t="n">
        <v>44315</v>
      </c>
      <c r="C588" s="1" t="n">
        <v>45587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20614-2021</t>
        </is>
      </c>
      <c r="B589" s="1" t="n">
        <v>44316</v>
      </c>
      <c r="C589" s="1" t="n">
        <v>45587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20619-2021</t>
        </is>
      </c>
      <c r="B590" s="1" t="n">
        <v>44316</v>
      </c>
      <c r="C590" s="1" t="n">
        <v>45587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20610-2021</t>
        </is>
      </c>
      <c r="B591" s="1" t="n">
        <v>44316</v>
      </c>
      <c r="C591" s="1" t="n">
        <v>45587</v>
      </c>
      <c r="D591" t="inlineStr">
        <is>
          <t>JÖNKÖPINGS LÄN</t>
        </is>
      </c>
      <c r="E591" t="inlineStr">
        <is>
          <t>VETLANDA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20796-2021</t>
        </is>
      </c>
      <c r="B592" s="1" t="n">
        <v>44316</v>
      </c>
      <c r="C592" s="1" t="n">
        <v>45587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21040-2021</t>
        </is>
      </c>
      <c r="B593" s="1" t="n">
        <v>44319</v>
      </c>
      <c r="C593" s="1" t="n">
        <v>45587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21022-2021</t>
        </is>
      </c>
      <c r="B594" s="1" t="n">
        <v>44319</v>
      </c>
      <c r="C594" s="1" t="n">
        <v>45587</v>
      </c>
      <c r="D594" t="inlineStr">
        <is>
          <t>JÖNKÖPINGS LÄN</t>
        </is>
      </c>
      <c r="E594" t="inlineStr">
        <is>
          <t>VETLANDA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21290-2021</t>
        </is>
      </c>
      <c r="B595" s="1" t="n">
        <v>44320</v>
      </c>
      <c r="C595" s="1" t="n">
        <v>45587</v>
      </c>
      <c r="D595" t="inlineStr">
        <is>
          <t>JÖNKÖPINGS LÄN</t>
        </is>
      </c>
      <c r="E595" t="inlineStr">
        <is>
          <t>VETLANDA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21125-2021</t>
        </is>
      </c>
      <c r="B596" s="1" t="n">
        <v>44320</v>
      </c>
      <c r="C596" s="1" t="n">
        <v>45587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21574-2021</t>
        </is>
      </c>
      <c r="B597" s="1" t="n">
        <v>44321</v>
      </c>
      <c r="C597" s="1" t="n">
        <v>45587</v>
      </c>
      <c r="D597" t="inlineStr">
        <is>
          <t>JÖNKÖPINGS LÄN</t>
        </is>
      </c>
      <c r="E597" t="inlineStr">
        <is>
          <t>VETLANDA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21579-2021</t>
        </is>
      </c>
      <c r="B598" s="1" t="n">
        <v>44321</v>
      </c>
      <c r="C598" s="1" t="n">
        <v>45587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22030-2021</t>
        </is>
      </c>
      <c r="B599" s="1" t="n">
        <v>44322</v>
      </c>
      <c r="C599" s="1" t="n">
        <v>45587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22164-2021</t>
        </is>
      </c>
      <c r="B600" s="1" t="n">
        <v>44325</v>
      </c>
      <c r="C600" s="1" t="n">
        <v>45587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22166-2021</t>
        </is>
      </c>
      <c r="B601" s="1" t="n">
        <v>44325</v>
      </c>
      <c r="C601" s="1" t="n">
        <v>45587</v>
      </c>
      <c r="D601" t="inlineStr">
        <is>
          <t>JÖNKÖPINGS LÄN</t>
        </is>
      </c>
      <c r="E601" t="inlineStr">
        <is>
          <t>VETLANDA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22427-2021</t>
        </is>
      </c>
      <c r="B602" s="1" t="n">
        <v>44326</v>
      </c>
      <c r="C602" s="1" t="n">
        <v>45587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22556-2021</t>
        </is>
      </c>
      <c r="B603" s="1" t="n">
        <v>44327</v>
      </c>
      <c r="C603" s="1" t="n">
        <v>45587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22746-2021</t>
        </is>
      </c>
      <c r="B604" s="1" t="n">
        <v>44327</v>
      </c>
      <c r="C604" s="1" t="n">
        <v>45587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22749-2021</t>
        </is>
      </c>
      <c r="B605" s="1" t="n">
        <v>44327</v>
      </c>
      <c r="C605" s="1" t="n">
        <v>45587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23392-2021</t>
        </is>
      </c>
      <c r="B606" s="1" t="n">
        <v>44333</v>
      </c>
      <c r="C606" s="1" t="n">
        <v>45587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23708-2021</t>
        </is>
      </c>
      <c r="B607" s="1" t="n">
        <v>44334</v>
      </c>
      <c r="C607" s="1" t="n">
        <v>45587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23704-2021</t>
        </is>
      </c>
      <c r="B608" s="1" t="n">
        <v>44334</v>
      </c>
      <c r="C608" s="1" t="n">
        <v>45587</v>
      </c>
      <c r="D608" t="inlineStr">
        <is>
          <t>JÖNKÖPINGS LÄN</t>
        </is>
      </c>
      <c r="E608" t="inlineStr">
        <is>
          <t>VETLANDA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23709-2021</t>
        </is>
      </c>
      <c r="B609" s="1" t="n">
        <v>44334</v>
      </c>
      <c r="C609" s="1" t="n">
        <v>45587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23956-2021</t>
        </is>
      </c>
      <c r="B610" s="1" t="n">
        <v>44335</v>
      </c>
      <c r="C610" s="1" t="n">
        <v>45587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24192-2021</t>
        </is>
      </c>
      <c r="B611" s="1" t="n">
        <v>44336</v>
      </c>
      <c r="C611" s="1" t="n">
        <v>45587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24646-2021</t>
        </is>
      </c>
      <c r="B612" s="1" t="n">
        <v>44340</v>
      </c>
      <c r="C612" s="1" t="n">
        <v>45587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25073-2021</t>
        </is>
      </c>
      <c r="B613" s="1" t="n">
        <v>44341</v>
      </c>
      <c r="C613" s="1" t="n">
        <v>45587</v>
      </c>
      <c r="D613" t="inlineStr">
        <is>
          <t>JÖNKÖPINGS LÄN</t>
        </is>
      </c>
      <c r="E613" t="inlineStr">
        <is>
          <t>VETLANDA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25429-2021</t>
        </is>
      </c>
      <c r="B614" s="1" t="n">
        <v>44342</v>
      </c>
      <c r="C614" s="1" t="n">
        <v>45587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25833-2021</t>
        </is>
      </c>
      <c r="B615" s="1" t="n">
        <v>44343</v>
      </c>
      <c r="C615" s="1" t="n">
        <v>45587</v>
      </c>
      <c r="D615" t="inlineStr">
        <is>
          <t>JÖNKÖPINGS LÄN</t>
        </is>
      </c>
      <c r="E615" t="inlineStr">
        <is>
          <t>VETLANDA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25835-2021</t>
        </is>
      </c>
      <c r="B616" s="1" t="n">
        <v>44343</v>
      </c>
      <c r="C616" s="1" t="n">
        <v>45587</v>
      </c>
      <c r="D616" t="inlineStr">
        <is>
          <t>JÖNKÖPINGS LÄN</t>
        </is>
      </c>
      <c r="E616" t="inlineStr">
        <is>
          <t>VETLANDA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26157-2021</t>
        </is>
      </c>
      <c r="B617" s="1" t="n">
        <v>44347</v>
      </c>
      <c r="C617" s="1" t="n">
        <v>45587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27200-2021</t>
        </is>
      </c>
      <c r="B618" s="1" t="n">
        <v>44350</v>
      </c>
      <c r="C618" s="1" t="n">
        <v>45587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27199-2021</t>
        </is>
      </c>
      <c r="B619" s="1" t="n">
        <v>44350</v>
      </c>
      <c r="C619" s="1" t="n">
        <v>45587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27195-2021</t>
        </is>
      </c>
      <c r="B620" s="1" t="n">
        <v>44350</v>
      </c>
      <c r="C620" s="1" t="n">
        <v>45587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27671-2021</t>
        </is>
      </c>
      <c r="B621" s="1" t="n">
        <v>44354</v>
      </c>
      <c r="C621" s="1" t="n">
        <v>45587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27874-2021</t>
        </is>
      </c>
      <c r="B622" s="1" t="n">
        <v>44354</v>
      </c>
      <c r="C622" s="1" t="n">
        <v>45587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27996-2021</t>
        </is>
      </c>
      <c r="B623" s="1" t="n">
        <v>44355</v>
      </c>
      <c r="C623" s="1" t="n">
        <v>45587</v>
      </c>
      <c r="D623" t="inlineStr">
        <is>
          <t>JÖNKÖPINGS LÄN</t>
        </is>
      </c>
      <c r="E623" t="inlineStr">
        <is>
          <t>VETLANDA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28211-2021</t>
        </is>
      </c>
      <c r="B624" s="1" t="n">
        <v>44355</v>
      </c>
      <c r="C624" s="1" t="n">
        <v>45587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29054-2021</t>
        </is>
      </c>
      <c r="B625" s="1" t="n">
        <v>44358</v>
      </c>
      <c r="C625" s="1" t="n">
        <v>45587</v>
      </c>
      <c r="D625" t="inlineStr">
        <is>
          <t>JÖNKÖPINGS LÄN</t>
        </is>
      </c>
      <c r="E625" t="inlineStr">
        <is>
          <t>VETLANDA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29432-2021</t>
        </is>
      </c>
      <c r="B626" s="1" t="n">
        <v>44361</v>
      </c>
      <c r="C626" s="1" t="n">
        <v>45587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29763-2021</t>
        </is>
      </c>
      <c r="B627" s="1" t="n">
        <v>44362</v>
      </c>
      <c r="C627" s="1" t="n">
        <v>45587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30222-2021</t>
        </is>
      </c>
      <c r="B628" s="1" t="n">
        <v>44363</v>
      </c>
      <c r="C628" s="1" t="n">
        <v>45587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30370-2021</t>
        </is>
      </c>
      <c r="B629" s="1" t="n">
        <v>44364</v>
      </c>
      <c r="C629" s="1" t="n">
        <v>45587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30716-2021</t>
        </is>
      </c>
      <c r="B630" s="1" t="n">
        <v>44365</v>
      </c>
      <c r="C630" s="1" t="n">
        <v>45587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30772-2021</t>
        </is>
      </c>
      <c r="B631" s="1" t="n">
        <v>44365</v>
      </c>
      <c r="C631" s="1" t="n">
        <v>45587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31118-2021</t>
        </is>
      </c>
      <c r="B632" s="1" t="n">
        <v>44368</v>
      </c>
      <c r="C632" s="1" t="n">
        <v>45587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31529-2021</t>
        </is>
      </c>
      <c r="B633" s="1" t="n">
        <v>44369</v>
      </c>
      <c r="C633" s="1" t="n">
        <v>45587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32417-2021</t>
        </is>
      </c>
      <c r="B634" s="1" t="n">
        <v>44371</v>
      </c>
      <c r="C634" s="1" t="n">
        <v>45587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32581-2021</t>
        </is>
      </c>
      <c r="B635" s="1" t="n">
        <v>44371</v>
      </c>
      <c r="C635" s="1" t="n">
        <v>45587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32421-2021</t>
        </is>
      </c>
      <c r="B636" s="1" t="n">
        <v>44371</v>
      </c>
      <c r="C636" s="1" t="n">
        <v>45587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32814-2021</t>
        </is>
      </c>
      <c r="B637" s="1" t="n">
        <v>44375</v>
      </c>
      <c r="C637" s="1" t="n">
        <v>45587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32826-2021</t>
        </is>
      </c>
      <c r="B638" s="1" t="n">
        <v>44375</v>
      </c>
      <c r="C638" s="1" t="n">
        <v>45587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32859-2021</t>
        </is>
      </c>
      <c r="B639" s="1" t="n">
        <v>44375</v>
      </c>
      <c r="C639" s="1" t="n">
        <v>45587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34364-2021</t>
        </is>
      </c>
      <c r="B640" s="1" t="n">
        <v>44379</v>
      </c>
      <c r="C640" s="1" t="n">
        <v>45587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34517-2021</t>
        </is>
      </c>
      <c r="B641" s="1" t="n">
        <v>44382</v>
      </c>
      <c r="C641" s="1" t="n">
        <v>45587</v>
      </c>
      <c r="D641" t="inlineStr">
        <is>
          <t>JÖNKÖPINGS LÄN</t>
        </is>
      </c>
      <c r="E641" t="inlineStr">
        <is>
          <t>VETLANDA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34921-2021</t>
        </is>
      </c>
      <c r="B642" s="1" t="n">
        <v>44383</v>
      </c>
      <c r="C642" s="1" t="n">
        <v>45587</v>
      </c>
      <c r="D642" t="inlineStr">
        <is>
          <t>JÖNKÖPINGS LÄN</t>
        </is>
      </c>
      <c r="E642" t="inlineStr">
        <is>
          <t>VETLANDA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35473-2021</t>
        </is>
      </c>
      <c r="B643" s="1" t="n">
        <v>44384</v>
      </c>
      <c r="C643" s="1" t="n">
        <v>45587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35458-2021</t>
        </is>
      </c>
      <c r="B644" s="1" t="n">
        <v>44385</v>
      </c>
      <c r="C644" s="1" t="n">
        <v>45587</v>
      </c>
      <c r="D644" t="inlineStr">
        <is>
          <t>JÖNKÖPINGS LÄN</t>
        </is>
      </c>
      <c r="E644" t="inlineStr">
        <is>
          <t>VETLANDA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35729-2021</t>
        </is>
      </c>
      <c r="B645" s="1" t="n">
        <v>44386</v>
      </c>
      <c r="C645" s="1" t="n">
        <v>45587</v>
      </c>
      <c r="D645" t="inlineStr">
        <is>
          <t>JÖNKÖPINGS LÄN</t>
        </is>
      </c>
      <c r="E645" t="inlineStr">
        <is>
          <t>VETLANDA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36216-2021</t>
        </is>
      </c>
      <c r="B646" s="1" t="n">
        <v>44388</v>
      </c>
      <c r="C646" s="1" t="n">
        <v>45587</v>
      </c>
      <c r="D646" t="inlineStr">
        <is>
          <t>JÖNKÖPINGS LÄN</t>
        </is>
      </c>
      <c r="E646" t="inlineStr">
        <is>
          <t>VETLANDA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36334-2021</t>
        </is>
      </c>
      <c r="B647" s="1" t="n">
        <v>44390</v>
      </c>
      <c r="C647" s="1" t="n">
        <v>45587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36331-2021</t>
        </is>
      </c>
      <c r="B648" s="1" t="n">
        <v>44390</v>
      </c>
      <c r="C648" s="1" t="n">
        <v>45587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36332-2021</t>
        </is>
      </c>
      <c r="B649" s="1" t="n">
        <v>44390</v>
      </c>
      <c r="C649" s="1" t="n">
        <v>45587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36329-2021</t>
        </is>
      </c>
      <c r="B650" s="1" t="n">
        <v>44390</v>
      </c>
      <c r="C650" s="1" t="n">
        <v>45587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36626-2021</t>
        </is>
      </c>
      <c r="B651" s="1" t="n">
        <v>44391</v>
      </c>
      <c r="C651" s="1" t="n">
        <v>45587</v>
      </c>
      <c r="D651" t="inlineStr">
        <is>
          <t>JÖNKÖPINGS LÄN</t>
        </is>
      </c>
      <c r="E651" t="inlineStr">
        <is>
          <t>VETLANDA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36694-2021</t>
        </is>
      </c>
      <c r="B652" s="1" t="n">
        <v>44392</v>
      </c>
      <c r="C652" s="1" t="n">
        <v>45587</v>
      </c>
      <c r="D652" t="inlineStr">
        <is>
          <t>JÖNKÖPINGS LÄN</t>
        </is>
      </c>
      <c r="E652" t="inlineStr">
        <is>
          <t>VETLANDA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36751-2021</t>
        </is>
      </c>
      <c r="B653" s="1" t="n">
        <v>44392</v>
      </c>
      <c r="C653" s="1" t="n">
        <v>45587</v>
      </c>
      <c r="D653" t="inlineStr">
        <is>
          <t>JÖNKÖPINGS LÄN</t>
        </is>
      </c>
      <c r="E653" t="inlineStr">
        <is>
          <t>VETLANDA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36692-2021</t>
        </is>
      </c>
      <c r="B654" s="1" t="n">
        <v>44392</v>
      </c>
      <c r="C654" s="1" t="n">
        <v>45587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36691-2021</t>
        </is>
      </c>
      <c r="B655" s="1" t="n">
        <v>44392</v>
      </c>
      <c r="C655" s="1" t="n">
        <v>45587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36679-2021</t>
        </is>
      </c>
      <c r="B656" s="1" t="n">
        <v>44392</v>
      </c>
      <c r="C656" s="1" t="n">
        <v>45587</v>
      </c>
      <c r="D656" t="inlineStr">
        <is>
          <t>JÖNKÖPINGS LÄN</t>
        </is>
      </c>
      <c r="E656" t="inlineStr">
        <is>
          <t>VETLANDA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37205-2021</t>
        </is>
      </c>
      <c r="B657" s="1" t="n">
        <v>44396</v>
      </c>
      <c r="C657" s="1" t="n">
        <v>45587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37468-2021</t>
        </is>
      </c>
      <c r="B658" s="1" t="n">
        <v>44398</v>
      </c>
      <c r="C658" s="1" t="n">
        <v>45587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37447-2021</t>
        </is>
      </c>
      <c r="B659" s="1" t="n">
        <v>44398</v>
      </c>
      <c r="C659" s="1" t="n">
        <v>45587</v>
      </c>
      <c r="D659" t="inlineStr">
        <is>
          <t>JÖNKÖPINGS LÄN</t>
        </is>
      </c>
      <c r="E659" t="inlineStr">
        <is>
          <t>VETLANDA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38080-2021</t>
        </is>
      </c>
      <c r="B660" s="1" t="n">
        <v>44404</v>
      </c>
      <c r="C660" s="1" t="n">
        <v>45587</v>
      </c>
      <c r="D660" t="inlineStr">
        <is>
          <t>JÖNKÖPINGS LÄN</t>
        </is>
      </c>
      <c r="E660" t="inlineStr">
        <is>
          <t>VETLANDA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38552-2021</t>
        </is>
      </c>
      <c r="B661" s="1" t="n">
        <v>44407</v>
      </c>
      <c r="C661" s="1" t="n">
        <v>45587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39677-2021</t>
        </is>
      </c>
      <c r="B662" s="1" t="n">
        <v>44417</v>
      </c>
      <c r="C662" s="1" t="n">
        <v>45587</v>
      </c>
      <c r="D662" t="inlineStr">
        <is>
          <t>JÖNKÖPINGS LÄN</t>
        </is>
      </c>
      <c r="E662" t="inlineStr">
        <is>
          <t>VETLANDA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40176-2021</t>
        </is>
      </c>
      <c r="B663" s="1" t="n">
        <v>44418</v>
      </c>
      <c r="C663" s="1" t="n">
        <v>45587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40012-2021</t>
        </is>
      </c>
      <c r="B664" s="1" t="n">
        <v>44418</v>
      </c>
      <c r="C664" s="1" t="n">
        <v>45587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40740-2021</t>
        </is>
      </c>
      <c r="B665" s="1" t="n">
        <v>44420</v>
      </c>
      <c r="C665" s="1" t="n">
        <v>45587</v>
      </c>
      <c r="D665" t="inlineStr">
        <is>
          <t>JÖNKÖPINGS LÄN</t>
        </is>
      </c>
      <c r="E665" t="inlineStr">
        <is>
          <t>VETLANDA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41632-2021</t>
        </is>
      </c>
      <c r="B666" s="1" t="n">
        <v>44424</v>
      </c>
      <c r="C666" s="1" t="n">
        <v>45587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41569-2021</t>
        </is>
      </c>
      <c r="B667" s="1" t="n">
        <v>44424</v>
      </c>
      <c r="C667" s="1" t="n">
        <v>45587</v>
      </c>
      <c r="D667" t="inlineStr">
        <is>
          <t>JÖNKÖPINGS LÄN</t>
        </is>
      </c>
      <c r="E667" t="inlineStr">
        <is>
          <t>VETLANDA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42058-2021</t>
        </is>
      </c>
      <c r="B668" s="1" t="n">
        <v>44426</v>
      </c>
      <c r="C668" s="1" t="n">
        <v>45587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42950-2021</t>
        </is>
      </c>
      <c r="B669" s="1" t="n">
        <v>44431</v>
      </c>
      <c r="C669" s="1" t="n">
        <v>45587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42964-2021</t>
        </is>
      </c>
      <c r="B670" s="1" t="n">
        <v>44431</v>
      </c>
      <c r="C670" s="1" t="n">
        <v>45587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43018-2021</t>
        </is>
      </c>
      <c r="B671" s="1" t="n">
        <v>44431</v>
      </c>
      <c r="C671" s="1" t="n">
        <v>45587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43367-2021</t>
        </is>
      </c>
      <c r="B672" s="1" t="n">
        <v>44432</v>
      </c>
      <c r="C672" s="1" t="n">
        <v>45587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43387-2021</t>
        </is>
      </c>
      <c r="B673" s="1" t="n">
        <v>44432</v>
      </c>
      <c r="C673" s="1" t="n">
        <v>45587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45587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44115-2021</t>
        </is>
      </c>
      <c r="B675" s="1" t="n">
        <v>44434</v>
      </c>
      <c r="C675" s="1" t="n">
        <v>45587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44070-2021</t>
        </is>
      </c>
      <c r="B676" s="1" t="n">
        <v>44434</v>
      </c>
      <c r="C676" s="1" t="n">
        <v>45587</v>
      </c>
      <c r="D676" t="inlineStr">
        <is>
          <t>JÖNKÖPINGS LÄN</t>
        </is>
      </c>
      <c r="E676" t="inlineStr">
        <is>
          <t>VETLANDA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44266-2021</t>
        </is>
      </c>
      <c r="B677" s="1" t="n">
        <v>44434</v>
      </c>
      <c r="C677" s="1" t="n">
        <v>45587</v>
      </c>
      <c r="D677" t="inlineStr">
        <is>
          <t>JÖNKÖPINGS LÄN</t>
        </is>
      </c>
      <c r="E677" t="inlineStr">
        <is>
          <t>VETLANDA</t>
        </is>
      </c>
      <c r="F677" t="inlineStr">
        <is>
          <t>Kyrkan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44112-2021</t>
        </is>
      </c>
      <c r="B678" s="1" t="n">
        <v>44434</v>
      </c>
      <c r="C678" s="1" t="n">
        <v>45587</v>
      </c>
      <c r="D678" t="inlineStr">
        <is>
          <t>JÖNKÖPINGS LÄN</t>
        </is>
      </c>
      <c r="E678" t="inlineStr">
        <is>
          <t>VETLANDA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44217-2021</t>
        </is>
      </c>
      <c r="B679" s="1" t="n">
        <v>44434</v>
      </c>
      <c r="C679" s="1" t="n">
        <v>45587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44428-2021</t>
        </is>
      </c>
      <c r="B680" s="1" t="n">
        <v>44435</v>
      </c>
      <c r="C680" s="1" t="n">
        <v>45587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44433-2021</t>
        </is>
      </c>
      <c r="B681" s="1" t="n">
        <v>44435</v>
      </c>
      <c r="C681" s="1" t="n">
        <v>45587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44987-2021</t>
        </is>
      </c>
      <c r="B682" s="1" t="n">
        <v>44438</v>
      </c>
      <c r="C682" s="1" t="n">
        <v>45587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45163-2021</t>
        </is>
      </c>
      <c r="B683" s="1" t="n">
        <v>44439</v>
      </c>
      <c r="C683" s="1" t="n">
        <v>45587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45229-2021</t>
        </is>
      </c>
      <c r="B684" s="1" t="n">
        <v>44439</v>
      </c>
      <c r="C684" s="1" t="n">
        <v>45587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45254-2021</t>
        </is>
      </c>
      <c r="B685" s="1" t="n">
        <v>44439</v>
      </c>
      <c r="C685" s="1" t="n">
        <v>45587</v>
      </c>
      <c r="D685" t="inlineStr">
        <is>
          <t>JÖNKÖPINGS LÄN</t>
        </is>
      </c>
      <c r="E685" t="inlineStr">
        <is>
          <t>VETLANDA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45261-2021</t>
        </is>
      </c>
      <c r="B686" s="1" t="n">
        <v>44439</v>
      </c>
      <c r="C686" s="1" t="n">
        <v>45587</v>
      </c>
      <c r="D686" t="inlineStr">
        <is>
          <t>JÖNKÖPINGS LÄN</t>
        </is>
      </c>
      <c r="E686" t="inlineStr">
        <is>
          <t>VETLANDA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45498-2021</t>
        </is>
      </c>
      <c r="B687" s="1" t="n">
        <v>44440</v>
      </c>
      <c r="C687" s="1" t="n">
        <v>45587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45942-2021</t>
        </is>
      </c>
      <c r="B688" s="1" t="n">
        <v>44441</v>
      </c>
      <c r="C688" s="1" t="n">
        <v>45587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46275-2021</t>
        </is>
      </c>
      <c r="B689" s="1" t="n">
        <v>44442</v>
      </c>
      <c r="C689" s="1" t="n">
        <v>45587</v>
      </c>
      <c r="D689" t="inlineStr">
        <is>
          <t>JÖNKÖPINGS LÄN</t>
        </is>
      </c>
      <c r="E689" t="inlineStr">
        <is>
          <t>VETLANDA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46898-2021</t>
        </is>
      </c>
      <c r="B690" s="1" t="n">
        <v>44446</v>
      </c>
      <c r="C690" s="1" t="n">
        <v>45587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47312-2021</t>
        </is>
      </c>
      <c r="B691" s="1" t="n">
        <v>44447</v>
      </c>
      <c r="C691" s="1" t="n">
        <v>45587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47846-2021</t>
        </is>
      </c>
      <c r="B692" s="1" t="n">
        <v>44448</v>
      </c>
      <c r="C692" s="1" t="n">
        <v>45587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48912-2021</t>
        </is>
      </c>
      <c r="B693" s="1" t="n">
        <v>44453</v>
      </c>
      <c r="C693" s="1" t="n">
        <v>45587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48998-2021</t>
        </is>
      </c>
      <c r="B694" s="1" t="n">
        <v>44453</v>
      </c>
      <c r="C694" s="1" t="n">
        <v>45587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48907-2021</t>
        </is>
      </c>
      <c r="B695" s="1" t="n">
        <v>44453</v>
      </c>
      <c r="C695" s="1" t="n">
        <v>45587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49014-2021</t>
        </is>
      </c>
      <c r="B696" s="1" t="n">
        <v>44453</v>
      </c>
      <c r="C696" s="1" t="n">
        <v>45587</v>
      </c>
      <c r="D696" t="inlineStr">
        <is>
          <t>JÖNKÖPINGS LÄN</t>
        </is>
      </c>
      <c r="E696" t="inlineStr">
        <is>
          <t>VETLANDA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49228-2021</t>
        </is>
      </c>
      <c r="B697" s="1" t="n">
        <v>44454</v>
      </c>
      <c r="C697" s="1" t="n">
        <v>45587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49318-2021</t>
        </is>
      </c>
      <c r="B698" s="1" t="n">
        <v>44454</v>
      </c>
      <c r="C698" s="1" t="n">
        <v>45587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49942-2021</t>
        </is>
      </c>
      <c r="B699" s="1" t="n">
        <v>44456</v>
      </c>
      <c r="C699" s="1" t="n">
        <v>45587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49883-2021</t>
        </is>
      </c>
      <c r="B700" s="1" t="n">
        <v>44455</v>
      </c>
      <c r="C700" s="1" t="n">
        <v>45587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14.1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50285-2021</t>
        </is>
      </c>
      <c r="B701" s="1" t="n">
        <v>44459</v>
      </c>
      <c r="C701" s="1" t="n">
        <v>45587</v>
      </c>
      <c r="D701" t="inlineStr">
        <is>
          <t>JÖNKÖPINGS LÄN</t>
        </is>
      </c>
      <c r="E701" t="inlineStr">
        <is>
          <t>VETLANDA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50676-2021</t>
        </is>
      </c>
      <c r="B702" s="1" t="n">
        <v>44459</v>
      </c>
      <c r="C702" s="1" t="n">
        <v>45587</v>
      </c>
      <c r="D702" t="inlineStr">
        <is>
          <t>JÖNKÖPINGS LÄN</t>
        </is>
      </c>
      <c r="E702" t="inlineStr">
        <is>
          <t>VETLANDA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50695-2021</t>
        </is>
      </c>
      <c r="B703" s="1" t="n">
        <v>44459</v>
      </c>
      <c r="C703" s="1" t="n">
        <v>45587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50690-2021</t>
        </is>
      </c>
      <c r="B704" s="1" t="n">
        <v>44459</v>
      </c>
      <c r="C704" s="1" t="n">
        <v>45587</v>
      </c>
      <c r="D704" t="inlineStr">
        <is>
          <t>JÖNKÖPINGS LÄN</t>
        </is>
      </c>
      <c r="E704" t="inlineStr">
        <is>
          <t>VETLANDA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50740-2021</t>
        </is>
      </c>
      <c r="B705" s="1" t="n">
        <v>44460</v>
      </c>
      <c r="C705" s="1" t="n">
        <v>45587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50801-2021</t>
        </is>
      </c>
      <c r="B706" s="1" t="n">
        <v>44460</v>
      </c>
      <c r="C706" s="1" t="n">
        <v>45587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51309-2021</t>
        </is>
      </c>
      <c r="B707" s="1" t="n">
        <v>44460</v>
      </c>
      <c r="C707" s="1" t="n">
        <v>45587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51304-2021</t>
        </is>
      </c>
      <c r="B708" s="1" t="n">
        <v>44460</v>
      </c>
      <c r="C708" s="1" t="n">
        <v>45587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51298-2021</t>
        </is>
      </c>
      <c r="B709" s="1" t="n">
        <v>44460</v>
      </c>
      <c r="C709" s="1" t="n">
        <v>45587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51085-2021</t>
        </is>
      </c>
      <c r="B710" s="1" t="n">
        <v>44461</v>
      </c>
      <c r="C710" s="1" t="n">
        <v>45587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51245-2021</t>
        </is>
      </c>
      <c r="B711" s="1" t="n">
        <v>44461</v>
      </c>
      <c r="C711" s="1" t="n">
        <v>45587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51340-2021</t>
        </is>
      </c>
      <c r="B712" s="1" t="n">
        <v>44461</v>
      </c>
      <c r="C712" s="1" t="n">
        <v>45587</v>
      </c>
      <c r="D712" t="inlineStr">
        <is>
          <t>JÖNKÖPINGS LÄN</t>
        </is>
      </c>
      <c r="E712" t="inlineStr">
        <is>
          <t>VETLANDA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51053-2021</t>
        </is>
      </c>
      <c r="B713" s="1" t="n">
        <v>44461</v>
      </c>
      <c r="C713" s="1" t="n">
        <v>45587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51590-2021</t>
        </is>
      </c>
      <c r="B714" s="1" t="n">
        <v>44462</v>
      </c>
      <c r="C714" s="1" t="n">
        <v>45587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51851-2021</t>
        </is>
      </c>
      <c r="B715" s="1" t="n">
        <v>44462</v>
      </c>
      <c r="C715" s="1" t="n">
        <v>45587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52047-2021</t>
        </is>
      </c>
      <c r="B716" s="1" t="n">
        <v>44462</v>
      </c>
      <c r="C716" s="1" t="n">
        <v>45587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52161-2021</t>
        </is>
      </c>
      <c r="B717" s="1" t="n">
        <v>44462</v>
      </c>
      <c r="C717" s="1" t="n">
        <v>45587</v>
      </c>
      <c r="D717" t="inlineStr">
        <is>
          <t>JÖNKÖPINGS LÄN</t>
        </is>
      </c>
      <c r="E717" t="inlineStr">
        <is>
          <t>VETLANDA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52056-2021</t>
        </is>
      </c>
      <c r="B718" s="1" t="n">
        <v>44462</v>
      </c>
      <c r="C718" s="1" t="n">
        <v>45587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52260-2021</t>
        </is>
      </c>
      <c r="B719" s="1" t="n">
        <v>44463</v>
      </c>
      <c r="C719" s="1" t="n">
        <v>45587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52278-2021</t>
        </is>
      </c>
      <c r="B720" s="1" t="n">
        <v>44463</v>
      </c>
      <c r="C720" s="1" t="n">
        <v>45587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52927-2021</t>
        </is>
      </c>
      <c r="B721" s="1" t="n">
        <v>44467</v>
      </c>
      <c r="C721" s="1" t="n">
        <v>45587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52904-2021</t>
        </is>
      </c>
      <c r="B722" s="1" t="n">
        <v>44467</v>
      </c>
      <c r="C722" s="1" t="n">
        <v>45587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53207-2021</t>
        </is>
      </c>
      <c r="B723" s="1" t="n">
        <v>44468</v>
      </c>
      <c r="C723" s="1" t="n">
        <v>45587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53537-2021</t>
        </is>
      </c>
      <c r="B724" s="1" t="n">
        <v>44468</v>
      </c>
      <c r="C724" s="1" t="n">
        <v>45587</v>
      </c>
      <c r="D724" t="inlineStr">
        <is>
          <t>JÖNKÖPINGS LÄN</t>
        </is>
      </c>
      <c r="E724" t="inlineStr">
        <is>
          <t>VETLANDA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54260-2021</t>
        </is>
      </c>
      <c r="B725" s="1" t="n">
        <v>44469</v>
      </c>
      <c r="C725" s="1" t="n">
        <v>45587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54002-2021</t>
        </is>
      </c>
      <c r="B726" s="1" t="n">
        <v>44470</v>
      </c>
      <c r="C726" s="1" t="n">
        <v>45587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54004-2021</t>
        </is>
      </c>
      <c r="B727" s="1" t="n">
        <v>44470</v>
      </c>
      <c r="C727" s="1" t="n">
        <v>45587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54508-2021</t>
        </is>
      </c>
      <c r="B728" s="1" t="n">
        <v>44473</v>
      </c>
      <c r="C728" s="1" t="n">
        <v>45587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55031-2021</t>
        </is>
      </c>
      <c r="B729" s="1" t="n">
        <v>44474</v>
      </c>
      <c r="C729" s="1" t="n">
        <v>45587</v>
      </c>
      <c r="D729" t="inlineStr">
        <is>
          <t>JÖNKÖPINGS LÄN</t>
        </is>
      </c>
      <c r="E729" t="inlineStr">
        <is>
          <t>VETLANDA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55957-2021</t>
        </is>
      </c>
      <c r="B730" s="1" t="n">
        <v>44477</v>
      </c>
      <c r="C730" s="1" t="n">
        <v>45587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55950-2021</t>
        </is>
      </c>
      <c r="B731" s="1" t="n">
        <v>44477</v>
      </c>
      <c r="C731" s="1" t="n">
        <v>45587</v>
      </c>
      <c r="D731" t="inlineStr">
        <is>
          <t>JÖNKÖPINGS LÄN</t>
        </is>
      </c>
      <c r="E731" t="inlineStr">
        <is>
          <t>VETLANDA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55944-2021</t>
        </is>
      </c>
      <c r="B732" s="1" t="n">
        <v>44477</v>
      </c>
      <c r="C732" s="1" t="n">
        <v>45587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55993-2021</t>
        </is>
      </c>
      <c r="B733" s="1" t="n">
        <v>44477</v>
      </c>
      <c r="C733" s="1" t="n">
        <v>45587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56534-2021</t>
        </is>
      </c>
      <c r="B734" s="1" t="n">
        <v>44480</v>
      </c>
      <c r="C734" s="1" t="n">
        <v>45587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56547-2021</t>
        </is>
      </c>
      <c r="B735" s="1" t="n">
        <v>44480</v>
      </c>
      <c r="C735" s="1" t="n">
        <v>45587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56698-2021</t>
        </is>
      </c>
      <c r="B736" s="1" t="n">
        <v>44481</v>
      </c>
      <c r="C736" s="1" t="n">
        <v>45587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57071-2021</t>
        </is>
      </c>
      <c r="B737" s="1" t="n">
        <v>44481</v>
      </c>
      <c r="C737" s="1" t="n">
        <v>45587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56994-2021</t>
        </is>
      </c>
      <c r="B738" s="1" t="n">
        <v>44482</v>
      </c>
      <c r="C738" s="1" t="n">
        <v>45587</v>
      </c>
      <c r="D738" t="inlineStr">
        <is>
          <t>JÖNKÖPINGS LÄN</t>
        </is>
      </c>
      <c r="E738" t="inlineStr">
        <is>
          <t>VETLANDA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56952-2021</t>
        </is>
      </c>
      <c r="B739" s="1" t="n">
        <v>44482</v>
      </c>
      <c r="C739" s="1" t="n">
        <v>45587</v>
      </c>
      <c r="D739" t="inlineStr">
        <is>
          <t>JÖNKÖPINGS LÄN</t>
        </is>
      </c>
      <c r="E739" t="inlineStr">
        <is>
          <t>VETLANDA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57584-2021</t>
        </is>
      </c>
      <c r="B740" s="1" t="n">
        <v>44484</v>
      </c>
      <c r="C740" s="1" t="n">
        <v>45587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57582-2021</t>
        </is>
      </c>
      <c r="B741" s="1" t="n">
        <v>44484</v>
      </c>
      <c r="C741" s="1" t="n">
        <v>45587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58102-2021</t>
        </is>
      </c>
      <c r="B742" s="1" t="n">
        <v>44487</v>
      </c>
      <c r="C742" s="1" t="n">
        <v>45587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58345-2021</t>
        </is>
      </c>
      <c r="B743" s="1" t="n">
        <v>44488</v>
      </c>
      <c r="C743" s="1" t="n">
        <v>45587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58498-2021</t>
        </is>
      </c>
      <c r="B744" s="1" t="n">
        <v>44488</v>
      </c>
      <c r="C744" s="1" t="n">
        <v>45587</v>
      </c>
      <c r="D744" t="inlineStr">
        <is>
          <t>JÖNKÖPINGS LÄN</t>
        </is>
      </c>
      <c r="E744" t="inlineStr">
        <is>
          <t>VETLANDA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58511-2021</t>
        </is>
      </c>
      <c r="B745" s="1" t="n">
        <v>44488</v>
      </c>
      <c r="C745" s="1" t="n">
        <v>45587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59259-2021</t>
        </is>
      </c>
      <c r="B746" s="1" t="n">
        <v>44490</v>
      </c>
      <c r="C746" s="1" t="n">
        <v>45587</v>
      </c>
      <c r="D746" t="inlineStr">
        <is>
          <t>JÖNKÖPINGS LÄN</t>
        </is>
      </c>
      <c r="E746" t="inlineStr">
        <is>
          <t>VETLANDA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59923-2021</t>
        </is>
      </c>
      <c r="B747" s="1" t="n">
        <v>44494</v>
      </c>
      <c r="C747" s="1" t="n">
        <v>45587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60820-2021</t>
        </is>
      </c>
      <c r="B748" s="1" t="n">
        <v>44495</v>
      </c>
      <c r="C748" s="1" t="n">
        <v>45587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60359-2021</t>
        </is>
      </c>
      <c r="B749" s="1" t="n">
        <v>44496</v>
      </c>
      <c r="C749" s="1" t="n">
        <v>45587</v>
      </c>
      <c r="D749" t="inlineStr">
        <is>
          <t>JÖNKÖPINGS LÄN</t>
        </is>
      </c>
      <c r="E749" t="inlineStr">
        <is>
          <t>VETLANDA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60373-2021</t>
        </is>
      </c>
      <c r="B750" s="1" t="n">
        <v>44496</v>
      </c>
      <c r="C750" s="1" t="n">
        <v>45587</v>
      </c>
      <c r="D750" t="inlineStr">
        <is>
          <t>JÖNKÖPINGS LÄN</t>
        </is>
      </c>
      <c r="E750" t="inlineStr">
        <is>
          <t>VETLANDA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60986-2021</t>
        </is>
      </c>
      <c r="B751" s="1" t="n">
        <v>44497</v>
      </c>
      <c r="C751" s="1" t="n">
        <v>45587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61111-2021</t>
        </is>
      </c>
      <c r="B752" s="1" t="n">
        <v>44498</v>
      </c>
      <c r="C752" s="1" t="n">
        <v>45587</v>
      </c>
      <c r="D752" t="inlineStr">
        <is>
          <t>JÖNKÖPINGS LÄN</t>
        </is>
      </c>
      <c r="E752" t="inlineStr">
        <is>
          <t>VETLANDA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61221-2021</t>
        </is>
      </c>
      <c r="B753" s="1" t="n">
        <v>44498</v>
      </c>
      <c r="C753" s="1" t="n">
        <v>45587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61894-2021</t>
        </is>
      </c>
      <c r="B754" s="1" t="n">
        <v>44502</v>
      </c>
      <c r="C754" s="1" t="n">
        <v>45587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62103-2021</t>
        </is>
      </c>
      <c r="B755" s="1" t="n">
        <v>44502</v>
      </c>
      <c r="C755" s="1" t="n">
        <v>45587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62721-2021</t>
        </is>
      </c>
      <c r="B756" s="1" t="n">
        <v>44503</v>
      </c>
      <c r="C756" s="1" t="n">
        <v>45587</v>
      </c>
      <c r="D756" t="inlineStr">
        <is>
          <t>JÖNKÖPINGS LÄN</t>
        </is>
      </c>
      <c r="E756" t="inlineStr">
        <is>
          <t>VETLANDA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62740-2021</t>
        </is>
      </c>
      <c r="B757" s="1" t="n">
        <v>44503</v>
      </c>
      <c r="C757" s="1" t="n">
        <v>45587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62682-2021</t>
        </is>
      </c>
      <c r="B758" s="1" t="n">
        <v>44504</v>
      </c>
      <c r="C758" s="1" t="n">
        <v>45587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62681-2021</t>
        </is>
      </c>
      <c r="B759" s="1" t="n">
        <v>44504</v>
      </c>
      <c r="C759" s="1" t="n">
        <v>45587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62724-2021</t>
        </is>
      </c>
      <c r="B760" s="1" t="n">
        <v>44504</v>
      </c>
      <c r="C760" s="1" t="n">
        <v>45587</v>
      </c>
      <c r="D760" t="inlineStr">
        <is>
          <t>JÖNKÖPINGS LÄN</t>
        </is>
      </c>
      <c r="E760" t="inlineStr">
        <is>
          <t>VETLANDA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62862-2021</t>
        </is>
      </c>
      <c r="B761" s="1" t="n">
        <v>44504</v>
      </c>
      <c r="C761" s="1" t="n">
        <v>45587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63459-2021</t>
        </is>
      </c>
      <c r="B762" s="1" t="n">
        <v>44508</v>
      </c>
      <c r="C762" s="1" t="n">
        <v>45587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63879-2021</t>
        </is>
      </c>
      <c r="B763" s="1" t="n">
        <v>44509</v>
      </c>
      <c r="C763" s="1" t="n">
        <v>45587</v>
      </c>
      <c r="D763" t="inlineStr">
        <is>
          <t>JÖNKÖPINGS LÄN</t>
        </is>
      </c>
      <c r="E763" t="inlineStr">
        <is>
          <t>VETLANDA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64190-2021</t>
        </is>
      </c>
      <c r="B764" s="1" t="n">
        <v>44510</v>
      </c>
      <c r="C764" s="1" t="n">
        <v>45587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64192-2021</t>
        </is>
      </c>
      <c r="B765" s="1" t="n">
        <v>44510</v>
      </c>
      <c r="C765" s="1" t="n">
        <v>45587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64138-2021</t>
        </is>
      </c>
      <c r="B766" s="1" t="n">
        <v>44510</v>
      </c>
      <c r="C766" s="1" t="n">
        <v>45587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64198-2021</t>
        </is>
      </c>
      <c r="B767" s="1" t="n">
        <v>44510</v>
      </c>
      <c r="C767" s="1" t="n">
        <v>45587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64242-2021</t>
        </is>
      </c>
      <c r="B768" s="1" t="n">
        <v>44510</v>
      </c>
      <c r="C768" s="1" t="n">
        <v>45587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64238-2021</t>
        </is>
      </c>
      <c r="B769" s="1" t="n">
        <v>44510</v>
      </c>
      <c r="C769" s="1" t="n">
        <v>45587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64240-2021</t>
        </is>
      </c>
      <c r="B770" s="1" t="n">
        <v>44510</v>
      </c>
      <c r="C770" s="1" t="n">
        <v>45587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64274-2021</t>
        </is>
      </c>
      <c r="B771" s="1" t="n">
        <v>44510</v>
      </c>
      <c r="C771" s="1" t="n">
        <v>45587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64383-2021</t>
        </is>
      </c>
      <c r="B772" s="1" t="n">
        <v>44511</v>
      </c>
      <c r="C772" s="1" t="n">
        <v>45587</v>
      </c>
      <c r="D772" t="inlineStr">
        <is>
          <t>JÖNKÖPINGS LÄN</t>
        </is>
      </c>
      <c r="E772" t="inlineStr">
        <is>
          <t>VETLANDA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65306-2021</t>
        </is>
      </c>
      <c r="B773" s="1" t="n">
        <v>44515</v>
      </c>
      <c r="C773" s="1" t="n">
        <v>45587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65244-2021</t>
        </is>
      </c>
      <c r="B774" s="1" t="n">
        <v>44515</v>
      </c>
      <c r="C774" s="1" t="n">
        <v>45587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65267-2021</t>
        </is>
      </c>
      <c r="B775" s="1" t="n">
        <v>44515</v>
      </c>
      <c r="C775" s="1" t="n">
        <v>45587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65277-2021</t>
        </is>
      </c>
      <c r="B776" s="1" t="n">
        <v>44515</v>
      </c>
      <c r="C776" s="1" t="n">
        <v>45587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65365-2021</t>
        </is>
      </c>
      <c r="B777" s="1" t="n">
        <v>44515</v>
      </c>
      <c r="C777" s="1" t="n">
        <v>45587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65868-2021</t>
        </is>
      </c>
      <c r="B778" s="1" t="n">
        <v>44517</v>
      </c>
      <c r="C778" s="1" t="n">
        <v>45587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65874-2021</t>
        </is>
      </c>
      <c r="B779" s="1" t="n">
        <v>44517</v>
      </c>
      <c r="C779" s="1" t="n">
        <v>45587</v>
      </c>
      <c r="D779" t="inlineStr">
        <is>
          <t>JÖNKÖPINGS LÄN</t>
        </is>
      </c>
      <c r="E779" t="inlineStr">
        <is>
          <t>VETLANDA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65957-2021</t>
        </is>
      </c>
      <c r="B780" s="1" t="n">
        <v>44517</v>
      </c>
      <c r="C780" s="1" t="n">
        <v>45587</v>
      </c>
      <c r="D780" t="inlineStr">
        <is>
          <t>JÖNKÖPINGS LÄN</t>
        </is>
      </c>
      <c r="E780" t="inlineStr">
        <is>
          <t>VETLANDA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66076-2021</t>
        </is>
      </c>
      <c r="B781" s="1" t="n">
        <v>44517</v>
      </c>
      <c r="C781" s="1" t="n">
        <v>45587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66542-2021</t>
        </is>
      </c>
      <c r="B782" s="1" t="n">
        <v>44519</v>
      </c>
      <c r="C782" s="1" t="n">
        <v>45587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67274-2021</t>
        </is>
      </c>
      <c r="B783" s="1" t="n">
        <v>44523</v>
      </c>
      <c r="C783" s="1" t="n">
        <v>45587</v>
      </c>
      <c r="D783" t="inlineStr">
        <is>
          <t>JÖNKÖPINGS LÄN</t>
        </is>
      </c>
      <c r="E783" t="inlineStr">
        <is>
          <t>VETLANDA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67898-2021</t>
        </is>
      </c>
      <c r="B784" s="1" t="n">
        <v>44525</v>
      </c>
      <c r="C784" s="1" t="n">
        <v>45587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68393-2021</t>
        </is>
      </c>
      <c r="B785" s="1" t="n">
        <v>44529</v>
      </c>
      <c r="C785" s="1" t="n">
        <v>45587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69203-2021</t>
        </is>
      </c>
      <c r="B786" s="1" t="n">
        <v>44530</v>
      </c>
      <c r="C786" s="1" t="n">
        <v>45587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69471-2021</t>
        </is>
      </c>
      <c r="B787" s="1" t="n">
        <v>44531</v>
      </c>
      <c r="C787" s="1" t="n">
        <v>45587</v>
      </c>
      <c r="D787" t="inlineStr">
        <is>
          <t>JÖNKÖPINGS LÄN</t>
        </is>
      </c>
      <c r="E787" t="inlineStr">
        <is>
          <t>VETLANDA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69263-2021</t>
        </is>
      </c>
      <c r="B788" s="1" t="n">
        <v>44531</v>
      </c>
      <c r="C788" s="1" t="n">
        <v>45587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70837-2021</t>
        </is>
      </c>
      <c r="B789" s="1" t="n">
        <v>44538</v>
      </c>
      <c r="C789" s="1" t="n">
        <v>45587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70836-2021</t>
        </is>
      </c>
      <c r="B790" s="1" t="n">
        <v>44538</v>
      </c>
      <c r="C790" s="1" t="n">
        <v>45587</v>
      </c>
      <c r="D790" t="inlineStr">
        <is>
          <t>JÖNKÖPINGS LÄN</t>
        </is>
      </c>
      <c r="E790" t="inlineStr">
        <is>
          <t>VETLANDA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71667-2021</t>
        </is>
      </c>
      <c r="B791" s="1" t="n">
        <v>44543</v>
      </c>
      <c r="C791" s="1" t="n">
        <v>45587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72138-2021</t>
        </is>
      </c>
      <c r="B792" s="1" t="n">
        <v>44544</v>
      </c>
      <c r="C792" s="1" t="n">
        <v>45587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72411-2021</t>
        </is>
      </c>
      <c r="B793" s="1" t="n">
        <v>44545</v>
      </c>
      <c r="C793" s="1" t="n">
        <v>45587</v>
      </c>
      <c r="D793" t="inlineStr">
        <is>
          <t>JÖNKÖPINGS LÄN</t>
        </is>
      </c>
      <c r="E793" t="inlineStr">
        <is>
          <t>VETLANDA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72408-2021</t>
        </is>
      </c>
      <c r="B794" s="1" t="n">
        <v>44545</v>
      </c>
      <c r="C794" s="1" t="n">
        <v>45587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72980-2021</t>
        </is>
      </c>
      <c r="B795" s="1" t="n">
        <v>44549</v>
      </c>
      <c r="C795" s="1" t="n">
        <v>45587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73091-2021</t>
        </is>
      </c>
      <c r="B796" s="1" t="n">
        <v>44550</v>
      </c>
      <c r="C796" s="1" t="n">
        <v>45587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73446-2021</t>
        </is>
      </c>
      <c r="B797" s="1" t="n">
        <v>44550</v>
      </c>
      <c r="C797" s="1" t="n">
        <v>45587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89-2022</t>
        </is>
      </c>
      <c r="B798" s="1" t="n">
        <v>44564</v>
      </c>
      <c r="C798" s="1" t="n">
        <v>45587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98-2022</t>
        </is>
      </c>
      <c r="B799" s="1" t="n">
        <v>44564</v>
      </c>
      <c r="C799" s="1" t="n">
        <v>45587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117-2022</t>
        </is>
      </c>
      <c r="B800" s="1" t="n">
        <v>44564</v>
      </c>
      <c r="C800" s="1" t="n">
        <v>45587</v>
      </c>
      <c r="D800" t="inlineStr">
        <is>
          <t>JÖNKÖPINGS LÄN</t>
        </is>
      </c>
      <c r="E800" t="inlineStr">
        <is>
          <t>VETLANDA</t>
        </is>
      </c>
      <c r="F800" t="inlineStr">
        <is>
          <t>Övriga Aktiebolag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95-2022</t>
        </is>
      </c>
      <c r="B801" s="1" t="n">
        <v>44564</v>
      </c>
      <c r="C801" s="1" t="n">
        <v>45587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1260-2022</t>
        </is>
      </c>
      <c r="B802" s="1" t="n">
        <v>44572</v>
      </c>
      <c r="C802" s="1" t="n">
        <v>45587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1267-2022</t>
        </is>
      </c>
      <c r="B803" s="1" t="n">
        <v>44572</v>
      </c>
      <c r="C803" s="1" t="n">
        <v>45587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1478-2022</t>
        </is>
      </c>
      <c r="B804" s="1" t="n">
        <v>44573</v>
      </c>
      <c r="C804" s="1" t="n">
        <v>45587</v>
      </c>
      <c r="D804" t="inlineStr">
        <is>
          <t>JÖNKÖPINGS LÄN</t>
        </is>
      </c>
      <c r="E804" t="inlineStr">
        <is>
          <t>VETLANDA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2401-2022</t>
        </is>
      </c>
      <c r="B805" s="1" t="n">
        <v>44579</v>
      </c>
      <c r="C805" s="1" t="n">
        <v>45587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2646-2022</t>
        </is>
      </c>
      <c r="B806" s="1" t="n">
        <v>44580</v>
      </c>
      <c r="C806" s="1" t="n">
        <v>45587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2672-2022</t>
        </is>
      </c>
      <c r="B807" s="1" t="n">
        <v>44580</v>
      </c>
      <c r="C807" s="1" t="n">
        <v>45587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2673-2022</t>
        </is>
      </c>
      <c r="B808" s="1" t="n">
        <v>44580</v>
      </c>
      <c r="C808" s="1" t="n">
        <v>45587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3183-2022</t>
        </is>
      </c>
      <c r="B809" s="1" t="n">
        <v>44582</v>
      </c>
      <c r="C809" s="1" t="n">
        <v>45587</v>
      </c>
      <c r="D809" t="inlineStr">
        <is>
          <t>JÖNKÖPINGS LÄN</t>
        </is>
      </c>
      <c r="E809" t="inlineStr">
        <is>
          <t>VETLANDA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3504-2022</t>
        </is>
      </c>
      <c r="B810" s="1" t="n">
        <v>44585</v>
      </c>
      <c r="C810" s="1" t="n">
        <v>45587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3506-2022</t>
        </is>
      </c>
      <c r="B811" s="1" t="n">
        <v>44585</v>
      </c>
      <c r="C811" s="1" t="n">
        <v>45587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3466-2022</t>
        </is>
      </c>
      <c r="B812" s="1" t="n">
        <v>44585</v>
      </c>
      <c r="C812" s="1" t="n">
        <v>45587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3507-2022</t>
        </is>
      </c>
      <c r="B813" s="1" t="n">
        <v>44585</v>
      </c>
      <c r="C813" s="1" t="n">
        <v>45587</v>
      </c>
      <c r="D813" t="inlineStr">
        <is>
          <t>JÖNKÖPINGS LÄN</t>
        </is>
      </c>
      <c r="E813" t="inlineStr">
        <is>
          <t>VETLANDA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3839-2022</t>
        </is>
      </c>
      <c r="B814" s="1" t="n">
        <v>44587</v>
      </c>
      <c r="C814" s="1" t="n">
        <v>45587</v>
      </c>
      <c r="D814" t="inlineStr">
        <is>
          <t>JÖNKÖPINGS LÄN</t>
        </is>
      </c>
      <c r="E814" t="inlineStr">
        <is>
          <t>VETLANDA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3819-2022</t>
        </is>
      </c>
      <c r="B815" s="1" t="n">
        <v>44587</v>
      </c>
      <c r="C815" s="1" t="n">
        <v>45587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3836-2022</t>
        </is>
      </c>
      <c r="B816" s="1" t="n">
        <v>44587</v>
      </c>
      <c r="C816" s="1" t="n">
        <v>45587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3824-2022</t>
        </is>
      </c>
      <c r="B817" s="1" t="n">
        <v>44587</v>
      </c>
      <c r="C817" s="1" t="n">
        <v>45587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3833-2022</t>
        </is>
      </c>
      <c r="B818" s="1" t="n">
        <v>44587</v>
      </c>
      <c r="C818" s="1" t="n">
        <v>45587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3815-2022</t>
        </is>
      </c>
      <c r="B819" s="1" t="n">
        <v>44587</v>
      </c>
      <c r="C819" s="1" t="n">
        <v>45587</v>
      </c>
      <c r="D819" t="inlineStr">
        <is>
          <t>JÖNKÖPINGS LÄN</t>
        </is>
      </c>
      <c r="E819" t="inlineStr">
        <is>
          <t>VETLANDA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3828-2022</t>
        </is>
      </c>
      <c r="B820" s="1" t="n">
        <v>44587</v>
      </c>
      <c r="C820" s="1" t="n">
        <v>45587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3844-2022</t>
        </is>
      </c>
      <c r="B821" s="1" t="n">
        <v>44587</v>
      </c>
      <c r="C821" s="1" t="n">
        <v>45587</v>
      </c>
      <c r="D821" t="inlineStr">
        <is>
          <t>JÖNKÖPINGS LÄN</t>
        </is>
      </c>
      <c r="E821" t="inlineStr">
        <is>
          <t>VETLANDA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4370-2022</t>
        </is>
      </c>
      <c r="B822" s="1" t="n">
        <v>44587</v>
      </c>
      <c r="C822" s="1" t="n">
        <v>45587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4681-2022</t>
        </is>
      </c>
      <c r="B823" s="1" t="n">
        <v>44592</v>
      </c>
      <c r="C823" s="1" t="n">
        <v>45587</v>
      </c>
      <c r="D823" t="inlineStr">
        <is>
          <t>JÖNKÖPINGS LÄN</t>
        </is>
      </c>
      <c r="E823" t="inlineStr">
        <is>
          <t>VETLANDA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4706-2022</t>
        </is>
      </c>
      <c r="B824" s="1" t="n">
        <v>44592</v>
      </c>
      <c r="C824" s="1" t="n">
        <v>45587</v>
      </c>
      <c r="D824" t="inlineStr">
        <is>
          <t>JÖNKÖPINGS LÄN</t>
        </is>
      </c>
      <c r="E824" t="inlineStr">
        <is>
          <t>VETLANDA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4643-2022</t>
        </is>
      </c>
      <c r="B825" s="1" t="n">
        <v>44592</v>
      </c>
      <c r="C825" s="1" t="n">
        <v>45587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4641-2022</t>
        </is>
      </c>
      <c r="B826" s="1" t="n">
        <v>44592</v>
      </c>
      <c r="C826" s="1" t="n">
        <v>45587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4676-2022</t>
        </is>
      </c>
      <c r="B827" s="1" t="n">
        <v>44592</v>
      </c>
      <c r="C827" s="1" t="n">
        <v>45587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4644-2022</t>
        </is>
      </c>
      <c r="B828" s="1" t="n">
        <v>44592</v>
      </c>
      <c r="C828" s="1" t="n">
        <v>45587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4672-2022</t>
        </is>
      </c>
      <c r="B829" s="1" t="n">
        <v>44592</v>
      </c>
      <c r="C829" s="1" t="n">
        <v>45587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4679-2022</t>
        </is>
      </c>
      <c r="B830" s="1" t="n">
        <v>44592</v>
      </c>
      <c r="C830" s="1" t="n">
        <v>45587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4682-2022</t>
        </is>
      </c>
      <c r="B831" s="1" t="n">
        <v>44592</v>
      </c>
      <c r="C831" s="1" t="n">
        <v>45587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4689-2022</t>
        </is>
      </c>
      <c r="B832" s="1" t="n">
        <v>44592</v>
      </c>
      <c r="C832" s="1" t="n">
        <v>45587</v>
      </c>
      <c r="D832" t="inlineStr">
        <is>
          <t>JÖNKÖPINGS LÄN</t>
        </is>
      </c>
      <c r="E832" t="inlineStr">
        <is>
          <t>VETLANDA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4842-2022</t>
        </is>
      </c>
      <c r="B833" s="1" t="n">
        <v>44592</v>
      </c>
      <c r="C833" s="1" t="n">
        <v>45587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4820-2022</t>
        </is>
      </c>
      <c r="B834" s="1" t="n">
        <v>44592</v>
      </c>
      <c r="C834" s="1" t="n">
        <v>45587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4841-2022</t>
        </is>
      </c>
      <c r="B835" s="1" t="n">
        <v>44592</v>
      </c>
      <c r="C835" s="1" t="n">
        <v>45587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5103-2022</t>
        </is>
      </c>
      <c r="B836" s="1" t="n">
        <v>44593</v>
      </c>
      <c r="C836" s="1" t="n">
        <v>45587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5493-2022</t>
        </is>
      </c>
      <c r="B837" s="1" t="n">
        <v>44595</v>
      </c>
      <c r="C837" s="1" t="n">
        <v>45587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5491-2022</t>
        </is>
      </c>
      <c r="B838" s="1" t="n">
        <v>44595</v>
      </c>
      <c r="C838" s="1" t="n">
        <v>45587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5501-2022</t>
        </is>
      </c>
      <c r="B839" s="1" t="n">
        <v>44595</v>
      </c>
      <c r="C839" s="1" t="n">
        <v>45587</v>
      </c>
      <c r="D839" t="inlineStr">
        <is>
          <t>JÖNKÖPINGS LÄN</t>
        </is>
      </c>
      <c r="E839" t="inlineStr">
        <is>
          <t>VETLANDA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5724-2022</t>
        </is>
      </c>
      <c r="B840" s="1" t="n">
        <v>44596</v>
      </c>
      <c r="C840" s="1" t="n">
        <v>45587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6191-2022</t>
        </is>
      </c>
      <c r="B841" s="1" t="n">
        <v>44600</v>
      </c>
      <c r="C841" s="1" t="n">
        <v>45587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6240-2022</t>
        </is>
      </c>
      <c r="B842" s="1" t="n">
        <v>44600</v>
      </c>
      <c r="C842" s="1" t="n">
        <v>45587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6278-2022</t>
        </is>
      </c>
      <c r="B843" s="1" t="n">
        <v>44600</v>
      </c>
      <c r="C843" s="1" t="n">
        <v>45587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6197-2022</t>
        </is>
      </c>
      <c r="B844" s="1" t="n">
        <v>44600</v>
      </c>
      <c r="C844" s="1" t="n">
        <v>45587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6340-2022</t>
        </is>
      </c>
      <c r="B845" s="1" t="n">
        <v>44600</v>
      </c>
      <c r="C845" s="1" t="n">
        <v>45587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6547-2022</t>
        </is>
      </c>
      <c r="B846" s="1" t="n">
        <v>44601</v>
      </c>
      <c r="C846" s="1" t="n">
        <v>45587</v>
      </c>
      <c r="D846" t="inlineStr">
        <is>
          <t>JÖNKÖPINGS LÄN</t>
        </is>
      </c>
      <c r="E846" t="inlineStr">
        <is>
          <t>VETLANDA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6811-2022</t>
        </is>
      </c>
      <c r="B847" s="1" t="n">
        <v>44602</v>
      </c>
      <c r="C847" s="1" t="n">
        <v>45587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6830-2022</t>
        </is>
      </c>
      <c r="B848" s="1" t="n">
        <v>44602</v>
      </c>
      <c r="C848" s="1" t="n">
        <v>45587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6884-2022</t>
        </is>
      </c>
      <c r="B849" s="1" t="n">
        <v>44602</v>
      </c>
      <c r="C849" s="1" t="n">
        <v>45587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6880-2022</t>
        </is>
      </c>
      <c r="B850" s="1" t="n">
        <v>44602</v>
      </c>
      <c r="C850" s="1" t="n">
        <v>45587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7519-2022</t>
        </is>
      </c>
      <c r="B851" s="1" t="n">
        <v>44607</v>
      </c>
      <c r="C851" s="1" t="n">
        <v>45587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7509-2022</t>
        </is>
      </c>
      <c r="B852" s="1" t="n">
        <v>44607</v>
      </c>
      <c r="C852" s="1" t="n">
        <v>45587</v>
      </c>
      <c r="D852" t="inlineStr">
        <is>
          <t>JÖNKÖPINGS LÄN</t>
        </is>
      </c>
      <c r="E852" t="inlineStr">
        <is>
          <t>VETLANDA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7744-2022</t>
        </is>
      </c>
      <c r="B853" s="1" t="n">
        <v>44608</v>
      </c>
      <c r="C853" s="1" t="n">
        <v>45587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8103-2022</t>
        </is>
      </c>
      <c r="B854" s="1" t="n">
        <v>44609</v>
      </c>
      <c r="C854" s="1" t="n">
        <v>45587</v>
      </c>
      <c r="D854" t="inlineStr">
        <is>
          <t>JÖNKÖPINGS LÄN</t>
        </is>
      </c>
      <c r="E854" t="inlineStr">
        <is>
          <t>VETLANDA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8452-2022</t>
        </is>
      </c>
      <c r="B855" s="1" t="n">
        <v>44612</v>
      </c>
      <c r="C855" s="1" t="n">
        <v>45587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HYPERLINK("https://klasma.github.io/Logging_0685/knärot/A 8452-2022 karta knärot.png", "A 8452-2022")</f>
        <v/>
      </c>
      <c r="V855">
        <f>HYPERLINK("https://klasma.github.io/Logging_0685/klagomål/A 8452-2022 FSC-klagomål.docx", "A 8452-2022")</f>
        <v/>
      </c>
      <c r="W855">
        <f>HYPERLINK("https://klasma.github.io/Logging_0685/klagomålsmail/A 8452-2022 FSC-klagomål mail.docx", "A 8452-2022")</f>
        <v/>
      </c>
      <c r="X855">
        <f>HYPERLINK("https://klasma.github.io/Logging_0685/tillsyn/A 8452-2022 tillsynsbegäran.docx", "A 8452-2022")</f>
        <v/>
      </c>
      <c r="Y855">
        <f>HYPERLINK("https://klasma.github.io/Logging_0685/tillsynsmail/A 8452-2022 tillsynsbegäran mail.docx", "A 8452-2022")</f>
        <v/>
      </c>
    </row>
    <row r="856" ht="15" customHeight="1">
      <c r="A856" t="inlineStr">
        <is>
          <t>A 9178-2022</t>
        </is>
      </c>
      <c r="B856" s="1" t="n">
        <v>44615</v>
      </c>
      <c r="C856" s="1" t="n">
        <v>45587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9596-2022</t>
        </is>
      </c>
      <c r="B857" s="1" t="n">
        <v>44617</v>
      </c>
      <c r="C857" s="1" t="n">
        <v>45587</v>
      </c>
      <c r="D857" t="inlineStr">
        <is>
          <t>JÖNKÖPINGS LÄN</t>
        </is>
      </c>
      <c r="E857" t="inlineStr">
        <is>
          <t>VETLANDA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10638-2022</t>
        </is>
      </c>
      <c r="B858" s="1" t="n">
        <v>44624</v>
      </c>
      <c r="C858" s="1" t="n">
        <v>45587</v>
      </c>
      <c r="D858" t="inlineStr">
        <is>
          <t>JÖNKÖPINGS LÄN</t>
        </is>
      </c>
      <c r="E858" t="inlineStr">
        <is>
          <t>VETLANDA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10819-2022</t>
        </is>
      </c>
      <c r="B859" s="1" t="n">
        <v>44627</v>
      </c>
      <c r="C859" s="1" t="n">
        <v>45587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11008-2022</t>
        </is>
      </c>
      <c r="B860" s="1" t="n">
        <v>44628</v>
      </c>
      <c r="C860" s="1" t="n">
        <v>45587</v>
      </c>
      <c r="D860" t="inlineStr">
        <is>
          <t>JÖNKÖPINGS LÄN</t>
        </is>
      </c>
      <c r="E860" t="inlineStr">
        <is>
          <t>VETLANDA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11380-2022</t>
        </is>
      </c>
      <c r="B861" s="1" t="n">
        <v>44630</v>
      </c>
      <c r="C861" s="1" t="n">
        <v>45587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12032-2022</t>
        </is>
      </c>
      <c r="B862" s="1" t="n">
        <v>44636</v>
      </c>
      <c r="C862" s="1" t="n">
        <v>45587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12438-2022</t>
        </is>
      </c>
      <c r="B863" s="1" t="n">
        <v>44638</v>
      </c>
      <c r="C863" s="1" t="n">
        <v>45587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12665-2022</t>
        </is>
      </c>
      <c r="B864" s="1" t="n">
        <v>44641</v>
      </c>
      <c r="C864" s="1" t="n">
        <v>45587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13378-2022</t>
        </is>
      </c>
      <c r="B865" s="1" t="n">
        <v>44645</v>
      </c>
      <c r="C865" s="1" t="n">
        <v>45587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13942-2022</t>
        </is>
      </c>
      <c r="B866" s="1" t="n">
        <v>44650</v>
      </c>
      <c r="C866" s="1" t="n">
        <v>45587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14482-2022</t>
        </is>
      </c>
      <c r="B867" s="1" t="n">
        <v>44655</v>
      </c>
      <c r="C867" s="1" t="n">
        <v>45587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14511-2022</t>
        </is>
      </c>
      <c r="B868" s="1" t="n">
        <v>44655</v>
      </c>
      <c r="C868" s="1" t="n">
        <v>45587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14607-2022</t>
        </is>
      </c>
      <c r="B869" s="1" t="n">
        <v>44655</v>
      </c>
      <c r="C869" s="1" t="n">
        <v>45587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14674-2022</t>
        </is>
      </c>
      <c r="B870" s="1" t="n">
        <v>44655</v>
      </c>
      <c r="C870" s="1" t="n">
        <v>45587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14785-2022</t>
        </is>
      </c>
      <c r="B871" s="1" t="n">
        <v>44656</v>
      </c>
      <c r="C871" s="1" t="n">
        <v>45587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14990-2022</t>
        </is>
      </c>
      <c r="B872" s="1" t="n">
        <v>44657</v>
      </c>
      <c r="C872" s="1" t="n">
        <v>45587</v>
      </c>
      <c r="D872" t="inlineStr">
        <is>
          <t>JÖNKÖPINGS LÄN</t>
        </is>
      </c>
      <c r="E872" t="inlineStr">
        <is>
          <t>VETLANDA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17124-2022</t>
        </is>
      </c>
      <c r="B873" s="1" t="n">
        <v>44677</v>
      </c>
      <c r="C873" s="1" t="n">
        <v>45587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17675-2022</t>
        </is>
      </c>
      <c r="B874" s="1" t="n">
        <v>44680</v>
      </c>
      <c r="C874" s="1" t="n">
        <v>45587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17847-2022</t>
        </is>
      </c>
      <c r="B875" s="1" t="n">
        <v>44683</v>
      </c>
      <c r="C875" s="1" t="n">
        <v>45587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17855-2022</t>
        </is>
      </c>
      <c r="B876" s="1" t="n">
        <v>44683</v>
      </c>
      <c r="C876" s="1" t="n">
        <v>45587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17978-2022</t>
        </is>
      </c>
      <c r="B877" s="1" t="n">
        <v>44683</v>
      </c>
      <c r="C877" s="1" t="n">
        <v>45587</v>
      </c>
      <c r="D877" t="inlineStr">
        <is>
          <t>JÖNKÖPINGS LÄN</t>
        </is>
      </c>
      <c r="E877" t="inlineStr">
        <is>
          <t>VETLANDA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19024-2022</t>
        </is>
      </c>
      <c r="B878" s="1" t="n">
        <v>44691</v>
      </c>
      <c r="C878" s="1" t="n">
        <v>45587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19444-2022</t>
        </is>
      </c>
      <c r="B879" s="1" t="n">
        <v>44693</v>
      </c>
      <c r="C879" s="1" t="n">
        <v>45587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19576-2022</t>
        </is>
      </c>
      <c r="B880" s="1" t="n">
        <v>44693</v>
      </c>
      <c r="C880" s="1" t="n">
        <v>45587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20629-2022</t>
        </is>
      </c>
      <c r="B881" s="1" t="n">
        <v>44700</v>
      </c>
      <c r="C881" s="1" t="n">
        <v>45587</v>
      </c>
      <c r="D881" t="inlineStr">
        <is>
          <t>JÖNKÖPINGS LÄN</t>
        </is>
      </c>
      <c r="E881" t="inlineStr">
        <is>
          <t>VETLANDA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21824-2022</t>
        </is>
      </c>
      <c r="B882" s="1" t="n">
        <v>44710</v>
      </c>
      <c r="C882" s="1" t="n">
        <v>45587</v>
      </c>
      <c r="D882" t="inlineStr">
        <is>
          <t>JÖNKÖPINGS LÄN</t>
        </is>
      </c>
      <c r="E882" t="inlineStr">
        <is>
          <t>VETLANDA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22820-2022</t>
        </is>
      </c>
      <c r="B883" s="1" t="n">
        <v>44715</v>
      </c>
      <c r="C883" s="1" t="n">
        <v>45587</v>
      </c>
      <c r="D883" t="inlineStr">
        <is>
          <t>JÖNKÖPINGS LÄN</t>
        </is>
      </c>
      <c r="E883" t="inlineStr">
        <is>
          <t>VETLANDA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22829-2022</t>
        </is>
      </c>
      <c r="B884" s="1" t="n">
        <v>44715</v>
      </c>
      <c r="C884" s="1" t="n">
        <v>45587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23519-2022</t>
        </is>
      </c>
      <c r="B885" s="1" t="n">
        <v>44721</v>
      </c>
      <c r="C885" s="1" t="n">
        <v>45587</v>
      </c>
      <c r="D885" t="inlineStr">
        <is>
          <t>JÖNKÖPINGS LÄN</t>
        </is>
      </c>
      <c r="E885" t="inlineStr">
        <is>
          <t>VETLANDA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23477-2022</t>
        </is>
      </c>
      <c r="B886" s="1" t="n">
        <v>44721</v>
      </c>
      <c r="C886" s="1" t="n">
        <v>45587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23480-2022</t>
        </is>
      </c>
      <c r="B887" s="1" t="n">
        <v>44721</v>
      </c>
      <c r="C887" s="1" t="n">
        <v>45587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25771-2022</t>
        </is>
      </c>
      <c r="B888" s="1" t="n">
        <v>44721</v>
      </c>
      <c r="C888" s="1" t="n">
        <v>45587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24898-2022</t>
        </is>
      </c>
      <c r="B889" s="1" t="n">
        <v>44728</v>
      </c>
      <c r="C889" s="1" t="n">
        <v>45587</v>
      </c>
      <c r="D889" t="inlineStr">
        <is>
          <t>JÖNKÖPINGS LÄN</t>
        </is>
      </c>
      <c r="E889" t="inlineStr">
        <is>
          <t>VETLANDA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24905-2022</t>
        </is>
      </c>
      <c r="B890" s="1" t="n">
        <v>44728</v>
      </c>
      <c r="C890" s="1" t="n">
        <v>45587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25286-2022</t>
        </is>
      </c>
      <c r="B891" s="1" t="n">
        <v>44730</v>
      </c>
      <c r="C891" s="1" t="n">
        <v>45587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25431-2022</t>
        </is>
      </c>
      <c r="B892" s="1" t="n">
        <v>44732</v>
      </c>
      <c r="C892" s="1" t="n">
        <v>45587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25599-2022</t>
        </is>
      </c>
      <c r="B893" s="1" t="n">
        <v>44732</v>
      </c>
      <c r="C893" s="1" t="n">
        <v>45587</v>
      </c>
      <c r="D893" t="inlineStr">
        <is>
          <t>JÖNKÖPINGS LÄN</t>
        </is>
      </c>
      <c r="E893" t="inlineStr">
        <is>
          <t>VETLANDA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25786-2022</t>
        </is>
      </c>
      <c r="B894" s="1" t="n">
        <v>44733</v>
      </c>
      <c r="C894" s="1" t="n">
        <v>45587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26885-2022</t>
        </is>
      </c>
      <c r="B895" s="1" t="n">
        <v>44740</v>
      </c>
      <c r="C895" s="1" t="n">
        <v>45587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26925-2022</t>
        </is>
      </c>
      <c r="B896" s="1" t="n">
        <v>44740</v>
      </c>
      <c r="C896" s="1" t="n">
        <v>45587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26905-2022</t>
        </is>
      </c>
      <c r="B897" s="1" t="n">
        <v>44740</v>
      </c>
      <c r="C897" s="1" t="n">
        <v>45587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26932-2022</t>
        </is>
      </c>
      <c r="B898" s="1" t="n">
        <v>44740</v>
      </c>
      <c r="C898" s="1" t="n">
        <v>45587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26928-2022</t>
        </is>
      </c>
      <c r="B899" s="1" t="n">
        <v>44740</v>
      </c>
      <c r="C899" s="1" t="n">
        <v>45587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27119-2022</t>
        </is>
      </c>
      <c r="B900" s="1" t="n">
        <v>44741</v>
      </c>
      <c r="C900" s="1" t="n">
        <v>45587</v>
      </c>
      <c r="D900" t="inlineStr">
        <is>
          <t>JÖNKÖPINGS LÄN</t>
        </is>
      </c>
      <c r="E900" t="inlineStr">
        <is>
          <t>VETLANDA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27366-2022</t>
        </is>
      </c>
      <c r="B901" s="1" t="n">
        <v>44742</v>
      </c>
      <c r="C901" s="1" t="n">
        <v>45587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27793-2022</t>
        </is>
      </c>
      <c r="B902" s="1" t="n">
        <v>44743</v>
      </c>
      <c r="C902" s="1" t="n">
        <v>45587</v>
      </c>
      <c r="D902" t="inlineStr">
        <is>
          <t>JÖNKÖPINGS LÄN</t>
        </is>
      </c>
      <c r="E902" t="inlineStr">
        <is>
          <t>VETLANDA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27726-2022</t>
        </is>
      </c>
      <c r="B903" s="1" t="n">
        <v>44743</v>
      </c>
      <c r="C903" s="1" t="n">
        <v>45587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27792-2022</t>
        </is>
      </c>
      <c r="B904" s="1" t="n">
        <v>44743</v>
      </c>
      <c r="C904" s="1" t="n">
        <v>45587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30836-2022</t>
        </is>
      </c>
      <c r="B905" s="1" t="n">
        <v>44743</v>
      </c>
      <c r="C905" s="1" t="n">
        <v>45587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28193-2022</t>
        </is>
      </c>
      <c r="B906" s="1" t="n">
        <v>44746</v>
      </c>
      <c r="C906" s="1" t="n">
        <v>45587</v>
      </c>
      <c r="D906" t="inlineStr">
        <is>
          <t>JÖNKÖPINGS LÄN</t>
        </is>
      </c>
      <c r="E906" t="inlineStr">
        <is>
          <t>VETLANDA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28351-2022</t>
        </is>
      </c>
      <c r="B907" s="1" t="n">
        <v>44747</v>
      </c>
      <c r="C907" s="1" t="n">
        <v>45587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28361-2022</t>
        </is>
      </c>
      <c r="B908" s="1" t="n">
        <v>44747</v>
      </c>
      <c r="C908" s="1" t="n">
        <v>45587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28404-2022</t>
        </is>
      </c>
      <c r="B909" s="1" t="n">
        <v>44747</v>
      </c>
      <c r="C909" s="1" t="n">
        <v>45587</v>
      </c>
      <c r="D909" t="inlineStr">
        <is>
          <t>JÖNKÖPINGS LÄN</t>
        </is>
      </c>
      <c r="E909" t="inlineStr">
        <is>
          <t>VETLANDA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28602-2022</t>
        </is>
      </c>
      <c r="B910" s="1" t="n">
        <v>44748</v>
      </c>
      <c r="C910" s="1" t="n">
        <v>45587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28597-2022</t>
        </is>
      </c>
      <c r="B911" s="1" t="n">
        <v>44748</v>
      </c>
      <c r="C911" s="1" t="n">
        <v>45587</v>
      </c>
      <c r="D911" t="inlineStr">
        <is>
          <t>JÖNKÖPINGS LÄN</t>
        </is>
      </c>
      <c r="E911" t="inlineStr">
        <is>
          <t>VETLANDA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28655-2022</t>
        </is>
      </c>
      <c r="B912" s="1" t="n">
        <v>44748</v>
      </c>
      <c r="C912" s="1" t="n">
        <v>45587</v>
      </c>
      <c r="D912" t="inlineStr">
        <is>
          <t>JÖNKÖPINGS LÄN</t>
        </is>
      </c>
      <c r="E912" t="inlineStr">
        <is>
          <t>VETLANDA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29178-2022</t>
        </is>
      </c>
      <c r="B913" s="1" t="n">
        <v>44750</v>
      </c>
      <c r="C913" s="1" t="n">
        <v>45587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29280-2022</t>
        </is>
      </c>
      <c r="B914" s="1" t="n">
        <v>44750</v>
      </c>
      <c r="C914" s="1" t="n">
        <v>45587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29415-2022</t>
        </is>
      </c>
      <c r="B915" s="1" t="n">
        <v>44750</v>
      </c>
      <c r="C915" s="1" t="n">
        <v>45587</v>
      </c>
      <c r="D915" t="inlineStr">
        <is>
          <t>JÖNKÖPINGS LÄN</t>
        </is>
      </c>
      <c r="E915" t="inlineStr">
        <is>
          <t>VETLANDA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29428-2022</t>
        </is>
      </c>
      <c r="B916" s="1" t="n">
        <v>44752</v>
      </c>
      <c r="C916" s="1" t="n">
        <v>45587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29413-2022</t>
        </is>
      </c>
      <c r="B917" s="1" t="n">
        <v>44753</v>
      </c>
      <c r="C917" s="1" t="n">
        <v>45587</v>
      </c>
      <c r="D917" t="inlineStr">
        <is>
          <t>JÖNKÖPINGS LÄN</t>
        </is>
      </c>
      <c r="E917" t="inlineStr">
        <is>
          <t>VETLANDA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30501-2022</t>
        </is>
      </c>
      <c r="B918" s="1" t="n">
        <v>44762</v>
      </c>
      <c r="C918" s="1" t="n">
        <v>45587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30790-2022</t>
        </is>
      </c>
      <c r="B919" s="1" t="n">
        <v>44764</v>
      </c>
      <c r="C919" s="1" t="n">
        <v>45587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31165-2022</t>
        </is>
      </c>
      <c r="B920" s="1" t="n">
        <v>44770</v>
      </c>
      <c r="C920" s="1" t="n">
        <v>45587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32007-2022</t>
        </is>
      </c>
      <c r="B921" s="1" t="n">
        <v>44778</v>
      </c>
      <c r="C921" s="1" t="n">
        <v>45587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32002-2022</t>
        </is>
      </c>
      <c r="B922" s="1" t="n">
        <v>44778</v>
      </c>
      <c r="C922" s="1" t="n">
        <v>45587</v>
      </c>
      <c r="D922" t="inlineStr">
        <is>
          <t>JÖNKÖPINGS LÄN</t>
        </is>
      </c>
      <c r="E922" t="inlineStr">
        <is>
          <t>VETLANDA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32270-2022</t>
        </is>
      </c>
      <c r="B923" s="1" t="n">
        <v>44781</v>
      </c>
      <c r="C923" s="1" t="n">
        <v>45587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32318-2022</t>
        </is>
      </c>
      <c r="B924" s="1" t="n">
        <v>44781</v>
      </c>
      <c r="C924" s="1" t="n">
        <v>45587</v>
      </c>
      <c r="D924" t="inlineStr">
        <is>
          <t>JÖNKÖPINGS LÄN</t>
        </is>
      </c>
      <c r="E924" t="inlineStr">
        <is>
          <t>VETLANDA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32372-2022</t>
        </is>
      </c>
      <c r="B925" s="1" t="n">
        <v>44781</v>
      </c>
      <c r="C925" s="1" t="n">
        <v>45587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32374-2022</t>
        </is>
      </c>
      <c r="B926" s="1" t="n">
        <v>44781</v>
      </c>
      <c r="C926" s="1" t="n">
        <v>45587</v>
      </c>
      <c r="D926" t="inlineStr">
        <is>
          <t>JÖNKÖPINGS LÄN</t>
        </is>
      </c>
      <c r="E926" t="inlineStr">
        <is>
          <t>VETLANDA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32369-2022</t>
        </is>
      </c>
      <c r="B927" s="1" t="n">
        <v>44781</v>
      </c>
      <c r="C927" s="1" t="n">
        <v>45587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32375-2022</t>
        </is>
      </c>
      <c r="B928" s="1" t="n">
        <v>44781</v>
      </c>
      <c r="C928" s="1" t="n">
        <v>45587</v>
      </c>
      <c r="D928" t="inlineStr">
        <is>
          <t>JÖNKÖPINGS LÄN</t>
        </is>
      </c>
      <c r="E928" t="inlineStr">
        <is>
          <t>VETLANDA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32370-2022</t>
        </is>
      </c>
      <c r="B929" s="1" t="n">
        <v>44781</v>
      </c>
      <c r="C929" s="1" t="n">
        <v>45587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32379-2022</t>
        </is>
      </c>
      <c r="B930" s="1" t="n">
        <v>44781</v>
      </c>
      <c r="C930" s="1" t="n">
        <v>45587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32398-2022</t>
        </is>
      </c>
      <c r="B931" s="1" t="n">
        <v>44782</v>
      </c>
      <c r="C931" s="1" t="n">
        <v>45587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32651-2022</t>
        </is>
      </c>
      <c r="B932" s="1" t="n">
        <v>44783</v>
      </c>
      <c r="C932" s="1" t="n">
        <v>45587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32808-2022</t>
        </is>
      </c>
      <c r="B933" s="1" t="n">
        <v>44784</v>
      </c>
      <c r="C933" s="1" t="n">
        <v>45587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32885-2022</t>
        </is>
      </c>
      <c r="B934" s="1" t="n">
        <v>44784</v>
      </c>
      <c r="C934" s="1" t="n">
        <v>45587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32882-2022</t>
        </is>
      </c>
      <c r="B935" s="1" t="n">
        <v>44784</v>
      </c>
      <c r="C935" s="1" t="n">
        <v>45587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32884-2022</t>
        </is>
      </c>
      <c r="B936" s="1" t="n">
        <v>44784</v>
      </c>
      <c r="C936" s="1" t="n">
        <v>45587</v>
      </c>
      <c r="D936" t="inlineStr">
        <is>
          <t>JÖNKÖPINGS LÄN</t>
        </is>
      </c>
      <c r="E936" t="inlineStr">
        <is>
          <t>VETLANDA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33021-2022</t>
        </is>
      </c>
      <c r="B937" s="1" t="n">
        <v>44785</v>
      </c>
      <c r="C937" s="1" t="n">
        <v>45587</v>
      </c>
      <c r="D937" t="inlineStr">
        <is>
          <t>JÖNKÖPINGS LÄN</t>
        </is>
      </c>
      <c r="E937" t="inlineStr">
        <is>
          <t>VETLANDA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33026-2022</t>
        </is>
      </c>
      <c r="B938" s="1" t="n">
        <v>44785</v>
      </c>
      <c r="C938" s="1" t="n">
        <v>45587</v>
      </c>
      <c r="D938" t="inlineStr">
        <is>
          <t>JÖNKÖPINGS LÄN</t>
        </is>
      </c>
      <c r="E938" t="inlineStr">
        <is>
          <t>VETLANDA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33826-2022</t>
        </is>
      </c>
      <c r="B939" s="1" t="n">
        <v>44790</v>
      </c>
      <c r="C939" s="1" t="n">
        <v>45587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34394-2022</t>
        </is>
      </c>
      <c r="B940" s="1" t="n">
        <v>44792</v>
      </c>
      <c r="C940" s="1" t="n">
        <v>45587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34395-2022</t>
        </is>
      </c>
      <c r="B941" s="1" t="n">
        <v>44792</v>
      </c>
      <c r="C941" s="1" t="n">
        <v>45587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35835-2022</t>
        </is>
      </c>
      <c r="B942" s="1" t="n">
        <v>44802</v>
      </c>
      <c r="C942" s="1" t="n">
        <v>45587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36397-2022</t>
        </is>
      </c>
      <c r="B943" s="1" t="n">
        <v>44804</v>
      </c>
      <c r="C943" s="1" t="n">
        <v>45587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36395-2022</t>
        </is>
      </c>
      <c r="B944" s="1" t="n">
        <v>44804</v>
      </c>
      <c r="C944" s="1" t="n">
        <v>45587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36399-2022</t>
        </is>
      </c>
      <c r="B945" s="1" t="n">
        <v>44804</v>
      </c>
      <c r="C945" s="1" t="n">
        <v>45587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36611-2022</t>
        </is>
      </c>
      <c r="B946" s="1" t="n">
        <v>44804</v>
      </c>
      <c r="C946" s="1" t="n">
        <v>45587</v>
      </c>
      <c r="D946" t="inlineStr">
        <is>
          <t>JÖNKÖPINGS LÄN</t>
        </is>
      </c>
      <c r="E946" t="inlineStr">
        <is>
          <t>VETLANDA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36700-2022</t>
        </is>
      </c>
      <c r="B947" s="1" t="n">
        <v>44805</v>
      </c>
      <c r="C947" s="1" t="n">
        <v>45587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37676-2022</t>
        </is>
      </c>
      <c r="B948" s="1" t="n">
        <v>44810</v>
      </c>
      <c r="C948" s="1" t="n">
        <v>45587</v>
      </c>
      <c r="D948" t="inlineStr">
        <is>
          <t>JÖNKÖPINGS LÄN</t>
        </is>
      </c>
      <c r="E948" t="inlineStr">
        <is>
          <t>VETLANDA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38827-2022</t>
        </is>
      </c>
      <c r="B949" s="1" t="n">
        <v>44813</v>
      </c>
      <c r="C949" s="1" t="n">
        <v>45587</v>
      </c>
      <c r="D949" t="inlineStr">
        <is>
          <t>JÖNKÖPINGS LÄN</t>
        </is>
      </c>
      <c r="E949" t="inlineStr">
        <is>
          <t>VETLANDA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38618-2022</t>
        </is>
      </c>
      <c r="B950" s="1" t="n">
        <v>44813</v>
      </c>
      <c r="C950" s="1" t="n">
        <v>45587</v>
      </c>
      <c r="D950" t="inlineStr">
        <is>
          <t>JÖNKÖPINGS LÄN</t>
        </is>
      </c>
      <c r="E950" t="inlineStr">
        <is>
          <t>VETLANDA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38839-2022</t>
        </is>
      </c>
      <c r="B951" s="1" t="n">
        <v>44813</v>
      </c>
      <c r="C951" s="1" t="n">
        <v>45587</v>
      </c>
      <c r="D951" t="inlineStr">
        <is>
          <t>JÖNKÖPINGS LÄN</t>
        </is>
      </c>
      <c r="E951" t="inlineStr">
        <is>
          <t>VETLANDA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38628-2022</t>
        </is>
      </c>
      <c r="B952" s="1" t="n">
        <v>44813</v>
      </c>
      <c r="C952" s="1" t="n">
        <v>45587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38634-2022</t>
        </is>
      </c>
      <c r="B953" s="1" t="n">
        <v>44813</v>
      </c>
      <c r="C953" s="1" t="n">
        <v>45587</v>
      </c>
      <c r="D953" t="inlineStr">
        <is>
          <t>JÖNKÖPINGS LÄN</t>
        </is>
      </c>
      <c r="E953" t="inlineStr">
        <is>
          <t>VETLANDA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38723-2022</t>
        </is>
      </c>
      <c r="B954" s="1" t="n">
        <v>44815</v>
      </c>
      <c r="C954" s="1" t="n">
        <v>45587</v>
      </c>
      <c r="D954" t="inlineStr">
        <is>
          <t>JÖNKÖPINGS LÄN</t>
        </is>
      </c>
      <c r="E954" t="inlineStr">
        <is>
          <t>VETLANDA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38726-2022</t>
        </is>
      </c>
      <c r="B955" s="1" t="n">
        <v>44815</v>
      </c>
      <c r="C955" s="1" t="n">
        <v>45587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38843-2022</t>
        </is>
      </c>
      <c r="B956" s="1" t="n">
        <v>44816</v>
      </c>
      <c r="C956" s="1" t="n">
        <v>45587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38887-2022</t>
        </is>
      </c>
      <c r="B957" s="1" t="n">
        <v>44816</v>
      </c>
      <c r="C957" s="1" t="n">
        <v>45587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38916-2022</t>
        </is>
      </c>
      <c r="B958" s="1" t="n">
        <v>44816</v>
      </c>
      <c r="C958" s="1" t="n">
        <v>45587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39115-2022</t>
        </is>
      </c>
      <c r="B959" s="1" t="n">
        <v>44816</v>
      </c>
      <c r="C959" s="1" t="n">
        <v>45587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39498-2022</t>
        </is>
      </c>
      <c r="B960" s="1" t="n">
        <v>44818</v>
      </c>
      <c r="C960" s="1" t="n">
        <v>45587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39621-2022</t>
        </is>
      </c>
      <c r="B961" s="1" t="n">
        <v>44818</v>
      </c>
      <c r="C961" s="1" t="n">
        <v>45587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39741-2022</t>
        </is>
      </c>
      <c r="B962" s="1" t="n">
        <v>44819</v>
      </c>
      <c r="C962" s="1" t="n">
        <v>45587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39737-2022</t>
        </is>
      </c>
      <c r="B963" s="1" t="n">
        <v>44819</v>
      </c>
      <c r="C963" s="1" t="n">
        <v>45587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39736-2022</t>
        </is>
      </c>
      <c r="B964" s="1" t="n">
        <v>44819</v>
      </c>
      <c r="C964" s="1" t="n">
        <v>45587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39826-2022</t>
        </is>
      </c>
      <c r="B965" s="1" t="n">
        <v>44819</v>
      </c>
      <c r="C965" s="1" t="n">
        <v>45587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40093-2022</t>
        </is>
      </c>
      <c r="B966" s="1" t="n">
        <v>44820</v>
      </c>
      <c r="C966" s="1" t="n">
        <v>45587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40178-2022</t>
        </is>
      </c>
      <c r="B967" s="1" t="n">
        <v>44820</v>
      </c>
      <c r="C967" s="1" t="n">
        <v>45587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40291-2022</t>
        </is>
      </c>
      <c r="B968" s="1" t="n">
        <v>44821</v>
      </c>
      <c r="C968" s="1" t="n">
        <v>45587</v>
      </c>
      <c r="D968" t="inlineStr">
        <is>
          <t>JÖNKÖPINGS LÄN</t>
        </is>
      </c>
      <c r="E968" t="inlineStr">
        <is>
          <t>VETLANDA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40392-2022</t>
        </is>
      </c>
      <c r="B969" s="1" t="n">
        <v>44823</v>
      </c>
      <c r="C969" s="1" t="n">
        <v>45587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40737-2022</t>
        </is>
      </c>
      <c r="B970" s="1" t="n">
        <v>44824</v>
      </c>
      <c r="C970" s="1" t="n">
        <v>45587</v>
      </c>
      <c r="D970" t="inlineStr">
        <is>
          <t>JÖNKÖPINGS LÄN</t>
        </is>
      </c>
      <c r="E970" t="inlineStr">
        <is>
          <t>VETLANDA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40926-2022</t>
        </is>
      </c>
      <c r="B971" s="1" t="n">
        <v>44825</v>
      </c>
      <c r="C971" s="1" t="n">
        <v>45587</v>
      </c>
      <c r="D971" t="inlineStr">
        <is>
          <t>JÖNKÖPINGS LÄN</t>
        </is>
      </c>
      <c r="E971" t="inlineStr">
        <is>
          <t>VETLANDA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41527-2022</t>
        </is>
      </c>
      <c r="B972" s="1" t="n">
        <v>44825</v>
      </c>
      <c r="C972" s="1" t="n">
        <v>45587</v>
      </c>
      <c r="D972" t="inlineStr">
        <is>
          <t>JÖNKÖPINGS LÄN</t>
        </is>
      </c>
      <c r="E972" t="inlineStr">
        <is>
          <t>VETLANDA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41605-2022</t>
        </is>
      </c>
      <c r="B973" s="1" t="n">
        <v>44825</v>
      </c>
      <c r="C973" s="1" t="n">
        <v>45587</v>
      </c>
      <c r="D973" t="inlineStr">
        <is>
          <t>JÖNKÖPINGS LÄN</t>
        </is>
      </c>
      <c r="E973" t="inlineStr">
        <is>
          <t>VETLANDA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41403-2022</t>
        </is>
      </c>
      <c r="B974" s="1" t="n">
        <v>44825</v>
      </c>
      <c r="C974" s="1" t="n">
        <v>45587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41522-2022</t>
        </is>
      </c>
      <c r="B975" s="1" t="n">
        <v>44825</v>
      </c>
      <c r="C975" s="1" t="n">
        <v>45587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41591-2022</t>
        </is>
      </c>
      <c r="B976" s="1" t="n">
        <v>44825</v>
      </c>
      <c r="C976" s="1" t="n">
        <v>45587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41335-2022</t>
        </is>
      </c>
      <c r="B977" s="1" t="n">
        <v>44826</v>
      </c>
      <c r="C977" s="1" t="n">
        <v>45587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41441-2022</t>
        </is>
      </c>
      <c r="B978" s="1" t="n">
        <v>44826</v>
      </c>
      <c r="C978" s="1" t="n">
        <v>45587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41667-2022</t>
        </is>
      </c>
      <c r="B979" s="1" t="n">
        <v>44827</v>
      </c>
      <c r="C979" s="1" t="n">
        <v>45587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41678-2022</t>
        </is>
      </c>
      <c r="B980" s="1" t="n">
        <v>44827</v>
      </c>
      <c r="C980" s="1" t="n">
        <v>45587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42024-2022</t>
        </is>
      </c>
      <c r="B981" s="1" t="n">
        <v>44830</v>
      </c>
      <c r="C981" s="1" t="n">
        <v>45587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42364-2022</t>
        </is>
      </c>
      <c r="B982" s="1" t="n">
        <v>44830</v>
      </c>
      <c r="C982" s="1" t="n">
        <v>45587</v>
      </c>
      <c r="D982" t="inlineStr">
        <is>
          <t>JÖNKÖPINGS LÄN</t>
        </is>
      </c>
      <c r="E982" t="inlineStr">
        <is>
          <t>VETLANDA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42439-2022</t>
        </is>
      </c>
      <c r="B983" s="1" t="n">
        <v>44831</v>
      </c>
      <c r="C983" s="1" t="n">
        <v>45587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42442-2022</t>
        </is>
      </c>
      <c r="B984" s="1" t="n">
        <v>44831</v>
      </c>
      <c r="C984" s="1" t="n">
        <v>45587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42417-2022</t>
        </is>
      </c>
      <c r="B985" s="1" t="n">
        <v>44831</v>
      </c>
      <c r="C985" s="1" t="n">
        <v>45587</v>
      </c>
      <c r="D985" t="inlineStr">
        <is>
          <t>JÖNKÖPINGS LÄN</t>
        </is>
      </c>
      <c r="E985" t="inlineStr">
        <is>
          <t>VETLANDA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43100-2022</t>
        </is>
      </c>
      <c r="B986" s="1" t="n">
        <v>44833</v>
      </c>
      <c r="C986" s="1" t="n">
        <v>45587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43105-2022</t>
        </is>
      </c>
      <c r="B987" s="1" t="n">
        <v>44833</v>
      </c>
      <c r="C987" s="1" t="n">
        <v>45587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43195-2022</t>
        </is>
      </c>
      <c r="B988" s="1" t="n">
        <v>44834</v>
      </c>
      <c r="C988" s="1" t="n">
        <v>45587</v>
      </c>
      <c r="D988" t="inlineStr">
        <is>
          <t>JÖNKÖPINGS LÄN</t>
        </is>
      </c>
      <c r="E988" t="inlineStr">
        <is>
          <t>VETLANDA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43199-2022</t>
        </is>
      </c>
      <c r="B989" s="1" t="n">
        <v>44834</v>
      </c>
      <c r="C989" s="1" t="n">
        <v>45587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43371-2022</t>
        </is>
      </c>
      <c r="B990" s="1" t="n">
        <v>44834</v>
      </c>
      <c r="C990" s="1" t="n">
        <v>45587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43404-2022</t>
        </is>
      </c>
      <c r="B991" s="1" t="n">
        <v>44834</v>
      </c>
      <c r="C991" s="1" t="n">
        <v>45587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43400-2022</t>
        </is>
      </c>
      <c r="B992" s="1" t="n">
        <v>44834</v>
      </c>
      <c r="C992" s="1" t="n">
        <v>45587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43406-2022</t>
        </is>
      </c>
      <c r="B993" s="1" t="n">
        <v>44834</v>
      </c>
      <c r="C993" s="1" t="n">
        <v>45587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43615-2022</t>
        </is>
      </c>
      <c r="B994" s="1" t="n">
        <v>44837</v>
      </c>
      <c r="C994" s="1" t="n">
        <v>45587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43608-2022</t>
        </is>
      </c>
      <c r="B995" s="1" t="n">
        <v>44837</v>
      </c>
      <c r="C995" s="1" t="n">
        <v>45587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43901-2022</t>
        </is>
      </c>
      <c r="B996" s="1" t="n">
        <v>44838</v>
      </c>
      <c r="C996" s="1" t="n">
        <v>45587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43900-2022</t>
        </is>
      </c>
      <c r="B997" s="1" t="n">
        <v>44838</v>
      </c>
      <c r="C997" s="1" t="n">
        <v>45587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44169-2022</t>
        </is>
      </c>
      <c r="B998" s="1" t="n">
        <v>44839</v>
      </c>
      <c r="C998" s="1" t="n">
        <v>45587</v>
      </c>
      <c r="D998" t="inlineStr">
        <is>
          <t>JÖNKÖPINGS LÄN</t>
        </is>
      </c>
      <c r="E998" t="inlineStr">
        <is>
          <t>VETLANDA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44261-2022</t>
        </is>
      </c>
      <c r="B999" s="1" t="n">
        <v>44839</v>
      </c>
      <c r="C999" s="1" t="n">
        <v>45587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44693-2022</t>
        </is>
      </c>
      <c r="B1000" s="1" t="n">
        <v>44840</v>
      </c>
      <c r="C1000" s="1" t="n">
        <v>45587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44790-2022</t>
        </is>
      </c>
      <c r="B1001" s="1" t="n">
        <v>44841</v>
      </c>
      <c r="C1001" s="1" t="n">
        <v>45587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45020-2022</t>
        </is>
      </c>
      <c r="B1002" s="1" t="n">
        <v>44841</v>
      </c>
      <c r="C1002" s="1" t="n">
        <v>45587</v>
      </c>
      <c r="D1002" t="inlineStr">
        <is>
          <t>JÖNKÖPINGS LÄN</t>
        </is>
      </c>
      <c r="E1002" t="inlineStr">
        <is>
          <t>VETLANDA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46190-2022</t>
        </is>
      </c>
      <c r="B1003" s="1" t="n">
        <v>44847</v>
      </c>
      <c r="C1003" s="1" t="n">
        <v>45587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46143-2022</t>
        </is>
      </c>
      <c r="B1004" s="1" t="n">
        <v>44847</v>
      </c>
      <c r="C1004" s="1" t="n">
        <v>45587</v>
      </c>
      <c r="D1004" t="inlineStr">
        <is>
          <t>JÖNKÖPINGS LÄN</t>
        </is>
      </c>
      <c r="E1004" t="inlineStr">
        <is>
          <t>VETLANDA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47065-2022</t>
        </is>
      </c>
      <c r="B1005" s="1" t="n">
        <v>44851</v>
      </c>
      <c r="C1005" s="1" t="n">
        <v>45587</v>
      </c>
      <c r="D1005" t="inlineStr">
        <is>
          <t>JÖNKÖPINGS LÄN</t>
        </is>
      </c>
      <c r="E1005" t="inlineStr">
        <is>
          <t>VETLANDA</t>
        </is>
      </c>
      <c r="G1005" t="n">
        <v>9.5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48207-2022</t>
        </is>
      </c>
      <c r="B1006" s="1" t="n">
        <v>44858</v>
      </c>
      <c r="C1006" s="1" t="n">
        <v>45587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48212-2022</t>
        </is>
      </c>
      <c r="B1007" s="1" t="n">
        <v>44858</v>
      </c>
      <c r="C1007" s="1" t="n">
        <v>45587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48694-2022</t>
        </is>
      </c>
      <c r="B1008" s="1" t="n">
        <v>44859</v>
      </c>
      <c r="C1008" s="1" t="n">
        <v>45587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48751-2022</t>
        </is>
      </c>
      <c r="B1009" s="1" t="n">
        <v>44859</v>
      </c>
      <c r="C1009" s="1" t="n">
        <v>45587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51039-2022</t>
        </is>
      </c>
      <c r="B1010" s="1" t="n">
        <v>44868</v>
      </c>
      <c r="C1010" s="1" t="n">
        <v>45587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52427-2022</t>
        </is>
      </c>
      <c r="B1011" s="1" t="n">
        <v>44869</v>
      </c>
      <c r="C1011" s="1" t="n">
        <v>45587</v>
      </c>
      <c r="D1011" t="inlineStr">
        <is>
          <t>JÖNKÖPINGS LÄN</t>
        </is>
      </c>
      <c r="E1011" t="inlineStr">
        <is>
          <t>VETLANDA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52974-2022</t>
        </is>
      </c>
      <c r="B1012" s="1" t="n">
        <v>44875</v>
      </c>
      <c r="C1012" s="1" t="n">
        <v>45587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53551-2022</t>
        </is>
      </c>
      <c r="B1013" s="1" t="n">
        <v>44879</v>
      </c>
      <c r="C1013" s="1" t="n">
        <v>45587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53745-2022</t>
        </is>
      </c>
      <c r="B1014" s="1" t="n">
        <v>44880</v>
      </c>
      <c r="C1014" s="1" t="n">
        <v>45587</v>
      </c>
      <c r="D1014" t="inlineStr">
        <is>
          <t>JÖNKÖPINGS LÄN</t>
        </is>
      </c>
      <c r="E1014" t="inlineStr">
        <is>
          <t>VETLANDA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53796-2022</t>
        </is>
      </c>
      <c r="B1015" s="1" t="n">
        <v>44880</v>
      </c>
      <c r="C1015" s="1" t="n">
        <v>45587</v>
      </c>
      <c r="D1015" t="inlineStr">
        <is>
          <t>JÖNKÖPINGS LÄN</t>
        </is>
      </c>
      <c r="E1015" t="inlineStr">
        <is>
          <t>VETLANDA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53794-2022</t>
        </is>
      </c>
      <c r="B1016" s="1" t="n">
        <v>44880</v>
      </c>
      <c r="C1016" s="1" t="n">
        <v>45587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53757-2022</t>
        </is>
      </c>
      <c r="B1017" s="1" t="n">
        <v>44880</v>
      </c>
      <c r="C1017" s="1" t="n">
        <v>45587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53790-2022</t>
        </is>
      </c>
      <c r="B1018" s="1" t="n">
        <v>44880</v>
      </c>
      <c r="C1018" s="1" t="n">
        <v>45587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55515-2022</t>
        </is>
      </c>
      <c r="B1019" s="1" t="n">
        <v>44887</v>
      </c>
      <c r="C1019" s="1" t="n">
        <v>45587</v>
      </c>
      <c r="D1019" t="inlineStr">
        <is>
          <t>JÖNKÖPINGS LÄN</t>
        </is>
      </c>
      <c r="E1019" t="inlineStr">
        <is>
          <t>VETLANDA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55595-2022</t>
        </is>
      </c>
      <c r="B1020" s="1" t="n">
        <v>44888</v>
      </c>
      <c r="C1020" s="1" t="n">
        <v>45587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55747-2022</t>
        </is>
      </c>
      <c r="B1021" s="1" t="n">
        <v>44888</v>
      </c>
      <c r="C1021" s="1" t="n">
        <v>45587</v>
      </c>
      <c r="D1021" t="inlineStr">
        <is>
          <t>JÖNKÖPINGS LÄN</t>
        </is>
      </c>
      <c r="E1021" t="inlineStr">
        <is>
          <t>VETLANDA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55753-2022</t>
        </is>
      </c>
      <c r="B1022" s="1" t="n">
        <v>44888</v>
      </c>
      <c r="C1022" s="1" t="n">
        <v>45587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56898-2022</t>
        </is>
      </c>
      <c r="B1023" s="1" t="n">
        <v>44888</v>
      </c>
      <c r="C1023" s="1" t="n">
        <v>45587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56004-2022</t>
        </is>
      </c>
      <c r="B1024" s="1" t="n">
        <v>44889</v>
      </c>
      <c r="C1024" s="1" t="n">
        <v>45587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56909-2022</t>
        </is>
      </c>
      <c r="B1025" s="1" t="n">
        <v>44894</v>
      </c>
      <c r="C1025" s="1" t="n">
        <v>45587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57067-2022</t>
        </is>
      </c>
      <c r="B1026" s="1" t="n">
        <v>44895</v>
      </c>
      <c r="C1026" s="1" t="n">
        <v>45587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57168-2022</t>
        </is>
      </c>
      <c r="B1027" s="1" t="n">
        <v>44895</v>
      </c>
      <c r="C1027" s="1" t="n">
        <v>45587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57507-2022</t>
        </is>
      </c>
      <c r="B1028" s="1" t="n">
        <v>44896</v>
      </c>
      <c r="C1028" s="1" t="n">
        <v>45587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58274-2022</t>
        </is>
      </c>
      <c r="B1029" s="1" t="n">
        <v>44901</v>
      </c>
      <c r="C1029" s="1" t="n">
        <v>45587</v>
      </c>
      <c r="D1029" t="inlineStr">
        <is>
          <t>JÖNKÖPINGS LÄN</t>
        </is>
      </c>
      <c r="E1029" t="inlineStr">
        <is>
          <t>VETLANDA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58542-2022</t>
        </is>
      </c>
      <c r="B1030" s="1" t="n">
        <v>44902</v>
      </c>
      <c r="C1030" s="1" t="n">
        <v>45587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58554-2022</t>
        </is>
      </c>
      <c r="B1031" s="1" t="n">
        <v>44902</v>
      </c>
      <c r="C1031" s="1" t="n">
        <v>45587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58545-2022</t>
        </is>
      </c>
      <c r="B1032" s="1" t="n">
        <v>44902</v>
      </c>
      <c r="C1032" s="1" t="n">
        <v>45587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58578-2022</t>
        </is>
      </c>
      <c r="B1033" s="1" t="n">
        <v>44902</v>
      </c>
      <c r="C1033" s="1" t="n">
        <v>45587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60147-2022</t>
        </is>
      </c>
      <c r="B1034" s="1" t="n">
        <v>44902</v>
      </c>
      <c r="C1034" s="1" t="n">
        <v>45587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59011-2022</t>
        </is>
      </c>
      <c r="B1035" s="1" t="n">
        <v>44903</v>
      </c>
      <c r="C1035" s="1" t="n">
        <v>45587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59012-2022</t>
        </is>
      </c>
      <c r="B1036" s="1" t="n">
        <v>44903</v>
      </c>
      <c r="C1036" s="1" t="n">
        <v>45587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60083-2022</t>
        </is>
      </c>
      <c r="B1037" s="1" t="n">
        <v>44909</v>
      </c>
      <c r="C1037" s="1" t="n">
        <v>45587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60161-2022</t>
        </is>
      </c>
      <c r="B1038" s="1" t="n">
        <v>44909</v>
      </c>
      <c r="C1038" s="1" t="n">
        <v>45587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60159-2022</t>
        </is>
      </c>
      <c r="B1039" s="1" t="n">
        <v>44909</v>
      </c>
      <c r="C1039" s="1" t="n">
        <v>45587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61458-2022</t>
        </is>
      </c>
      <c r="B1040" s="1" t="n">
        <v>44916</v>
      </c>
      <c r="C1040" s="1" t="n">
        <v>45587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61451-2022</t>
        </is>
      </c>
      <c r="B1041" s="1" t="n">
        <v>44916</v>
      </c>
      <c r="C1041" s="1" t="n">
        <v>45587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61456-2022</t>
        </is>
      </c>
      <c r="B1042" s="1" t="n">
        <v>44916</v>
      </c>
      <c r="C1042" s="1" t="n">
        <v>45587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61449-2022</t>
        </is>
      </c>
      <c r="B1043" s="1" t="n">
        <v>44916</v>
      </c>
      <c r="C1043" s="1" t="n">
        <v>45587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61454-2022</t>
        </is>
      </c>
      <c r="B1044" s="1" t="n">
        <v>44916</v>
      </c>
      <c r="C1044" s="1" t="n">
        <v>45587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61471-2022</t>
        </is>
      </c>
      <c r="B1045" s="1" t="n">
        <v>44916</v>
      </c>
      <c r="C1045" s="1" t="n">
        <v>45587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61452-2022</t>
        </is>
      </c>
      <c r="B1046" s="1" t="n">
        <v>44916</v>
      </c>
      <c r="C1046" s="1" t="n">
        <v>45587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61666-2022</t>
        </is>
      </c>
      <c r="B1047" s="1" t="n">
        <v>44917</v>
      </c>
      <c r="C1047" s="1" t="n">
        <v>45587</v>
      </c>
      <c r="D1047" t="inlineStr">
        <is>
          <t>JÖNKÖPINGS LÄN</t>
        </is>
      </c>
      <c r="E1047" t="inlineStr">
        <is>
          <t>VETLANDA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62327-2022</t>
        </is>
      </c>
      <c r="B1048" s="1" t="n">
        <v>44923</v>
      </c>
      <c r="C1048" s="1" t="n">
        <v>45587</v>
      </c>
      <c r="D1048" t="inlineStr">
        <is>
          <t>JÖNKÖPINGS LÄN</t>
        </is>
      </c>
      <c r="E1048" t="inlineStr">
        <is>
          <t>VETLANDA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603-2023</t>
        </is>
      </c>
      <c r="B1049" s="1" t="n">
        <v>44926</v>
      </c>
      <c r="C1049" s="1" t="n">
        <v>45587</v>
      </c>
      <c r="D1049" t="inlineStr">
        <is>
          <t>JÖNKÖPINGS LÄN</t>
        </is>
      </c>
      <c r="E1049" t="inlineStr">
        <is>
          <t>VETLANDA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601-2023</t>
        </is>
      </c>
      <c r="B1050" s="1" t="n">
        <v>44926</v>
      </c>
      <c r="C1050" s="1" t="n">
        <v>45587</v>
      </c>
      <c r="D1050" t="inlineStr">
        <is>
          <t>JÖNKÖPINGS LÄN</t>
        </is>
      </c>
      <c r="E1050" t="inlineStr">
        <is>
          <t>VETLANDA</t>
        </is>
      </c>
      <c r="G1050" t="n">
        <v>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598-2023</t>
        </is>
      </c>
      <c r="B1051" s="1" t="n">
        <v>44926</v>
      </c>
      <c r="C1051" s="1" t="n">
        <v>45587</v>
      </c>
      <c r="D1051" t="inlineStr">
        <is>
          <t>JÖNKÖPINGS LÄN</t>
        </is>
      </c>
      <c r="E1051" t="inlineStr">
        <is>
          <t>VETLANDA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606-2023</t>
        </is>
      </c>
      <c r="B1052" s="1" t="n">
        <v>44926</v>
      </c>
      <c r="C1052" s="1" t="n">
        <v>45587</v>
      </c>
      <c r="D1052" t="inlineStr">
        <is>
          <t>JÖNKÖPINGS LÄN</t>
        </is>
      </c>
      <c r="E1052" t="inlineStr">
        <is>
          <t>VETLANDA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316-2023</t>
        </is>
      </c>
      <c r="B1053" s="1" t="n">
        <v>44929</v>
      </c>
      <c r="C1053" s="1" t="n">
        <v>45587</v>
      </c>
      <c r="D1053" t="inlineStr">
        <is>
          <t>JÖNKÖPINGS LÄN</t>
        </is>
      </c>
      <c r="E1053" t="inlineStr">
        <is>
          <t>VETLANDA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632-2023</t>
        </is>
      </c>
      <c r="B1054" s="1" t="n">
        <v>44930</v>
      </c>
      <c r="C1054" s="1" t="n">
        <v>45587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523-2023</t>
        </is>
      </c>
      <c r="B1055" s="1" t="n">
        <v>44930</v>
      </c>
      <c r="C1055" s="1" t="n">
        <v>45587</v>
      </c>
      <c r="D1055" t="inlineStr">
        <is>
          <t>JÖNKÖPINGS LÄN</t>
        </is>
      </c>
      <c r="E1055" t="inlineStr">
        <is>
          <t>VETLANDA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521-2023</t>
        </is>
      </c>
      <c r="B1056" s="1" t="n">
        <v>44930</v>
      </c>
      <c r="C1056" s="1" t="n">
        <v>45587</v>
      </c>
      <c r="D1056" t="inlineStr">
        <is>
          <t>JÖNKÖPINGS LÄN</t>
        </is>
      </c>
      <c r="E1056" t="inlineStr">
        <is>
          <t>VETLANDA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645-2023</t>
        </is>
      </c>
      <c r="B1057" s="1" t="n">
        <v>44930</v>
      </c>
      <c r="C1057" s="1" t="n">
        <v>45587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980-2023</t>
        </is>
      </c>
      <c r="B1058" s="1" t="n">
        <v>44935</v>
      </c>
      <c r="C1058" s="1" t="n">
        <v>45587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1531-2023</t>
        </is>
      </c>
      <c r="B1059" s="1" t="n">
        <v>44935</v>
      </c>
      <c r="C1059" s="1" t="n">
        <v>45587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1535-2023</t>
        </is>
      </c>
      <c r="B1060" s="1" t="n">
        <v>44935</v>
      </c>
      <c r="C1060" s="1" t="n">
        <v>45587</v>
      </c>
      <c r="D1060" t="inlineStr">
        <is>
          <t>JÖNKÖPINGS LÄN</t>
        </is>
      </c>
      <c r="E1060" t="inlineStr">
        <is>
          <t>VETLANDA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1363-2023</t>
        </is>
      </c>
      <c r="B1061" s="1" t="n">
        <v>44936</v>
      </c>
      <c r="C1061" s="1" t="n">
        <v>45587</v>
      </c>
      <c r="D1061" t="inlineStr">
        <is>
          <t>JÖNKÖPINGS LÄN</t>
        </is>
      </c>
      <c r="E1061" t="inlineStr">
        <is>
          <t>VETLANDA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2235-2023</t>
        </is>
      </c>
      <c r="B1062" s="1" t="n">
        <v>44942</v>
      </c>
      <c r="C1062" s="1" t="n">
        <v>45587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2236-2023</t>
        </is>
      </c>
      <c r="B1063" s="1" t="n">
        <v>44942</v>
      </c>
      <c r="C1063" s="1" t="n">
        <v>45587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2919-2023</t>
        </is>
      </c>
      <c r="B1064" s="1" t="n">
        <v>44945</v>
      </c>
      <c r="C1064" s="1" t="n">
        <v>45587</v>
      </c>
      <c r="D1064" t="inlineStr">
        <is>
          <t>JÖNKÖPINGS LÄN</t>
        </is>
      </c>
      <c r="E1064" t="inlineStr">
        <is>
          <t>VETLANDA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3541-2023</t>
        </is>
      </c>
      <c r="B1065" s="1" t="n">
        <v>44946</v>
      </c>
      <c r="C1065" s="1" t="n">
        <v>45587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3530-2023</t>
        </is>
      </c>
      <c r="B1066" s="1" t="n">
        <v>44946</v>
      </c>
      <c r="C1066" s="1" t="n">
        <v>45587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3548-2023</t>
        </is>
      </c>
      <c r="B1067" s="1" t="n">
        <v>44946</v>
      </c>
      <c r="C1067" s="1" t="n">
        <v>45587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3544-2023</t>
        </is>
      </c>
      <c r="B1068" s="1" t="n">
        <v>44946</v>
      </c>
      <c r="C1068" s="1" t="n">
        <v>45587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3536-2023</t>
        </is>
      </c>
      <c r="B1069" s="1" t="n">
        <v>44946</v>
      </c>
      <c r="C1069" s="1" t="n">
        <v>45587</v>
      </c>
      <c r="D1069" t="inlineStr">
        <is>
          <t>JÖNKÖPINGS LÄN</t>
        </is>
      </c>
      <c r="E1069" t="inlineStr">
        <is>
          <t>VETLANDA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3309-2023</t>
        </is>
      </c>
      <c r="B1070" s="1" t="n">
        <v>44949</v>
      </c>
      <c r="C1070" s="1" t="n">
        <v>45587</v>
      </c>
      <c r="D1070" t="inlineStr">
        <is>
          <t>JÖNKÖPINGS LÄN</t>
        </is>
      </c>
      <c r="E1070" t="inlineStr">
        <is>
          <t>VETLANDA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3310-2023</t>
        </is>
      </c>
      <c r="B1071" s="1" t="n">
        <v>44949</v>
      </c>
      <c r="C1071" s="1" t="n">
        <v>45587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3778-2023</t>
        </is>
      </c>
      <c r="B1072" s="1" t="n">
        <v>44951</v>
      </c>
      <c r="C1072" s="1" t="n">
        <v>45587</v>
      </c>
      <c r="D1072" t="inlineStr">
        <is>
          <t>JÖNKÖPINGS LÄN</t>
        </is>
      </c>
      <c r="E1072" t="inlineStr">
        <is>
          <t>VETLANDA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4230-2023</t>
        </is>
      </c>
      <c r="B1073" s="1" t="n">
        <v>44951</v>
      </c>
      <c r="C1073" s="1" t="n">
        <v>45587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3956-2023</t>
        </is>
      </c>
      <c r="B1074" s="1" t="n">
        <v>44952</v>
      </c>
      <c r="C1074" s="1" t="n">
        <v>45587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3955-2023</t>
        </is>
      </c>
      <c r="B1075" s="1" t="n">
        <v>44952</v>
      </c>
      <c r="C1075" s="1" t="n">
        <v>45587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4810-2023</t>
        </is>
      </c>
      <c r="B1076" s="1" t="n">
        <v>44957</v>
      </c>
      <c r="C1076" s="1" t="n">
        <v>45587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4794-2023</t>
        </is>
      </c>
      <c r="B1077" s="1" t="n">
        <v>44957</v>
      </c>
      <c r="C1077" s="1" t="n">
        <v>45587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4803-2023</t>
        </is>
      </c>
      <c r="B1078" s="1" t="n">
        <v>44957</v>
      </c>
      <c r="C1078" s="1" t="n">
        <v>45587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5384-2023</t>
        </is>
      </c>
      <c r="B1079" s="1" t="n">
        <v>44959</v>
      </c>
      <c r="C1079" s="1" t="n">
        <v>45587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5525-2023</t>
        </is>
      </c>
      <c r="B1080" s="1" t="n">
        <v>44960</v>
      </c>
      <c r="C1080" s="1" t="n">
        <v>45587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5937-2023</t>
        </is>
      </c>
      <c r="B1081" s="1" t="n">
        <v>44963</v>
      </c>
      <c r="C1081" s="1" t="n">
        <v>45587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5938-2023</t>
        </is>
      </c>
      <c r="B1082" s="1" t="n">
        <v>44963</v>
      </c>
      <c r="C1082" s="1" t="n">
        <v>45587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6377-2023</t>
        </is>
      </c>
      <c r="B1083" s="1" t="n">
        <v>44965</v>
      </c>
      <c r="C1083" s="1" t="n">
        <v>45587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6383-2023</t>
        </is>
      </c>
      <c r="B1084" s="1" t="n">
        <v>44965</v>
      </c>
      <c r="C1084" s="1" t="n">
        <v>45587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6391-2023</t>
        </is>
      </c>
      <c r="B1085" s="1" t="n">
        <v>44965</v>
      </c>
      <c r="C1085" s="1" t="n">
        <v>45587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6363-2023</t>
        </is>
      </c>
      <c r="B1086" s="1" t="n">
        <v>44965</v>
      </c>
      <c r="C1086" s="1" t="n">
        <v>45587</v>
      </c>
      <c r="D1086" t="inlineStr">
        <is>
          <t>JÖNKÖPINGS LÄN</t>
        </is>
      </c>
      <c r="E1086" t="inlineStr">
        <is>
          <t>VETLANDA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7091-2023</t>
        </is>
      </c>
      <c r="B1087" s="1" t="n">
        <v>44965</v>
      </c>
      <c r="C1087" s="1" t="n">
        <v>45587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6893-2023</t>
        </is>
      </c>
      <c r="B1088" s="1" t="n">
        <v>44967</v>
      </c>
      <c r="C1088" s="1" t="n">
        <v>45587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6896-2023</t>
        </is>
      </c>
      <c r="B1089" s="1" t="n">
        <v>44967</v>
      </c>
      <c r="C1089" s="1" t="n">
        <v>45587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6892-2023</t>
        </is>
      </c>
      <c r="B1090" s="1" t="n">
        <v>44967</v>
      </c>
      <c r="C1090" s="1" t="n">
        <v>45587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6897-2023</t>
        </is>
      </c>
      <c r="B1091" s="1" t="n">
        <v>44967</v>
      </c>
      <c r="C1091" s="1" t="n">
        <v>45587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7049-2023</t>
        </is>
      </c>
      <c r="B1092" s="1" t="n">
        <v>44968</v>
      </c>
      <c r="C1092" s="1" t="n">
        <v>45587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7060-2023</t>
        </is>
      </c>
      <c r="B1093" s="1" t="n">
        <v>44969</v>
      </c>
      <c r="C1093" s="1" t="n">
        <v>45587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7149-2023</t>
        </is>
      </c>
      <c r="B1094" s="1" t="n">
        <v>44970</v>
      </c>
      <c r="C1094" s="1" t="n">
        <v>45587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7833-2023</t>
        </is>
      </c>
      <c r="B1095" s="1" t="n">
        <v>44970</v>
      </c>
      <c r="C1095" s="1" t="n">
        <v>45587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7824-2023</t>
        </is>
      </c>
      <c r="B1096" s="1" t="n">
        <v>44970</v>
      </c>
      <c r="C1096" s="1" t="n">
        <v>45587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7828-2023</t>
        </is>
      </c>
      <c r="B1097" s="1" t="n">
        <v>44970</v>
      </c>
      <c r="C1097" s="1" t="n">
        <v>45587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7830-2023</t>
        </is>
      </c>
      <c r="B1098" s="1" t="n">
        <v>44970</v>
      </c>
      <c r="C1098" s="1" t="n">
        <v>45587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8126-2023</t>
        </is>
      </c>
      <c r="B1099" s="1" t="n">
        <v>44970</v>
      </c>
      <c r="C1099" s="1" t="n">
        <v>45587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8253-2023</t>
        </is>
      </c>
      <c r="B1100" s="1" t="n">
        <v>44971</v>
      </c>
      <c r="C1100" s="1" t="n">
        <v>45587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7626-2023</t>
        </is>
      </c>
      <c r="B1101" s="1" t="n">
        <v>44972</v>
      </c>
      <c r="C1101" s="1" t="n">
        <v>45587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8835-2023</t>
        </is>
      </c>
      <c r="B1102" s="1" t="n">
        <v>44973</v>
      </c>
      <c r="C1102" s="1" t="n">
        <v>45587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8613-2023</t>
        </is>
      </c>
      <c r="B1103" s="1" t="n">
        <v>44977</v>
      </c>
      <c r="C1103" s="1" t="n">
        <v>45587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9129-2023</t>
        </is>
      </c>
      <c r="B1104" s="1" t="n">
        <v>44980</v>
      </c>
      <c r="C1104" s="1" t="n">
        <v>45587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9667-2023</t>
        </is>
      </c>
      <c r="B1105" s="1" t="n">
        <v>44984</v>
      </c>
      <c r="C1105" s="1" t="n">
        <v>45587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9677-2023</t>
        </is>
      </c>
      <c r="B1106" s="1" t="n">
        <v>44984</v>
      </c>
      <c r="C1106" s="1" t="n">
        <v>45587</v>
      </c>
      <c r="D1106" t="inlineStr">
        <is>
          <t>JÖNKÖPINGS LÄN</t>
        </is>
      </c>
      <c r="E1106" t="inlineStr">
        <is>
          <t>VETLANDA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9777-2023</t>
        </is>
      </c>
      <c r="B1107" s="1" t="n">
        <v>44984</v>
      </c>
      <c r="C1107" s="1" t="n">
        <v>45587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9782-2023</t>
        </is>
      </c>
      <c r="B1108" s="1" t="n">
        <v>44984</v>
      </c>
      <c r="C1108" s="1" t="n">
        <v>45587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9779-2023</t>
        </is>
      </c>
      <c r="B1109" s="1" t="n">
        <v>44984</v>
      </c>
      <c r="C1109" s="1" t="n">
        <v>45587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10175-2023</t>
        </is>
      </c>
      <c r="B1110" s="1" t="n">
        <v>44986</v>
      </c>
      <c r="C1110" s="1" t="n">
        <v>45587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10222-2023</t>
        </is>
      </c>
      <c r="B1111" s="1" t="n">
        <v>44986</v>
      </c>
      <c r="C1111" s="1" t="n">
        <v>45587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12003-2023</t>
        </is>
      </c>
      <c r="B1112" s="1" t="n">
        <v>44995</v>
      </c>
      <c r="C1112" s="1" t="n">
        <v>45587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12201-2023</t>
        </is>
      </c>
      <c r="B1113" s="1" t="n">
        <v>44998</v>
      </c>
      <c r="C1113" s="1" t="n">
        <v>45587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12199-2023</t>
        </is>
      </c>
      <c r="B1114" s="1" t="n">
        <v>44998</v>
      </c>
      <c r="C1114" s="1" t="n">
        <v>45587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12265-2023</t>
        </is>
      </c>
      <c r="B1115" s="1" t="n">
        <v>44998</v>
      </c>
      <c r="C1115" s="1" t="n">
        <v>45587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12196-2023</t>
        </is>
      </c>
      <c r="B1116" s="1" t="n">
        <v>44998</v>
      </c>
      <c r="C1116" s="1" t="n">
        <v>45587</v>
      </c>
      <c r="D1116" t="inlineStr">
        <is>
          <t>JÖNKÖPINGS LÄN</t>
        </is>
      </c>
      <c r="E1116" t="inlineStr">
        <is>
          <t>VETLANDA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12270-2023</t>
        </is>
      </c>
      <c r="B1117" s="1" t="n">
        <v>44998</v>
      </c>
      <c r="C1117" s="1" t="n">
        <v>45587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12622-2023</t>
        </is>
      </c>
      <c r="B1118" s="1" t="n">
        <v>45000</v>
      </c>
      <c r="C1118" s="1" t="n">
        <v>45587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12614-2023</t>
        </is>
      </c>
      <c r="B1119" s="1" t="n">
        <v>45000</v>
      </c>
      <c r="C1119" s="1" t="n">
        <v>45587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12621-2023</t>
        </is>
      </c>
      <c r="B1120" s="1" t="n">
        <v>45000</v>
      </c>
      <c r="C1120" s="1" t="n">
        <v>45587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12619-2023</t>
        </is>
      </c>
      <c r="B1121" s="1" t="n">
        <v>45000</v>
      </c>
      <c r="C1121" s="1" t="n">
        <v>45587</v>
      </c>
      <c r="D1121" t="inlineStr">
        <is>
          <t>JÖNKÖPINGS LÄN</t>
        </is>
      </c>
      <c r="E1121" t="inlineStr">
        <is>
          <t>VETLANDA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12962-2023</t>
        </is>
      </c>
      <c r="B1122" s="1" t="n">
        <v>45001</v>
      </c>
      <c r="C1122" s="1" t="n">
        <v>45587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13710-2023</t>
        </is>
      </c>
      <c r="B1123" s="1" t="n">
        <v>45001</v>
      </c>
      <c r="C1123" s="1" t="n">
        <v>45587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13333-2023</t>
        </is>
      </c>
      <c r="B1124" s="1" t="n">
        <v>45005</v>
      </c>
      <c r="C1124" s="1" t="n">
        <v>45587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13332-2023</t>
        </is>
      </c>
      <c r="B1125" s="1" t="n">
        <v>45005</v>
      </c>
      <c r="C1125" s="1" t="n">
        <v>45587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13331-2023</t>
        </is>
      </c>
      <c r="B1126" s="1" t="n">
        <v>45005</v>
      </c>
      <c r="C1126" s="1" t="n">
        <v>45587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13330-2023</t>
        </is>
      </c>
      <c r="B1127" s="1" t="n">
        <v>45005</v>
      </c>
      <c r="C1127" s="1" t="n">
        <v>45587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13334-2023</t>
        </is>
      </c>
      <c r="B1128" s="1" t="n">
        <v>45005</v>
      </c>
      <c r="C1128" s="1" t="n">
        <v>45587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13468-2023</t>
        </is>
      </c>
      <c r="B1129" s="1" t="n">
        <v>45005</v>
      </c>
      <c r="C1129" s="1" t="n">
        <v>45587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13618-2023</t>
        </is>
      </c>
      <c r="B1130" s="1" t="n">
        <v>45006</v>
      </c>
      <c r="C1130" s="1" t="n">
        <v>45587</v>
      </c>
      <c r="D1130" t="inlineStr">
        <is>
          <t>JÖNKÖPINGS LÄN</t>
        </is>
      </c>
      <c r="E1130" t="inlineStr">
        <is>
          <t>VETLANDA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13622-2023</t>
        </is>
      </c>
      <c r="B1131" s="1" t="n">
        <v>45006</v>
      </c>
      <c r="C1131" s="1" t="n">
        <v>45587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13644-2023</t>
        </is>
      </c>
      <c r="B1132" s="1" t="n">
        <v>45006</v>
      </c>
      <c r="C1132" s="1" t="n">
        <v>45587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13635-2023</t>
        </is>
      </c>
      <c r="B1133" s="1" t="n">
        <v>45006</v>
      </c>
      <c r="C1133" s="1" t="n">
        <v>45587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13638-2023</t>
        </is>
      </c>
      <c r="B1134" s="1" t="n">
        <v>45006</v>
      </c>
      <c r="C1134" s="1" t="n">
        <v>45587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13642-2023</t>
        </is>
      </c>
      <c r="B1135" s="1" t="n">
        <v>45006</v>
      </c>
      <c r="C1135" s="1" t="n">
        <v>45587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13756-2023</t>
        </is>
      </c>
      <c r="B1136" s="1" t="n">
        <v>45007</v>
      </c>
      <c r="C1136" s="1" t="n">
        <v>45587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15023-2023</t>
        </is>
      </c>
      <c r="B1137" s="1" t="n">
        <v>45015</v>
      </c>
      <c r="C1137" s="1" t="n">
        <v>45587</v>
      </c>
      <c r="D1137" t="inlineStr">
        <is>
          <t>JÖNKÖPINGS LÄN</t>
        </is>
      </c>
      <c r="E1137" t="inlineStr">
        <is>
          <t>VETLANDA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14965-2023</t>
        </is>
      </c>
      <c r="B1138" s="1" t="n">
        <v>45015</v>
      </c>
      <c r="C1138" s="1" t="n">
        <v>45587</v>
      </c>
      <c r="D1138" t="inlineStr">
        <is>
          <t>JÖNKÖPINGS LÄN</t>
        </is>
      </c>
      <c r="E1138" t="inlineStr">
        <is>
          <t>VETLANDA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15049-2023</t>
        </is>
      </c>
      <c r="B1139" s="1" t="n">
        <v>45015</v>
      </c>
      <c r="C1139" s="1" t="n">
        <v>45587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15295-2023</t>
        </is>
      </c>
      <c r="B1140" s="1" t="n">
        <v>45019</v>
      </c>
      <c r="C1140" s="1" t="n">
        <v>45587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15289-2023</t>
        </is>
      </c>
      <c r="B1141" s="1" t="n">
        <v>45019</v>
      </c>
      <c r="C1141" s="1" t="n">
        <v>45587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15666-2023</t>
        </is>
      </c>
      <c r="B1142" s="1" t="n">
        <v>45021</v>
      </c>
      <c r="C1142" s="1" t="n">
        <v>45587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15840-2023</t>
        </is>
      </c>
      <c r="B1143" s="1" t="n">
        <v>45021</v>
      </c>
      <c r="C1143" s="1" t="n">
        <v>45587</v>
      </c>
      <c r="D1143" t="inlineStr">
        <is>
          <t>JÖNKÖPINGS LÄN</t>
        </is>
      </c>
      <c r="E1143" t="inlineStr">
        <is>
          <t>VETLANDA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15946-2023</t>
        </is>
      </c>
      <c r="B1144" s="1" t="n">
        <v>45022</v>
      </c>
      <c r="C1144" s="1" t="n">
        <v>45587</v>
      </c>
      <c r="D1144" t="inlineStr">
        <is>
          <t>JÖNKÖPINGS LÄN</t>
        </is>
      </c>
      <c r="E1144" t="inlineStr">
        <is>
          <t>VETLANDA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15929-2023</t>
        </is>
      </c>
      <c r="B1145" s="1" t="n">
        <v>45022</v>
      </c>
      <c r="C1145" s="1" t="n">
        <v>45587</v>
      </c>
      <c r="D1145" t="inlineStr">
        <is>
          <t>JÖNKÖPINGS LÄN</t>
        </is>
      </c>
      <c r="E1145" t="inlineStr">
        <is>
          <t>VETLANDA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15940-2023</t>
        </is>
      </c>
      <c r="B1146" s="1" t="n">
        <v>45022</v>
      </c>
      <c r="C1146" s="1" t="n">
        <v>45587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15944-2023</t>
        </is>
      </c>
      <c r="B1147" s="1" t="n">
        <v>45022</v>
      </c>
      <c r="C1147" s="1" t="n">
        <v>45587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15939-2023</t>
        </is>
      </c>
      <c r="B1148" s="1" t="n">
        <v>45022</v>
      </c>
      <c r="C1148" s="1" t="n">
        <v>45587</v>
      </c>
      <c r="D1148" t="inlineStr">
        <is>
          <t>JÖNKÖPINGS LÄN</t>
        </is>
      </c>
      <c r="E1148" t="inlineStr">
        <is>
          <t>VETLANDA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15943-2023</t>
        </is>
      </c>
      <c r="B1149" s="1" t="n">
        <v>45022</v>
      </c>
      <c r="C1149" s="1" t="n">
        <v>45587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16598-2023</t>
        </is>
      </c>
      <c r="B1150" s="1" t="n">
        <v>45030</v>
      </c>
      <c r="C1150" s="1" t="n">
        <v>45587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16637-2023</t>
        </is>
      </c>
      <c r="B1151" s="1" t="n">
        <v>45030</v>
      </c>
      <c r="C1151" s="1" t="n">
        <v>45587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16774-2023</t>
        </is>
      </c>
      <c r="B1152" s="1" t="n">
        <v>45031</v>
      </c>
      <c r="C1152" s="1" t="n">
        <v>45587</v>
      </c>
      <c r="D1152" t="inlineStr">
        <is>
          <t>JÖNKÖPINGS LÄN</t>
        </is>
      </c>
      <c r="E1152" t="inlineStr">
        <is>
          <t>VETLANDA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16773-2023</t>
        </is>
      </c>
      <c r="B1153" s="1" t="n">
        <v>45031</v>
      </c>
      <c r="C1153" s="1" t="n">
        <v>45587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16771-2023</t>
        </is>
      </c>
      <c r="B1154" s="1" t="n">
        <v>45031</v>
      </c>
      <c r="C1154" s="1" t="n">
        <v>45587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16772-2023</t>
        </is>
      </c>
      <c r="B1155" s="1" t="n">
        <v>45031</v>
      </c>
      <c r="C1155" s="1" t="n">
        <v>45587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16796-2023</t>
        </is>
      </c>
      <c r="B1156" s="1" t="n">
        <v>45033</v>
      </c>
      <c r="C1156" s="1" t="n">
        <v>45587</v>
      </c>
      <c r="D1156" t="inlineStr">
        <is>
          <t>JÖNKÖPINGS LÄN</t>
        </is>
      </c>
      <c r="E1156" t="inlineStr">
        <is>
          <t>VETLANDA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16792-2023</t>
        </is>
      </c>
      <c r="B1157" s="1" t="n">
        <v>45033</v>
      </c>
      <c r="C1157" s="1" t="n">
        <v>45587</v>
      </c>
      <c r="D1157" t="inlineStr">
        <is>
          <t>JÖNKÖPINGS LÄN</t>
        </is>
      </c>
      <c r="E1157" t="inlineStr">
        <is>
          <t>VETLANDA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16797-2023</t>
        </is>
      </c>
      <c r="B1158" s="1" t="n">
        <v>45033</v>
      </c>
      <c r="C1158" s="1" t="n">
        <v>45587</v>
      </c>
      <c r="D1158" t="inlineStr">
        <is>
          <t>JÖNKÖPINGS LÄN</t>
        </is>
      </c>
      <c r="E1158" t="inlineStr">
        <is>
          <t>VETLANDA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17374-2023</t>
        </is>
      </c>
      <c r="B1159" s="1" t="n">
        <v>45035</v>
      </c>
      <c r="C1159" s="1" t="n">
        <v>45587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18263-2023</t>
        </is>
      </c>
      <c r="B1160" s="1" t="n">
        <v>45041</v>
      </c>
      <c r="C1160" s="1" t="n">
        <v>45587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18249-2023</t>
        </is>
      </c>
      <c r="B1161" s="1" t="n">
        <v>45041</v>
      </c>
      <c r="C1161" s="1" t="n">
        <v>45587</v>
      </c>
      <c r="D1161" t="inlineStr">
        <is>
          <t>JÖNKÖPINGS LÄN</t>
        </is>
      </c>
      <c r="E1161" t="inlineStr">
        <is>
          <t>VETLANDA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18508-2023</t>
        </is>
      </c>
      <c r="B1162" s="1" t="n">
        <v>45042</v>
      </c>
      <c r="C1162" s="1" t="n">
        <v>45587</v>
      </c>
      <c r="D1162" t="inlineStr">
        <is>
          <t>JÖNKÖPINGS LÄN</t>
        </is>
      </c>
      <c r="E1162" t="inlineStr">
        <is>
          <t>VETLANDA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18516-2023</t>
        </is>
      </c>
      <c r="B1163" s="1" t="n">
        <v>45042</v>
      </c>
      <c r="C1163" s="1" t="n">
        <v>45587</v>
      </c>
      <c r="D1163" t="inlineStr">
        <is>
          <t>JÖNKÖPINGS LÄN</t>
        </is>
      </c>
      <c r="E1163" t="inlineStr">
        <is>
          <t>VETLANDA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18833-2023</t>
        </is>
      </c>
      <c r="B1164" s="1" t="n">
        <v>45042</v>
      </c>
      <c r="C1164" s="1" t="n">
        <v>45587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18799-2023</t>
        </is>
      </c>
      <c r="B1165" s="1" t="n">
        <v>45042</v>
      </c>
      <c r="C1165" s="1" t="n">
        <v>45587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18750-2023</t>
        </is>
      </c>
      <c r="B1166" s="1" t="n">
        <v>45043</v>
      </c>
      <c r="C1166" s="1" t="n">
        <v>45587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19090-2023</t>
        </is>
      </c>
      <c r="B1167" s="1" t="n">
        <v>45048</v>
      </c>
      <c r="C1167" s="1" t="n">
        <v>45587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19062-2023</t>
        </is>
      </c>
      <c r="B1168" s="1" t="n">
        <v>45048</v>
      </c>
      <c r="C1168" s="1" t="n">
        <v>45587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19121-2023</t>
        </is>
      </c>
      <c r="B1169" s="1" t="n">
        <v>45048</v>
      </c>
      <c r="C1169" s="1" t="n">
        <v>45587</v>
      </c>
      <c r="D1169" t="inlineStr">
        <is>
          <t>JÖNKÖPINGS LÄN</t>
        </is>
      </c>
      <c r="E1169" t="inlineStr">
        <is>
          <t>VETLANDA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19065-2023</t>
        </is>
      </c>
      <c r="B1170" s="1" t="n">
        <v>45048</v>
      </c>
      <c r="C1170" s="1" t="n">
        <v>45587</v>
      </c>
      <c r="D1170" t="inlineStr">
        <is>
          <t>JÖNKÖPINGS LÄN</t>
        </is>
      </c>
      <c r="E1170" t="inlineStr">
        <is>
          <t>VETLANDA</t>
        </is>
      </c>
      <c r="G1170" t="n">
        <v>15.7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19203-2023</t>
        </is>
      </c>
      <c r="B1171" s="1" t="n">
        <v>45048</v>
      </c>
      <c r="C1171" s="1" t="n">
        <v>45587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19206-2023</t>
        </is>
      </c>
      <c r="B1172" s="1" t="n">
        <v>45048</v>
      </c>
      <c r="C1172" s="1" t="n">
        <v>45587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19299-2023</t>
        </is>
      </c>
      <c r="B1173" s="1" t="n">
        <v>45049</v>
      </c>
      <c r="C1173" s="1" t="n">
        <v>45587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20143-2023</t>
        </is>
      </c>
      <c r="B1174" s="1" t="n">
        <v>45055</v>
      </c>
      <c r="C1174" s="1" t="n">
        <v>45587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20193-2023</t>
        </is>
      </c>
      <c r="B1175" s="1" t="n">
        <v>45055</v>
      </c>
      <c r="C1175" s="1" t="n">
        <v>45587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20479-2023</t>
        </is>
      </c>
      <c r="B1176" s="1" t="n">
        <v>45057</v>
      </c>
      <c r="C1176" s="1" t="n">
        <v>45587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20537-2023</t>
        </is>
      </c>
      <c r="B1177" s="1" t="n">
        <v>45057</v>
      </c>
      <c r="C1177" s="1" t="n">
        <v>45587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20681-2023</t>
        </is>
      </c>
      <c r="B1178" s="1" t="n">
        <v>45058</v>
      </c>
      <c r="C1178" s="1" t="n">
        <v>45587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21179-2023</t>
        </is>
      </c>
      <c r="B1179" s="1" t="n">
        <v>45062</v>
      </c>
      <c r="C1179" s="1" t="n">
        <v>45587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21194-2023</t>
        </is>
      </c>
      <c r="B1180" s="1" t="n">
        <v>45062</v>
      </c>
      <c r="C1180" s="1" t="n">
        <v>45587</v>
      </c>
      <c r="D1180" t="inlineStr">
        <is>
          <t>JÖNKÖPINGS LÄN</t>
        </is>
      </c>
      <c r="E1180" t="inlineStr">
        <is>
          <t>VETLANDA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21267-2023</t>
        </is>
      </c>
      <c r="B1181" s="1" t="n">
        <v>45062</v>
      </c>
      <c r="C1181" s="1" t="n">
        <v>45587</v>
      </c>
      <c r="D1181" t="inlineStr">
        <is>
          <t>JÖNKÖPINGS LÄN</t>
        </is>
      </c>
      <c r="E1181" t="inlineStr">
        <is>
          <t>VETLANDA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21597-2023</t>
        </is>
      </c>
      <c r="B1182" s="1" t="n">
        <v>45063</v>
      </c>
      <c r="C1182" s="1" t="n">
        <v>45587</v>
      </c>
      <c r="D1182" t="inlineStr">
        <is>
          <t>JÖNKÖPINGS LÄN</t>
        </is>
      </c>
      <c r="E1182" t="inlineStr">
        <is>
          <t>VETLANDA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21601-2023</t>
        </is>
      </c>
      <c r="B1183" s="1" t="n">
        <v>45063</v>
      </c>
      <c r="C1183" s="1" t="n">
        <v>45587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22177-2023</t>
        </is>
      </c>
      <c r="B1184" s="1" t="n">
        <v>45069</v>
      </c>
      <c r="C1184" s="1" t="n">
        <v>45587</v>
      </c>
      <c r="D1184" t="inlineStr">
        <is>
          <t>JÖNKÖPINGS LÄN</t>
        </is>
      </c>
      <c r="E1184" t="inlineStr">
        <is>
          <t>VETLANDA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22296-2023</t>
        </is>
      </c>
      <c r="B1185" s="1" t="n">
        <v>45070</v>
      </c>
      <c r="C1185" s="1" t="n">
        <v>45587</v>
      </c>
      <c r="D1185" t="inlineStr">
        <is>
          <t>JÖNKÖPINGS LÄN</t>
        </is>
      </c>
      <c r="E1185" t="inlineStr">
        <is>
          <t>VETLANDA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22319-2023</t>
        </is>
      </c>
      <c r="B1186" s="1" t="n">
        <v>45070</v>
      </c>
      <c r="C1186" s="1" t="n">
        <v>45587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Kommuner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22379-2023</t>
        </is>
      </c>
      <c r="B1187" s="1" t="n">
        <v>45070</v>
      </c>
      <c r="C1187" s="1" t="n">
        <v>45587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22422-2023</t>
        </is>
      </c>
      <c r="B1188" s="1" t="n">
        <v>45070</v>
      </c>
      <c r="C1188" s="1" t="n">
        <v>45587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22543-2023</t>
        </is>
      </c>
      <c r="B1189" s="1" t="n">
        <v>45071</v>
      </c>
      <c r="C1189" s="1" t="n">
        <v>45587</v>
      </c>
      <c r="D1189" t="inlineStr">
        <is>
          <t>JÖNKÖPINGS LÄN</t>
        </is>
      </c>
      <c r="E1189" t="inlineStr">
        <is>
          <t>VETLANDA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22481-2023</t>
        </is>
      </c>
      <c r="B1190" s="1" t="n">
        <v>45071</v>
      </c>
      <c r="C1190" s="1" t="n">
        <v>45587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22529-2023</t>
        </is>
      </c>
      <c r="B1191" s="1" t="n">
        <v>45071</v>
      </c>
      <c r="C1191" s="1" t="n">
        <v>45587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22536-2023</t>
        </is>
      </c>
      <c r="B1192" s="1" t="n">
        <v>45071</v>
      </c>
      <c r="C1192" s="1" t="n">
        <v>45587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23375-2023</t>
        </is>
      </c>
      <c r="B1193" s="1" t="n">
        <v>45076</v>
      </c>
      <c r="C1193" s="1" t="n">
        <v>45587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23379-2023</t>
        </is>
      </c>
      <c r="B1194" s="1" t="n">
        <v>45076</v>
      </c>
      <c r="C1194" s="1" t="n">
        <v>45587</v>
      </c>
      <c r="D1194" t="inlineStr">
        <is>
          <t>JÖNKÖPINGS LÄN</t>
        </is>
      </c>
      <c r="E1194" t="inlineStr">
        <is>
          <t>VETLANDA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23480-2023</t>
        </is>
      </c>
      <c r="B1195" s="1" t="n">
        <v>45076</v>
      </c>
      <c r="C1195" s="1" t="n">
        <v>45587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23477-2023</t>
        </is>
      </c>
      <c r="B1196" s="1" t="n">
        <v>45076</v>
      </c>
      <c r="C1196" s="1" t="n">
        <v>45587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23615-2023</t>
        </is>
      </c>
      <c r="B1197" s="1" t="n">
        <v>45077</v>
      </c>
      <c r="C1197" s="1" t="n">
        <v>45587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24259-2023</t>
        </is>
      </c>
      <c r="B1198" s="1" t="n">
        <v>45079</v>
      </c>
      <c r="C1198" s="1" t="n">
        <v>45587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24338-2023</t>
        </is>
      </c>
      <c r="B1199" s="1" t="n">
        <v>45081</v>
      </c>
      <c r="C1199" s="1" t="n">
        <v>45587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24537-2023</t>
        </is>
      </c>
      <c r="B1200" s="1" t="n">
        <v>45082</v>
      </c>
      <c r="C1200" s="1" t="n">
        <v>45587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24623-2023</t>
        </is>
      </c>
      <c r="B1201" s="1" t="n">
        <v>45084</v>
      </c>
      <c r="C1201" s="1" t="n">
        <v>45587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24673-2023</t>
        </is>
      </c>
      <c r="B1202" s="1" t="n">
        <v>45084</v>
      </c>
      <c r="C1202" s="1" t="n">
        <v>45587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24674-2023</t>
        </is>
      </c>
      <c r="B1203" s="1" t="n">
        <v>45084</v>
      </c>
      <c r="C1203" s="1" t="n">
        <v>45587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24943-2023</t>
        </is>
      </c>
      <c r="B1204" s="1" t="n">
        <v>45085</v>
      </c>
      <c r="C1204" s="1" t="n">
        <v>45587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25470-2023</t>
        </is>
      </c>
      <c r="B1205" s="1" t="n">
        <v>45089</v>
      </c>
      <c r="C1205" s="1" t="n">
        <v>45587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25560-2023</t>
        </is>
      </c>
      <c r="B1206" s="1" t="n">
        <v>45089</v>
      </c>
      <c r="C1206" s="1" t="n">
        <v>45587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25555-2023</t>
        </is>
      </c>
      <c r="B1207" s="1" t="n">
        <v>45089</v>
      </c>
      <c r="C1207" s="1" t="n">
        <v>45587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25613-2023</t>
        </is>
      </c>
      <c r="B1208" s="1" t="n">
        <v>45089</v>
      </c>
      <c r="C1208" s="1" t="n">
        <v>45587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25793-2023</t>
        </is>
      </c>
      <c r="B1209" s="1" t="n">
        <v>45090</v>
      </c>
      <c r="C1209" s="1" t="n">
        <v>45587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25794-2023</t>
        </is>
      </c>
      <c r="B1210" s="1" t="n">
        <v>45090</v>
      </c>
      <c r="C1210" s="1" t="n">
        <v>45587</v>
      </c>
      <c r="D1210" t="inlineStr">
        <is>
          <t>JÖNKÖPINGS LÄN</t>
        </is>
      </c>
      <c r="E1210" t="inlineStr">
        <is>
          <t>VETLANDA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25846-2023</t>
        </is>
      </c>
      <c r="B1211" s="1" t="n">
        <v>45090</v>
      </c>
      <c r="C1211" s="1" t="n">
        <v>45587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25858-2023</t>
        </is>
      </c>
      <c r="B1212" s="1" t="n">
        <v>45090</v>
      </c>
      <c r="C1212" s="1" t="n">
        <v>45587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25791-2023</t>
        </is>
      </c>
      <c r="B1213" s="1" t="n">
        <v>45090</v>
      </c>
      <c r="C1213" s="1" t="n">
        <v>45587</v>
      </c>
      <c r="D1213" t="inlineStr">
        <is>
          <t>JÖNKÖPINGS LÄN</t>
        </is>
      </c>
      <c r="E1213" t="inlineStr">
        <is>
          <t>VETLANDA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26228-2023</t>
        </is>
      </c>
      <c r="B1214" s="1" t="n">
        <v>45091</v>
      </c>
      <c r="C1214" s="1" t="n">
        <v>45587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26223-2023</t>
        </is>
      </c>
      <c r="B1215" s="1" t="n">
        <v>45091</v>
      </c>
      <c r="C1215" s="1" t="n">
        <v>45587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26296-2023</t>
        </is>
      </c>
      <c r="B1216" s="1" t="n">
        <v>45091</v>
      </c>
      <c r="C1216" s="1" t="n">
        <v>45587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26266-2023</t>
        </is>
      </c>
      <c r="B1217" s="1" t="n">
        <v>45091</v>
      </c>
      <c r="C1217" s="1" t="n">
        <v>45587</v>
      </c>
      <c r="D1217" t="inlineStr">
        <is>
          <t>JÖNKÖPINGS LÄN</t>
        </is>
      </c>
      <c r="E1217" t="inlineStr">
        <is>
          <t>VETLANDA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26431-2023</t>
        </is>
      </c>
      <c r="B1218" s="1" t="n">
        <v>45092</v>
      </c>
      <c r="C1218" s="1" t="n">
        <v>45587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27007-2023</t>
        </is>
      </c>
      <c r="B1219" s="1" t="n">
        <v>45094</v>
      </c>
      <c r="C1219" s="1" t="n">
        <v>45587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27114-2023</t>
        </is>
      </c>
      <c r="B1220" s="1" t="n">
        <v>45096</v>
      </c>
      <c r="C1220" s="1" t="n">
        <v>45587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27129-2023</t>
        </is>
      </c>
      <c r="B1221" s="1" t="n">
        <v>45096</v>
      </c>
      <c r="C1221" s="1" t="n">
        <v>45587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27437-2023</t>
        </is>
      </c>
      <c r="B1222" s="1" t="n">
        <v>45097</v>
      </c>
      <c r="C1222" s="1" t="n">
        <v>45587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27445-2023</t>
        </is>
      </c>
      <c r="B1223" s="1" t="n">
        <v>45097</v>
      </c>
      <c r="C1223" s="1" t="n">
        <v>45587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27449-2023</t>
        </is>
      </c>
      <c r="B1224" s="1" t="n">
        <v>45097</v>
      </c>
      <c r="C1224" s="1" t="n">
        <v>45587</v>
      </c>
      <c r="D1224" t="inlineStr">
        <is>
          <t>JÖNKÖPINGS LÄN</t>
        </is>
      </c>
      <c r="E1224" t="inlineStr">
        <is>
          <t>VETLANDA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27528-2023</t>
        </is>
      </c>
      <c r="B1225" s="1" t="n">
        <v>45097</v>
      </c>
      <c r="C1225" s="1" t="n">
        <v>45587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27537-2023</t>
        </is>
      </c>
      <c r="B1226" s="1" t="n">
        <v>45097</v>
      </c>
      <c r="C1226" s="1" t="n">
        <v>45587</v>
      </c>
      <c r="D1226" t="inlineStr">
        <is>
          <t>JÖNKÖPINGS LÄN</t>
        </is>
      </c>
      <c r="E1226" t="inlineStr">
        <is>
          <t>VETLANDA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27430-2023</t>
        </is>
      </c>
      <c r="B1227" s="1" t="n">
        <v>45097</v>
      </c>
      <c r="C1227" s="1" t="n">
        <v>45587</v>
      </c>
      <c r="D1227" t="inlineStr">
        <is>
          <t>JÖNKÖPINGS LÄN</t>
        </is>
      </c>
      <c r="E1227" t="inlineStr">
        <is>
          <t>VETLANDA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27404-2023</t>
        </is>
      </c>
      <c r="B1228" s="1" t="n">
        <v>45097</v>
      </c>
      <c r="C1228" s="1" t="n">
        <v>45587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27412-2023</t>
        </is>
      </c>
      <c r="B1229" s="1" t="n">
        <v>45097</v>
      </c>
      <c r="C1229" s="1" t="n">
        <v>45587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27406-2023</t>
        </is>
      </c>
      <c r="B1230" s="1" t="n">
        <v>45097</v>
      </c>
      <c r="C1230" s="1" t="n">
        <v>45587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27415-2023</t>
        </is>
      </c>
      <c r="B1231" s="1" t="n">
        <v>45097</v>
      </c>
      <c r="C1231" s="1" t="n">
        <v>45587</v>
      </c>
      <c r="D1231" t="inlineStr">
        <is>
          <t>JÖNKÖPINGS LÄN</t>
        </is>
      </c>
      <c r="E1231" t="inlineStr">
        <is>
          <t>VETLANDA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27536-2023</t>
        </is>
      </c>
      <c r="B1232" s="1" t="n">
        <v>45097</v>
      </c>
      <c r="C1232" s="1" t="n">
        <v>45587</v>
      </c>
      <c r="D1232" t="inlineStr">
        <is>
          <t>JÖNKÖPINGS LÄN</t>
        </is>
      </c>
      <c r="E1232" t="inlineStr">
        <is>
          <t>VETLANDA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27530-2023</t>
        </is>
      </c>
      <c r="B1233" s="1" t="n">
        <v>45097</v>
      </c>
      <c r="C1233" s="1" t="n">
        <v>45587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27567-2023</t>
        </is>
      </c>
      <c r="B1234" s="1" t="n">
        <v>45097</v>
      </c>
      <c r="C1234" s="1" t="n">
        <v>45587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27446-2023</t>
        </is>
      </c>
      <c r="B1235" s="1" t="n">
        <v>45097</v>
      </c>
      <c r="C1235" s="1" t="n">
        <v>45587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29114-2023</t>
        </is>
      </c>
      <c r="B1236" s="1" t="n">
        <v>45097</v>
      </c>
      <c r="C1236" s="1" t="n">
        <v>45587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27706-2023</t>
        </is>
      </c>
      <c r="B1237" s="1" t="n">
        <v>45098</v>
      </c>
      <c r="C1237" s="1" t="n">
        <v>45587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27985-2023</t>
        </is>
      </c>
      <c r="B1238" s="1" t="n">
        <v>45098</v>
      </c>
      <c r="C1238" s="1" t="n">
        <v>45587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28126-2023</t>
        </is>
      </c>
      <c r="B1239" s="1" t="n">
        <v>45099</v>
      </c>
      <c r="C1239" s="1" t="n">
        <v>45587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28130-2023</t>
        </is>
      </c>
      <c r="B1240" s="1" t="n">
        <v>45099</v>
      </c>
      <c r="C1240" s="1" t="n">
        <v>45587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28133-2023</t>
        </is>
      </c>
      <c r="B1241" s="1" t="n">
        <v>45099</v>
      </c>
      <c r="C1241" s="1" t="n">
        <v>45587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28344-2023</t>
        </is>
      </c>
      <c r="B1242" s="1" t="n">
        <v>45099</v>
      </c>
      <c r="C1242" s="1" t="n">
        <v>45587</v>
      </c>
      <c r="D1242" t="inlineStr">
        <is>
          <t>JÖNKÖPINGS LÄN</t>
        </is>
      </c>
      <c r="E1242" t="inlineStr">
        <is>
          <t>VETLANDA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28345-2023</t>
        </is>
      </c>
      <c r="B1243" s="1" t="n">
        <v>45099</v>
      </c>
      <c r="C1243" s="1" t="n">
        <v>45587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28330-2023</t>
        </is>
      </c>
      <c r="B1244" s="1" t="n">
        <v>45099</v>
      </c>
      <c r="C1244" s="1" t="n">
        <v>45587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28393-2023</t>
        </is>
      </c>
      <c r="B1245" s="1" t="n">
        <v>45100</v>
      </c>
      <c r="C1245" s="1" t="n">
        <v>45587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28834-2023</t>
        </is>
      </c>
      <c r="B1246" s="1" t="n">
        <v>45104</v>
      </c>
      <c r="C1246" s="1" t="n">
        <v>45587</v>
      </c>
      <c r="D1246" t="inlineStr">
        <is>
          <t>JÖNKÖPINGS LÄN</t>
        </is>
      </c>
      <c r="E1246" t="inlineStr">
        <is>
          <t>VETLANDA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28838-2023</t>
        </is>
      </c>
      <c r="B1247" s="1" t="n">
        <v>45104</v>
      </c>
      <c r="C1247" s="1" t="n">
        <v>45587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28885-2023</t>
        </is>
      </c>
      <c r="B1248" s="1" t="n">
        <v>45104</v>
      </c>
      <c r="C1248" s="1" t="n">
        <v>45587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28889-2023</t>
        </is>
      </c>
      <c r="B1249" s="1" t="n">
        <v>45104</v>
      </c>
      <c r="C1249" s="1" t="n">
        <v>45587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28902-2023</t>
        </is>
      </c>
      <c r="B1250" s="1" t="n">
        <v>45104</v>
      </c>
      <c r="C1250" s="1" t="n">
        <v>45587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28903-2023</t>
        </is>
      </c>
      <c r="B1251" s="1" t="n">
        <v>45104</v>
      </c>
      <c r="C1251" s="1" t="n">
        <v>45587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28907-2023</t>
        </is>
      </c>
      <c r="B1252" s="1" t="n">
        <v>45104</v>
      </c>
      <c r="C1252" s="1" t="n">
        <v>45587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28841-2023</t>
        </is>
      </c>
      <c r="B1253" s="1" t="n">
        <v>45104</v>
      </c>
      <c r="C1253" s="1" t="n">
        <v>45587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29031-2023</t>
        </is>
      </c>
      <c r="B1254" s="1" t="n">
        <v>45104</v>
      </c>
      <c r="C1254" s="1" t="n">
        <v>45587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29033-2023</t>
        </is>
      </c>
      <c r="B1255" s="1" t="n">
        <v>45104</v>
      </c>
      <c r="C1255" s="1" t="n">
        <v>45587</v>
      </c>
      <c r="D1255" t="inlineStr">
        <is>
          <t>JÖNKÖPINGS LÄN</t>
        </is>
      </c>
      <c r="E1255" t="inlineStr">
        <is>
          <t>VETLANDA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29037-2023</t>
        </is>
      </c>
      <c r="B1256" s="1" t="n">
        <v>45104</v>
      </c>
      <c r="C1256" s="1" t="n">
        <v>45587</v>
      </c>
      <c r="D1256" t="inlineStr">
        <is>
          <t>JÖNKÖPINGS LÄN</t>
        </is>
      </c>
      <c r="E1256" t="inlineStr">
        <is>
          <t>VETLANDA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29163-2023</t>
        </is>
      </c>
      <c r="B1257" s="1" t="n">
        <v>45105</v>
      </c>
      <c r="C1257" s="1" t="n">
        <v>45587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29279-2023</t>
        </is>
      </c>
      <c r="B1258" s="1" t="n">
        <v>45105</v>
      </c>
      <c r="C1258" s="1" t="n">
        <v>45587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29207-2023</t>
        </is>
      </c>
      <c r="B1259" s="1" t="n">
        <v>45105</v>
      </c>
      <c r="C1259" s="1" t="n">
        <v>45587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29246-2023</t>
        </is>
      </c>
      <c r="B1260" s="1" t="n">
        <v>45105</v>
      </c>
      <c r="C1260" s="1" t="n">
        <v>45587</v>
      </c>
      <c r="D1260" t="inlineStr">
        <is>
          <t>JÖNKÖPINGS LÄN</t>
        </is>
      </c>
      <c r="E1260" t="inlineStr">
        <is>
          <t>VETLANDA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29364-2023</t>
        </is>
      </c>
      <c r="B1261" s="1" t="n">
        <v>45106</v>
      </c>
      <c r="C1261" s="1" t="n">
        <v>45587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29493-2023</t>
        </is>
      </c>
      <c r="B1262" s="1" t="n">
        <v>45106</v>
      </c>
      <c r="C1262" s="1" t="n">
        <v>45587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29676-2023</t>
        </is>
      </c>
      <c r="B1263" s="1" t="n">
        <v>45107</v>
      </c>
      <c r="C1263" s="1" t="n">
        <v>45587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29684-2023</t>
        </is>
      </c>
      <c r="B1264" s="1" t="n">
        <v>45107</v>
      </c>
      <c r="C1264" s="1" t="n">
        <v>45587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29883-2023</t>
        </is>
      </c>
      <c r="B1265" s="1" t="n">
        <v>45107</v>
      </c>
      <c r="C1265" s="1" t="n">
        <v>45587</v>
      </c>
      <c r="D1265" t="inlineStr">
        <is>
          <t>JÖNKÖPINGS LÄN</t>
        </is>
      </c>
      <c r="E1265" t="inlineStr">
        <is>
          <t>VETLANDA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29753-2023</t>
        </is>
      </c>
      <c r="B1266" s="1" t="n">
        <v>45107</v>
      </c>
      <c r="C1266" s="1" t="n">
        <v>45587</v>
      </c>
      <c r="D1266" t="inlineStr">
        <is>
          <t>JÖNKÖPINGS LÄN</t>
        </is>
      </c>
      <c r="E1266" t="inlineStr">
        <is>
          <t>VETLANDA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29810-2023</t>
        </is>
      </c>
      <c r="B1267" s="1" t="n">
        <v>45107</v>
      </c>
      <c r="C1267" s="1" t="n">
        <v>45587</v>
      </c>
      <c r="D1267" t="inlineStr">
        <is>
          <t>JÖNKÖPINGS LÄN</t>
        </is>
      </c>
      <c r="E1267" t="inlineStr">
        <is>
          <t>VETLANDA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29864-2023</t>
        </is>
      </c>
      <c r="B1268" s="1" t="n">
        <v>45107</v>
      </c>
      <c r="C1268" s="1" t="n">
        <v>45587</v>
      </c>
      <c r="D1268" t="inlineStr">
        <is>
          <t>JÖNKÖPINGS LÄN</t>
        </is>
      </c>
      <c r="E1268" t="inlineStr">
        <is>
          <t>VETLANDA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30538-2023</t>
        </is>
      </c>
      <c r="B1269" s="1" t="n">
        <v>45111</v>
      </c>
      <c r="C1269" s="1" t="n">
        <v>45587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30607-2023</t>
        </is>
      </c>
      <c r="B1270" s="1" t="n">
        <v>45112</v>
      </c>
      <c r="C1270" s="1" t="n">
        <v>45587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30613-2023</t>
        </is>
      </c>
      <c r="B1271" s="1" t="n">
        <v>45112</v>
      </c>
      <c r="C1271" s="1" t="n">
        <v>45587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30704-2023</t>
        </is>
      </c>
      <c r="B1272" s="1" t="n">
        <v>45112</v>
      </c>
      <c r="C1272" s="1" t="n">
        <v>45587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31019-2023</t>
        </is>
      </c>
      <c r="B1273" s="1" t="n">
        <v>45113</v>
      </c>
      <c r="C1273" s="1" t="n">
        <v>45587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31010-2023</t>
        </is>
      </c>
      <c r="B1274" s="1" t="n">
        <v>45113</v>
      </c>
      <c r="C1274" s="1" t="n">
        <v>45587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31111-2023</t>
        </is>
      </c>
      <c r="B1275" s="1" t="n">
        <v>45113</v>
      </c>
      <c r="C1275" s="1" t="n">
        <v>45587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31021-2023</t>
        </is>
      </c>
      <c r="B1276" s="1" t="n">
        <v>45113</v>
      </c>
      <c r="C1276" s="1" t="n">
        <v>45587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31016-2023</t>
        </is>
      </c>
      <c r="B1277" s="1" t="n">
        <v>45113</v>
      </c>
      <c r="C1277" s="1" t="n">
        <v>45587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31082-2023</t>
        </is>
      </c>
      <c r="B1278" s="1" t="n">
        <v>45113</v>
      </c>
      <c r="C1278" s="1" t="n">
        <v>45587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31099-2023</t>
        </is>
      </c>
      <c r="B1279" s="1" t="n">
        <v>45113</v>
      </c>
      <c r="C1279" s="1" t="n">
        <v>45587</v>
      </c>
      <c r="D1279" t="inlineStr">
        <is>
          <t>JÖNKÖPINGS LÄN</t>
        </is>
      </c>
      <c r="E1279" t="inlineStr">
        <is>
          <t>VETLANDA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31463-2023</t>
        </is>
      </c>
      <c r="B1280" s="1" t="n">
        <v>45114</v>
      </c>
      <c r="C1280" s="1" t="n">
        <v>45587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31457-2023</t>
        </is>
      </c>
      <c r="B1281" s="1" t="n">
        <v>45114</v>
      </c>
      <c r="C1281" s="1" t="n">
        <v>45587</v>
      </c>
      <c r="D1281" t="inlineStr">
        <is>
          <t>JÖNKÖPINGS LÄN</t>
        </is>
      </c>
      <c r="E1281" t="inlineStr">
        <is>
          <t>VETLANDA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31621-2023</t>
        </is>
      </c>
      <c r="B1282" s="1" t="n">
        <v>45117</v>
      </c>
      <c r="C1282" s="1" t="n">
        <v>45587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31617-2023</t>
        </is>
      </c>
      <c r="B1283" s="1" t="n">
        <v>45117</v>
      </c>
      <c r="C1283" s="1" t="n">
        <v>45587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31618-2023</t>
        </is>
      </c>
      <c r="B1284" s="1" t="n">
        <v>45117</v>
      </c>
      <c r="C1284" s="1" t="n">
        <v>45587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31810-2023</t>
        </is>
      </c>
      <c r="B1285" s="1" t="n">
        <v>45118</v>
      </c>
      <c r="C1285" s="1" t="n">
        <v>45587</v>
      </c>
      <c r="D1285" t="inlineStr">
        <is>
          <t>JÖNKÖPINGS LÄN</t>
        </is>
      </c>
      <c r="E1285" t="inlineStr">
        <is>
          <t>VETLANDA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32142-2023</t>
        </is>
      </c>
      <c r="B1286" s="1" t="n">
        <v>45119</v>
      </c>
      <c r="C1286" s="1" t="n">
        <v>45587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32143-2023</t>
        </is>
      </c>
      <c r="B1287" s="1" t="n">
        <v>45119</v>
      </c>
      <c r="C1287" s="1" t="n">
        <v>45587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32343-2023</t>
        </is>
      </c>
      <c r="B1288" s="1" t="n">
        <v>45120</v>
      </c>
      <c r="C1288" s="1" t="n">
        <v>45587</v>
      </c>
      <c r="D1288" t="inlineStr">
        <is>
          <t>JÖNKÖPINGS LÄN</t>
        </is>
      </c>
      <c r="E1288" t="inlineStr">
        <is>
          <t>VETLANDA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32340-2023</t>
        </is>
      </c>
      <c r="B1289" s="1" t="n">
        <v>45120</v>
      </c>
      <c r="C1289" s="1" t="n">
        <v>45587</v>
      </c>
      <c r="D1289" t="inlineStr">
        <is>
          <t>JÖNKÖPINGS LÄN</t>
        </is>
      </c>
      <c r="E1289" t="inlineStr">
        <is>
          <t>VETLANDA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32777-2023</t>
        </is>
      </c>
      <c r="B1290" s="1" t="n">
        <v>45123</v>
      </c>
      <c r="C1290" s="1" t="n">
        <v>45587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33576-2023</t>
        </is>
      </c>
      <c r="B1291" s="1" t="n">
        <v>45131</v>
      </c>
      <c r="C1291" s="1" t="n">
        <v>45587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33678-2023</t>
        </is>
      </c>
      <c r="B1292" s="1" t="n">
        <v>45132</v>
      </c>
      <c r="C1292" s="1" t="n">
        <v>45587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33681-2023</t>
        </is>
      </c>
      <c r="B1293" s="1" t="n">
        <v>45132</v>
      </c>
      <c r="C1293" s="1" t="n">
        <v>45587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33764-2023</t>
        </is>
      </c>
      <c r="B1294" s="1" t="n">
        <v>45133</v>
      </c>
      <c r="C1294" s="1" t="n">
        <v>45587</v>
      </c>
      <c r="D1294" t="inlineStr">
        <is>
          <t>JÖNKÖPINGS LÄN</t>
        </is>
      </c>
      <c r="E1294" t="inlineStr">
        <is>
          <t>VETLANDA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33779-2023</t>
        </is>
      </c>
      <c r="B1295" s="1" t="n">
        <v>45133</v>
      </c>
      <c r="C1295" s="1" t="n">
        <v>45587</v>
      </c>
      <c r="D1295" t="inlineStr">
        <is>
          <t>JÖNKÖPINGS LÄN</t>
        </is>
      </c>
      <c r="E1295" t="inlineStr">
        <is>
          <t>VETLANDA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33767-2023</t>
        </is>
      </c>
      <c r="B1296" s="1" t="n">
        <v>45133</v>
      </c>
      <c r="C1296" s="1" t="n">
        <v>45587</v>
      </c>
      <c r="D1296" t="inlineStr">
        <is>
          <t>JÖNKÖPINGS LÄN</t>
        </is>
      </c>
      <c r="E1296" t="inlineStr">
        <is>
          <t>VETLANDA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33934-2023</t>
        </is>
      </c>
      <c r="B1297" s="1" t="n">
        <v>45134</v>
      </c>
      <c r="C1297" s="1" t="n">
        <v>45587</v>
      </c>
      <c r="D1297" t="inlineStr">
        <is>
          <t>JÖNKÖPINGS LÄN</t>
        </is>
      </c>
      <c r="E1297" t="inlineStr">
        <is>
          <t>VETLANDA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33931-2023</t>
        </is>
      </c>
      <c r="B1298" s="1" t="n">
        <v>45134</v>
      </c>
      <c r="C1298" s="1" t="n">
        <v>45587</v>
      </c>
      <c r="D1298" t="inlineStr">
        <is>
          <t>JÖNKÖPINGS LÄN</t>
        </is>
      </c>
      <c r="E1298" t="inlineStr">
        <is>
          <t>VETLANDA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33935-2023</t>
        </is>
      </c>
      <c r="B1299" s="1" t="n">
        <v>45134</v>
      </c>
      <c r="C1299" s="1" t="n">
        <v>45587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33932-2023</t>
        </is>
      </c>
      <c r="B1300" s="1" t="n">
        <v>45134</v>
      </c>
      <c r="C1300" s="1" t="n">
        <v>45587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34072-2023</t>
        </is>
      </c>
      <c r="B1301" s="1" t="n">
        <v>45135</v>
      </c>
      <c r="C1301" s="1" t="n">
        <v>45587</v>
      </c>
      <c r="D1301" t="inlineStr">
        <is>
          <t>JÖNKÖPINGS LÄN</t>
        </is>
      </c>
      <c r="E1301" t="inlineStr">
        <is>
          <t>VETLANDA</t>
        </is>
      </c>
      <c r="G1301" t="n">
        <v>10.2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34069-2023</t>
        </is>
      </c>
      <c r="B1302" s="1" t="n">
        <v>45135</v>
      </c>
      <c r="C1302" s="1" t="n">
        <v>45587</v>
      </c>
      <c r="D1302" t="inlineStr">
        <is>
          <t>JÖNKÖPINGS LÄN</t>
        </is>
      </c>
      <c r="E1302" t="inlineStr">
        <is>
          <t>VETLANDA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34102-2023</t>
        </is>
      </c>
      <c r="B1303" s="1" t="n">
        <v>45135</v>
      </c>
      <c r="C1303" s="1" t="n">
        <v>45587</v>
      </c>
      <c r="D1303" t="inlineStr">
        <is>
          <t>JÖNKÖPINGS LÄN</t>
        </is>
      </c>
      <c r="E1303" t="inlineStr">
        <is>
          <t>VETLANDA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34106-2023</t>
        </is>
      </c>
      <c r="B1304" s="1" t="n">
        <v>45135</v>
      </c>
      <c r="C1304" s="1" t="n">
        <v>45587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34099-2023</t>
        </is>
      </c>
      <c r="B1305" s="1" t="n">
        <v>45135</v>
      </c>
      <c r="C1305" s="1" t="n">
        <v>45587</v>
      </c>
      <c r="D1305" t="inlineStr">
        <is>
          <t>JÖNKÖPINGS LÄN</t>
        </is>
      </c>
      <c r="E1305" t="inlineStr">
        <is>
          <t>VETLANDA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34061-2023</t>
        </is>
      </c>
      <c r="B1306" s="1" t="n">
        <v>45135</v>
      </c>
      <c r="C1306" s="1" t="n">
        <v>45587</v>
      </c>
      <c r="D1306" t="inlineStr">
        <is>
          <t>JÖNKÖPINGS LÄN</t>
        </is>
      </c>
      <c r="E1306" t="inlineStr">
        <is>
          <t>VETLANDA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34068-2023</t>
        </is>
      </c>
      <c r="B1307" s="1" t="n">
        <v>45135</v>
      </c>
      <c r="C1307" s="1" t="n">
        <v>45587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35084-2023</t>
        </is>
      </c>
      <c r="B1308" s="1" t="n">
        <v>45145</v>
      </c>
      <c r="C1308" s="1" t="n">
        <v>45587</v>
      </c>
      <c r="D1308" t="inlineStr">
        <is>
          <t>JÖNKÖPINGS LÄN</t>
        </is>
      </c>
      <c r="E1308" t="inlineStr">
        <is>
          <t>VETLANDA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35330-2023</t>
        </is>
      </c>
      <c r="B1309" s="1" t="n">
        <v>45146</v>
      </c>
      <c r="C1309" s="1" t="n">
        <v>45587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35332-2023</t>
        </is>
      </c>
      <c r="B1310" s="1" t="n">
        <v>45146</v>
      </c>
      <c r="C1310" s="1" t="n">
        <v>45587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35837-2023</t>
        </is>
      </c>
      <c r="B1311" s="1" t="n">
        <v>45148</v>
      </c>
      <c r="C1311" s="1" t="n">
        <v>45587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36263-2023</t>
        </is>
      </c>
      <c r="B1312" s="1" t="n">
        <v>45152</v>
      </c>
      <c r="C1312" s="1" t="n">
        <v>45587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36389-2023</t>
        </is>
      </c>
      <c r="B1313" s="1" t="n">
        <v>45152</v>
      </c>
      <c r="C1313" s="1" t="n">
        <v>45587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36281-2023</t>
        </is>
      </c>
      <c r="B1314" s="1" t="n">
        <v>45152</v>
      </c>
      <c r="C1314" s="1" t="n">
        <v>45587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36311-2023</t>
        </is>
      </c>
      <c r="B1315" s="1" t="n">
        <v>45152</v>
      </c>
      <c r="C1315" s="1" t="n">
        <v>45587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36441-2023</t>
        </is>
      </c>
      <c r="B1316" s="1" t="n">
        <v>45152</v>
      </c>
      <c r="C1316" s="1" t="n">
        <v>45587</v>
      </c>
      <c r="D1316" t="inlineStr">
        <is>
          <t>JÖNKÖPINGS LÄN</t>
        </is>
      </c>
      <c r="E1316" t="inlineStr">
        <is>
          <t>VETLANDA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36440-2023</t>
        </is>
      </c>
      <c r="B1317" s="1" t="n">
        <v>45152</v>
      </c>
      <c r="C1317" s="1" t="n">
        <v>45587</v>
      </c>
      <c r="D1317" t="inlineStr">
        <is>
          <t>JÖNKÖPINGS LÄN</t>
        </is>
      </c>
      <c r="E1317" t="inlineStr">
        <is>
          <t>VETLANDA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36608-2023</t>
        </is>
      </c>
      <c r="B1318" s="1" t="n">
        <v>45153</v>
      </c>
      <c r="C1318" s="1" t="n">
        <v>45587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36630-2023</t>
        </is>
      </c>
      <c r="B1319" s="1" t="n">
        <v>45153</v>
      </c>
      <c r="C1319" s="1" t="n">
        <v>45587</v>
      </c>
      <c r="D1319" t="inlineStr">
        <is>
          <t>JÖNKÖPINGS LÄN</t>
        </is>
      </c>
      <c r="E1319" t="inlineStr">
        <is>
          <t>VETLANDA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36953-2023</t>
        </is>
      </c>
      <c r="B1320" s="1" t="n">
        <v>45155</v>
      </c>
      <c r="C1320" s="1" t="n">
        <v>45587</v>
      </c>
      <c r="D1320" t="inlineStr">
        <is>
          <t>JÖNKÖPINGS LÄN</t>
        </is>
      </c>
      <c r="E1320" t="inlineStr">
        <is>
          <t>VETLANDA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37005-2023</t>
        </is>
      </c>
      <c r="B1321" s="1" t="n">
        <v>45155</v>
      </c>
      <c r="C1321" s="1" t="n">
        <v>45587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37004-2023</t>
        </is>
      </c>
      <c r="B1322" s="1" t="n">
        <v>45155</v>
      </c>
      <c r="C1322" s="1" t="n">
        <v>45587</v>
      </c>
      <c r="D1322" t="inlineStr">
        <is>
          <t>JÖNKÖPINGS LÄN</t>
        </is>
      </c>
      <c r="E1322" t="inlineStr">
        <is>
          <t>VETLANDA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37002-2023</t>
        </is>
      </c>
      <c r="B1323" s="1" t="n">
        <v>45155</v>
      </c>
      <c r="C1323" s="1" t="n">
        <v>45587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37874-2023</t>
        </is>
      </c>
      <c r="B1324" s="1" t="n">
        <v>45160</v>
      </c>
      <c r="C1324" s="1" t="n">
        <v>45587</v>
      </c>
      <c r="D1324" t="inlineStr">
        <is>
          <t>JÖNKÖPINGS LÄN</t>
        </is>
      </c>
      <c r="E1324" t="inlineStr">
        <is>
          <t>VETLANDA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38196-2023</t>
        </is>
      </c>
      <c r="B1325" s="1" t="n">
        <v>45161</v>
      </c>
      <c r="C1325" s="1" t="n">
        <v>45587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38241-2023</t>
        </is>
      </c>
      <c r="B1326" s="1" t="n">
        <v>45161</v>
      </c>
      <c r="C1326" s="1" t="n">
        <v>45587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38189-2023</t>
        </is>
      </c>
      <c r="B1327" s="1" t="n">
        <v>45161</v>
      </c>
      <c r="C1327" s="1" t="n">
        <v>45587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38239-2023</t>
        </is>
      </c>
      <c r="B1328" s="1" t="n">
        <v>45161</v>
      </c>
      <c r="C1328" s="1" t="n">
        <v>45587</v>
      </c>
      <c r="D1328" t="inlineStr">
        <is>
          <t>JÖNKÖPINGS LÄN</t>
        </is>
      </c>
      <c r="E1328" t="inlineStr">
        <is>
          <t>VETLANDA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38339-2023</t>
        </is>
      </c>
      <c r="B1329" s="1" t="n">
        <v>45161</v>
      </c>
      <c r="C1329" s="1" t="n">
        <v>45587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39193-2023</t>
        </is>
      </c>
      <c r="B1330" s="1" t="n">
        <v>45162</v>
      </c>
      <c r="C1330" s="1" t="n">
        <v>45587</v>
      </c>
      <c r="D1330" t="inlineStr">
        <is>
          <t>JÖNKÖPINGS LÄN</t>
        </is>
      </c>
      <c r="E1330" t="inlineStr">
        <is>
          <t>VETLANDA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38630-2023</t>
        </is>
      </c>
      <c r="B1331" s="1" t="n">
        <v>45162</v>
      </c>
      <c r="C1331" s="1" t="n">
        <v>45587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38940-2023</t>
        </is>
      </c>
      <c r="B1332" s="1" t="n">
        <v>45163</v>
      </c>
      <c r="C1332" s="1" t="n">
        <v>45587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38705-2023</t>
        </is>
      </c>
      <c r="B1333" s="1" t="n">
        <v>45163</v>
      </c>
      <c r="C1333" s="1" t="n">
        <v>45587</v>
      </c>
      <c r="D1333" t="inlineStr">
        <is>
          <t>JÖNKÖPINGS LÄN</t>
        </is>
      </c>
      <c r="E1333" t="inlineStr">
        <is>
          <t>VETLANDA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38932-2023</t>
        </is>
      </c>
      <c r="B1334" s="1" t="n">
        <v>45163</v>
      </c>
      <c r="C1334" s="1" t="n">
        <v>45587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38942-2023</t>
        </is>
      </c>
      <c r="B1335" s="1" t="n">
        <v>45163</v>
      </c>
      <c r="C1335" s="1" t="n">
        <v>45587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38964-2023</t>
        </is>
      </c>
      <c r="B1336" s="1" t="n">
        <v>45163</v>
      </c>
      <c r="C1336" s="1" t="n">
        <v>45587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38998-2023</t>
        </is>
      </c>
      <c r="B1337" s="1" t="n">
        <v>45163</v>
      </c>
      <c r="C1337" s="1" t="n">
        <v>45587</v>
      </c>
      <c r="D1337" t="inlineStr">
        <is>
          <t>JÖNKÖPINGS LÄN</t>
        </is>
      </c>
      <c r="E1337" t="inlineStr">
        <is>
          <t>VETLANDA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39109-2023</t>
        </is>
      </c>
      <c r="B1338" s="1" t="n">
        <v>45164</v>
      </c>
      <c r="C1338" s="1" t="n">
        <v>45587</v>
      </c>
      <c r="D1338" t="inlineStr">
        <is>
          <t>JÖNKÖPINGS LÄN</t>
        </is>
      </c>
      <c r="E1338" t="inlineStr">
        <is>
          <t>VETLANDA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39087-2023</t>
        </is>
      </c>
      <c r="B1339" s="1" t="n">
        <v>45164</v>
      </c>
      <c r="C1339" s="1" t="n">
        <v>45587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39089-2023</t>
        </is>
      </c>
      <c r="B1340" s="1" t="n">
        <v>45164</v>
      </c>
      <c r="C1340" s="1" t="n">
        <v>45587</v>
      </c>
      <c r="D1340" t="inlineStr">
        <is>
          <t>JÖNKÖPINGS LÄN</t>
        </is>
      </c>
      <c r="E1340" t="inlineStr">
        <is>
          <t>VETLANDA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39110-2023</t>
        </is>
      </c>
      <c r="B1341" s="1" t="n">
        <v>45164</v>
      </c>
      <c r="C1341" s="1" t="n">
        <v>45587</v>
      </c>
      <c r="D1341" t="inlineStr">
        <is>
          <t>JÖNKÖPINGS LÄN</t>
        </is>
      </c>
      <c r="E1341" t="inlineStr">
        <is>
          <t>VETLANDA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39165-2023</t>
        </is>
      </c>
      <c r="B1342" s="1" t="n">
        <v>45166</v>
      </c>
      <c r="C1342" s="1" t="n">
        <v>45587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39618-2023</t>
        </is>
      </c>
      <c r="B1343" s="1" t="n">
        <v>45167</v>
      </c>
      <c r="C1343" s="1" t="n">
        <v>45587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39619-2023</t>
        </is>
      </c>
      <c r="B1344" s="1" t="n">
        <v>45167</v>
      </c>
      <c r="C1344" s="1" t="n">
        <v>45587</v>
      </c>
      <c r="D1344" t="inlineStr">
        <is>
          <t>JÖNKÖPINGS LÄN</t>
        </is>
      </c>
      <c r="E1344" t="inlineStr">
        <is>
          <t>VETLANDA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39854-2023</t>
        </is>
      </c>
      <c r="B1345" s="1" t="n">
        <v>45168</v>
      </c>
      <c r="C1345" s="1" t="n">
        <v>45587</v>
      </c>
      <c r="D1345" t="inlineStr">
        <is>
          <t>JÖNKÖPINGS LÄN</t>
        </is>
      </c>
      <c r="E1345" t="inlineStr">
        <is>
          <t>VETLANDA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40051-2023</t>
        </is>
      </c>
      <c r="B1346" s="1" t="n">
        <v>45168</v>
      </c>
      <c r="C1346" s="1" t="n">
        <v>45587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40057-2023</t>
        </is>
      </c>
      <c r="B1347" s="1" t="n">
        <v>45168</v>
      </c>
      <c r="C1347" s="1" t="n">
        <v>45587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39852-2023</t>
        </is>
      </c>
      <c r="B1348" s="1" t="n">
        <v>45168</v>
      </c>
      <c r="C1348" s="1" t="n">
        <v>45587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39860-2023</t>
        </is>
      </c>
      <c r="B1349" s="1" t="n">
        <v>45168</v>
      </c>
      <c r="C1349" s="1" t="n">
        <v>45587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39868-2023</t>
        </is>
      </c>
      <c r="B1350" s="1" t="n">
        <v>45168</v>
      </c>
      <c r="C1350" s="1" t="n">
        <v>45587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39855-2023</t>
        </is>
      </c>
      <c r="B1351" s="1" t="n">
        <v>45168</v>
      </c>
      <c r="C1351" s="1" t="n">
        <v>45587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39859-2023</t>
        </is>
      </c>
      <c r="B1352" s="1" t="n">
        <v>45168</v>
      </c>
      <c r="C1352" s="1" t="n">
        <v>45587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40446-2023</t>
        </is>
      </c>
      <c r="B1353" s="1" t="n">
        <v>45170</v>
      </c>
      <c r="C1353" s="1" t="n">
        <v>45587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40485-2023</t>
        </is>
      </c>
      <c r="B1354" s="1" t="n">
        <v>45170</v>
      </c>
      <c r="C1354" s="1" t="n">
        <v>45587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40459-2023</t>
        </is>
      </c>
      <c r="B1355" s="1" t="n">
        <v>45170</v>
      </c>
      <c r="C1355" s="1" t="n">
        <v>45587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40448-2023</t>
        </is>
      </c>
      <c r="B1356" s="1" t="n">
        <v>45170</v>
      </c>
      <c r="C1356" s="1" t="n">
        <v>45587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40453-2023</t>
        </is>
      </c>
      <c r="B1357" s="1" t="n">
        <v>45170</v>
      </c>
      <c r="C1357" s="1" t="n">
        <v>45587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40462-2023</t>
        </is>
      </c>
      <c r="B1358" s="1" t="n">
        <v>45170</v>
      </c>
      <c r="C1358" s="1" t="n">
        <v>45587</v>
      </c>
      <c r="D1358" t="inlineStr">
        <is>
          <t>JÖNKÖPINGS LÄN</t>
        </is>
      </c>
      <c r="E1358" t="inlineStr">
        <is>
          <t>VETLANDA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40474-2023</t>
        </is>
      </c>
      <c r="B1359" s="1" t="n">
        <v>45170</v>
      </c>
      <c r="C1359" s="1" t="n">
        <v>45587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40507-2023</t>
        </is>
      </c>
      <c r="B1360" s="1" t="n">
        <v>45170</v>
      </c>
      <c r="C1360" s="1" t="n">
        <v>45587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40447-2023</t>
        </is>
      </c>
      <c r="B1361" s="1" t="n">
        <v>45170</v>
      </c>
      <c r="C1361" s="1" t="n">
        <v>45587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40469-2023</t>
        </is>
      </c>
      <c r="B1362" s="1" t="n">
        <v>45170</v>
      </c>
      <c r="C1362" s="1" t="n">
        <v>45587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40486-2023</t>
        </is>
      </c>
      <c r="B1363" s="1" t="n">
        <v>45170</v>
      </c>
      <c r="C1363" s="1" t="n">
        <v>45587</v>
      </c>
      <c r="D1363" t="inlineStr">
        <is>
          <t>JÖNKÖPINGS LÄN</t>
        </is>
      </c>
      <c r="E1363" t="inlineStr">
        <is>
          <t>VETLANDA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40615-2023</t>
        </is>
      </c>
      <c r="B1364" s="1" t="n">
        <v>45170</v>
      </c>
      <c r="C1364" s="1" t="n">
        <v>45587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40886-2023</t>
        </is>
      </c>
      <c r="B1365" s="1" t="n">
        <v>45173</v>
      </c>
      <c r="C1365" s="1" t="n">
        <v>45587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40890-2023</t>
        </is>
      </c>
      <c r="B1366" s="1" t="n">
        <v>45173</v>
      </c>
      <c r="C1366" s="1" t="n">
        <v>45587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40876-2023</t>
        </is>
      </c>
      <c r="B1367" s="1" t="n">
        <v>45173</v>
      </c>
      <c r="C1367" s="1" t="n">
        <v>45587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40884-2023</t>
        </is>
      </c>
      <c r="B1368" s="1" t="n">
        <v>45173</v>
      </c>
      <c r="C1368" s="1" t="n">
        <v>45587</v>
      </c>
      <c r="D1368" t="inlineStr">
        <is>
          <t>JÖNKÖPINGS LÄN</t>
        </is>
      </c>
      <c r="E1368" t="inlineStr">
        <is>
          <t>VETLANDA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41179-2023</t>
        </is>
      </c>
      <c r="B1369" s="1" t="n">
        <v>45174</v>
      </c>
      <c r="C1369" s="1" t="n">
        <v>45587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41184-2023</t>
        </is>
      </c>
      <c r="B1370" s="1" t="n">
        <v>45174</v>
      </c>
      <c r="C1370" s="1" t="n">
        <v>45587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41167-2023</t>
        </is>
      </c>
      <c r="B1371" s="1" t="n">
        <v>45174</v>
      </c>
      <c r="C1371" s="1" t="n">
        <v>45587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41307-2023</t>
        </is>
      </c>
      <c r="B1372" s="1" t="n">
        <v>45174</v>
      </c>
      <c r="C1372" s="1" t="n">
        <v>45587</v>
      </c>
      <c r="D1372" t="inlineStr">
        <is>
          <t>JÖNKÖPINGS LÄN</t>
        </is>
      </c>
      <c r="E1372" t="inlineStr">
        <is>
          <t>VETLANDA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41317-2023</t>
        </is>
      </c>
      <c r="B1373" s="1" t="n">
        <v>45174</v>
      </c>
      <c r="C1373" s="1" t="n">
        <v>45587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41176-2023</t>
        </is>
      </c>
      <c r="B1374" s="1" t="n">
        <v>45174</v>
      </c>
      <c r="C1374" s="1" t="n">
        <v>45587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41180-2023</t>
        </is>
      </c>
      <c r="B1375" s="1" t="n">
        <v>45174</v>
      </c>
      <c r="C1375" s="1" t="n">
        <v>45587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41185-2023</t>
        </is>
      </c>
      <c r="B1376" s="1" t="n">
        <v>45174</v>
      </c>
      <c r="C1376" s="1" t="n">
        <v>45587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41330-2023</t>
        </is>
      </c>
      <c r="B1377" s="1" t="n">
        <v>45174</v>
      </c>
      <c r="C1377" s="1" t="n">
        <v>45587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41173-2023</t>
        </is>
      </c>
      <c r="B1378" s="1" t="n">
        <v>45174</v>
      </c>
      <c r="C1378" s="1" t="n">
        <v>45587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41178-2023</t>
        </is>
      </c>
      <c r="B1379" s="1" t="n">
        <v>45174</v>
      </c>
      <c r="C1379" s="1" t="n">
        <v>45587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41320-2023</t>
        </is>
      </c>
      <c r="B1380" s="1" t="n">
        <v>45174</v>
      </c>
      <c r="C1380" s="1" t="n">
        <v>45587</v>
      </c>
      <c r="D1380" t="inlineStr">
        <is>
          <t>JÖNKÖPINGS LÄN</t>
        </is>
      </c>
      <c r="E1380" t="inlineStr">
        <is>
          <t>VETLANDA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41309-2023</t>
        </is>
      </c>
      <c r="B1381" s="1" t="n">
        <v>45174</v>
      </c>
      <c r="C1381" s="1" t="n">
        <v>45587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41421-2023</t>
        </is>
      </c>
      <c r="B1382" s="1" t="n">
        <v>45175</v>
      </c>
      <c r="C1382" s="1" t="n">
        <v>45587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41502-2023</t>
        </is>
      </c>
      <c r="B1383" s="1" t="n">
        <v>45175</v>
      </c>
      <c r="C1383" s="1" t="n">
        <v>45587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41754-2023</t>
        </is>
      </c>
      <c r="B1384" s="1" t="n">
        <v>45176</v>
      </c>
      <c r="C1384" s="1" t="n">
        <v>45587</v>
      </c>
      <c r="D1384" t="inlineStr">
        <is>
          <t>JÖNKÖPINGS LÄN</t>
        </is>
      </c>
      <c r="E1384" t="inlineStr">
        <is>
          <t>VETLANDA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42826-2023</t>
        </is>
      </c>
      <c r="B1385" s="1" t="n">
        <v>45177</v>
      </c>
      <c r="C1385" s="1" t="n">
        <v>45587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Kyrkan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42850-2023</t>
        </is>
      </c>
      <c r="B1386" s="1" t="n">
        <v>45177</v>
      </c>
      <c r="C1386" s="1" t="n">
        <v>45587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Kyrkan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42493-2023</t>
        </is>
      </c>
      <c r="B1387" s="1" t="n">
        <v>45180</v>
      </c>
      <c r="C1387" s="1" t="n">
        <v>45587</v>
      </c>
      <c r="D1387" t="inlineStr">
        <is>
          <t>JÖNKÖPINGS LÄN</t>
        </is>
      </c>
      <c r="E1387" t="inlineStr">
        <is>
          <t>VETLANDA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42492-2023</t>
        </is>
      </c>
      <c r="B1388" s="1" t="n">
        <v>45180</v>
      </c>
      <c r="C1388" s="1" t="n">
        <v>45587</v>
      </c>
      <c r="D1388" t="inlineStr">
        <is>
          <t>JÖNKÖPINGS LÄN</t>
        </is>
      </c>
      <c r="E1388" t="inlineStr">
        <is>
          <t>VETLANDA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42757-2023</t>
        </is>
      </c>
      <c r="B1389" s="1" t="n">
        <v>45181</v>
      </c>
      <c r="C1389" s="1" t="n">
        <v>45587</v>
      </c>
      <c r="D1389" t="inlineStr">
        <is>
          <t>JÖNKÖPINGS LÄN</t>
        </is>
      </c>
      <c r="E1389" t="inlineStr">
        <is>
          <t>VETLANDA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42901-2023</t>
        </is>
      </c>
      <c r="B1390" s="1" t="n">
        <v>45182</v>
      </c>
      <c r="C1390" s="1" t="n">
        <v>45587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42880-2023</t>
        </is>
      </c>
      <c r="B1391" s="1" t="n">
        <v>45182</v>
      </c>
      <c r="C1391" s="1" t="n">
        <v>45587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42902-2023</t>
        </is>
      </c>
      <c r="B1392" s="1" t="n">
        <v>45182</v>
      </c>
      <c r="C1392" s="1" t="n">
        <v>45587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42878-2023</t>
        </is>
      </c>
      <c r="B1393" s="1" t="n">
        <v>45182</v>
      </c>
      <c r="C1393" s="1" t="n">
        <v>45587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42990-2023</t>
        </is>
      </c>
      <c r="B1394" s="1" t="n">
        <v>45182</v>
      </c>
      <c r="C1394" s="1" t="n">
        <v>45587</v>
      </c>
      <c r="D1394" t="inlineStr">
        <is>
          <t>JÖNKÖPINGS LÄN</t>
        </is>
      </c>
      <c r="E1394" t="inlineStr">
        <is>
          <t>VETLANDA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43156-2023</t>
        </is>
      </c>
      <c r="B1395" s="1" t="n">
        <v>45183</v>
      </c>
      <c r="C1395" s="1" t="n">
        <v>45587</v>
      </c>
      <c r="D1395" t="inlineStr">
        <is>
          <t>JÖNKÖPINGS LÄN</t>
        </is>
      </c>
      <c r="E1395" t="inlineStr">
        <is>
          <t>VETLANDA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43195-2023</t>
        </is>
      </c>
      <c r="B1396" s="1" t="n">
        <v>45183</v>
      </c>
      <c r="C1396" s="1" t="n">
        <v>45587</v>
      </c>
      <c r="D1396" t="inlineStr">
        <is>
          <t>JÖNKÖPINGS LÄN</t>
        </is>
      </c>
      <c r="E1396" t="inlineStr">
        <is>
          <t>VETLANDA</t>
        </is>
      </c>
      <c r="G1396" t="n">
        <v>11.9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43234-2023</t>
        </is>
      </c>
      <c r="B1397" s="1" t="n">
        <v>45183</v>
      </c>
      <c r="C1397" s="1" t="n">
        <v>45587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43158-2023</t>
        </is>
      </c>
      <c r="B1398" s="1" t="n">
        <v>45183</v>
      </c>
      <c r="C1398" s="1" t="n">
        <v>45587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43147-2023</t>
        </is>
      </c>
      <c r="B1399" s="1" t="n">
        <v>45183</v>
      </c>
      <c r="C1399" s="1" t="n">
        <v>45587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43159-2023</t>
        </is>
      </c>
      <c r="B1400" s="1" t="n">
        <v>45183</v>
      </c>
      <c r="C1400" s="1" t="n">
        <v>45587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43336-2023</t>
        </is>
      </c>
      <c r="B1401" s="1" t="n">
        <v>45183</v>
      </c>
      <c r="C1401" s="1" t="n">
        <v>45587</v>
      </c>
      <c r="D1401" t="inlineStr">
        <is>
          <t>JÖNKÖPINGS LÄN</t>
        </is>
      </c>
      <c r="E1401" t="inlineStr">
        <is>
          <t>VETLANDA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43341-2023</t>
        </is>
      </c>
      <c r="B1402" s="1" t="n">
        <v>45183</v>
      </c>
      <c r="C1402" s="1" t="n">
        <v>45587</v>
      </c>
      <c r="D1402" t="inlineStr">
        <is>
          <t>JÖNKÖPINGS LÄN</t>
        </is>
      </c>
      <c r="E1402" t="inlineStr">
        <is>
          <t>VETLANDA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43559-2023</t>
        </is>
      </c>
      <c r="B1403" s="1" t="n">
        <v>45184</v>
      </c>
      <c r="C1403" s="1" t="n">
        <v>45587</v>
      </c>
      <c r="D1403" t="inlineStr">
        <is>
          <t>JÖNKÖPINGS LÄN</t>
        </is>
      </c>
      <c r="E1403" t="inlineStr">
        <is>
          <t>VETLANDA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43555-2023</t>
        </is>
      </c>
      <c r="B1404" s="1" t="n">
        <v>45184</v>
      </c>
      <c r="C1404" s="1" t="n">
        <v>45587</v>
      </c>
      <c r="D1404" t="inlineStr">
        <is>
          <t>JÖNKÖPINGS LÄN</t>
        </is>
      </c>
      <c r="E1404" t="inlineStr">
        <is>
          <t>VETLANDA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44307-2023</t>
        </is>
      </c>
      <c r="B1405" s="1" t="n">
        <v>45188</v>
      </c>
      <c r="C1405" s="1" t="n">
        <v>45587</v>
      </c>
      <c r="D1405" t="inlineStr">
        <is>
          <t>JÖNKÖPINGS LÄN</t>
        </is>
      </c>
      <c r="E1405" t="inlineStr">
        <is>
          <t>VETLANDA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44316-2023</t>
        </is>
      </c>
      <c r="B1406" s="1" t="n">
        <v>45188</v>
      </c>
      <c r="C1406" s="1" t="n">
        <v>45587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44300-2023</t>
        </is>
      </c>
      <c r="B1407" s="1" t="n">
        <v>45188</v>
      </c>
      <c r="C1407" s="1" t="n">
        <v>45587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44349-2023</t>
        </is>
      </c>
      <c r="B1408" s="1" t="n">
        <v>45188</v>
      </c>
      <c r="C1408" s="1" t="n">
        <v>45587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44331-2023</t>
        </is>
      </c>
      <c r="B1409" s="1" t="n">
        <v>45188</v>
      </c>
      <c r="C1409" s="1" t="n">
        <v>45587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44351-2023</t>
        </is>
      </c>
      <c r="B1410" s="1" t="n">
        <v>45188</v>
      </c>
      <c r="C1410" s="1" t="n">
        <v>45587</v>
      </c>
      <c r="D1410" t="inlineStr">
        <is>
          <t>JÖNKÖPINGS LÄN</t>
        </is>
      </c>
      <c r="E1410" t="inlineStr">
        <is>
          <t>VETLANDA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44352-2023</t>
        </is>
      </c>
      <c r="B1411" s="1" t="n">
        <v>45188</v>
      </c>
      <c r="C1411" s="1" t="n">
        <v>45587</v>
      </c>
      <c r="D1411" t="inlineStr">
        <is>
          <t>JÖNKÖPINGS LÄN</t>
        </is>
      </c>
      <c r="E1411" t="inlineStr">
        <is>
          <t>VETLANDA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44334-2023</t>
        </is>
      </c>
      <c r="B1412" s="1" t="n">
        <v>45188</v>
      </c>
      <c r="C1412" s="1" t="n">
        <v>45587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44467-2023</t>
        </is>
      </c>
      <c r="B1413" s="1" t="n">
        <v>45189</v>
      </c>
      <c r="C1413" s="1" t="n">
        <v>45587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44464-2023</t>
        </is>
      </c>
      <c r="B1414" s="1" t="n">
        <v>45189</v>
      </c>
      <c r="C1414" s="1" t="n">
        <v>45587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44635-2023</t>
        </is>
      </c>
      <c r="B1415" s="1" t="n">
        <v>45189</v>
      </c>
      <c r="C1415" s="1" t="n">
        <v>45587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44698-2023</t>
        </is>
      </c>
      <c r="B1416" s="1" t="n">
        <v>45190</v>
      </c>
      <c r="C1416" s="1" t="n">
        <v>45587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46133-2023</t>
        </is>
      </c>
      <c r="B1417" s="1" t="n">
        <v>45190</v>
      </c>
      <c r="C1417" s="1" t="n">
        <v>45587</v>
      </c>
      <c r="D1417" t="inlineStr">
        <is>
          <t>JÖNKÖPINGS LÄN</t>
        </is>
      </c>
      <c r="E1417" t="inlineStr">
        <is>
          <t>VETLANDA</t>
        </is>
      </c>
      <c r="G1417" t="n">
        <v>7.1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45171-2023</t>
        </is>
      </c>
      <c r="B1418" s="1" t="n">
        <v>45191</v>
      </c>
      <c r="C1418" s="1" t="n">
        <v>45587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45050-2023</t>
        </is>
      </c>
      <c r="B1419" s="1" t="n">
        <v>45191</v>
      </c>
      <c r="C1419" s="1" t="n">
        <v>45587</v>
      </c>
      <c r="D1419" t="inlineStr">
        <is>
          <t>JÖNKÖPINGS LÄN</t>
        </is>
      </c>
      <c r="E1419" t="inlineStr">
        <is>
          <t>VETLANDA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45882-2023</t>
        </is>
      </c>
      <c r="B1420" s="1" t="n">
        <v>45195</v>
      </c>
      <c r="C1420" s="1" t="n">
        <v>45587</v>
      </c>
      <c r="D1420" t="inlineStr">
        <is>
          <t>JÖNKÖPINGS LÄN</t>
        </is>
      </c>
      <c r="E1420" t="inlineStr">
        <is>
          <t>VETLANDA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45863-2023</t>
        </is>
      </c>
      <c r="B1421" s="1" t="n">
        <v>45195</v>
      </c>
      <c r="C1421" s="1" t="n">
        <v>45587</v>
      </c>
      <c r="D1421" t="inlineStr">
        <is>
          <t>JÖNKÖPINGS LÄN</t>
        </is>
      </c>
      <c r="E1421" t="inlineStr">
        <is>
          <t>VETLANDA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47113-2023</t>
        </is>
      </c>
      <c r="B1422" s="1" t="n">
        <v>45201</v>
      </c>
      <c r="C1422" s="1" t="n">
        <v>45587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47106-2023</t>
        </is>
      </c>
      <c r="B1423" s="1" t="n">
        <v>45201</v>
      </c>
      <c r="C1423" s="1" t="n">
        <v>45587</v>
      </c>
      <c r="D1423" t="inlineStr">
        <is>
          <t>JÖNKÖPINGS LÄN</t>
        </is>
      </c>
      <c r="E1423" t="inlineStr">
        <is>
          <t>VETLANDA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48393-2023</t>
        </is>
      </c>
      <c r="B1424" s="1" t="n">
        <v>45201</v>
      </c>
      <c r="C1424" s="1" t="n">
        <v>45587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Kyrkan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47226-2023</t>
        </is>
      </c>
      <c r="B1425" s="1" t="n">
        <v>45202</v>
      </c>
      <c r="C1425" s="1" t="n">
        <v>45587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47240-2023</t>
        </is>
      </c>
      <c r="B1426" s="1" t="n">
        <v>45202</v>
      </c>
      <c r="C1426" s="1" t="n">
        <v>45587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47370-2023</t>
        </is>
      </c>
      <c r="B1427" s="1" t="n">
        <v>45202</v>
      </c>
      <c r="C1427" s="1" t="n">
        <v>45587</v>
      </c>
      <c r="D1427" t="inlineStr">
        <is>
          <t>JÖNKÖPINGS LÄN</t>
        </is>
      </c>
      <c r="E1427" t="inlineStr">
        <is>
          <t>VETLANDA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47811-2023</t>
        </is>
      </c>
      <c r="B1428" s="1" t="n">
        <v>45204</v>
      </c>
      <c r="C1428" s="1" t="n">
        <v>45587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47888-2023</t>
        </is>
      </c>
      <c r="B1429" s="1" t="n">
        <v>45204</v>
      </c>
      <c r="C1429" s="1" t="n">
        <v>45587</v>
      </c>
      <c r="D1429" t="inlineStr">
        <is>
          <t>JÖNKÖPINGS LÄN</t>
        </is>
      </c>
      <c r="E1429" t="inlineStr">
        <is>
          <t>VETLANDA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47914-2023</t>
        </is>
      </c>
      <c r="B1430" s="1" t="n">
        <v>45204</v>
      </c>
      <c r="C1430" s="1" t="n">
        <v>45587</v>
      </c>
      <c r="D1430" t="inlineStr">
        <is>
          <t>JÖNKÖPINGS LÄN</t>
        </is>
      </c>
      <c r="E1430" t="inlineStr">
        <is>
          <t>VETLANDA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47947-2023</t>
        </is>
      </c>
      <c r="B1431" s="1" t="n">
        <v>45204</v>
      </c>
      <c r="C1431" s="1" t="n">
        <v>45587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48217-2023</t>
        </is>
      </c>
      <c r="B1432" s="1" t="n">
        <v>45205</v>
      </c>
      <c r="C1432" s="1" t="n">
        <v>45587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48220-2023</t>
        </is>
      </c>
      <c r="B1433" s="1" t="n">
        <v>45205</v>
      </c>
      <c r="C1433" s="1" t="n">
        <v>45587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49561-2023</t>
        </is>
      </c>
      <c r="B1434" s="1" t="n">
        <v>45205</v>
      </c>
      <c r="C1434" s="1" t="n">
        <v>45587</v>
      </c>
      <c r="D1434" t="inlineStr">
        <is>
          <t>JÖNKÖPINGS LÄN</t>
        </is>
      </c>
      <c r="E1434" t="inlineStr">
        <is>
          <t>VETLANDA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49558-2023</t>
        </is>
      </c>
      <c r="B1435" s="1" t="n">
        <v>45205</v>
      </c>
      <c r="C1435" s="1" t="n">
        <v>45587</v>
      </c>
      <c r="D1435" t="inlineStr">
        <is>
          <t>JÖNKÖPINGS LÄN</t>
        </is>
      </c>
      <c r="E1435" t="inlineStr">
        <is>
          <t>VETLANDA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49519-2023</t>
        </is>
      </c>
      <c r="B1436" s="1" t="n">
        <v>45205</v>
      </c>
      <c r="C1436" s="1" t="n">
        <v>45587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49551-2023</t>
        </is>
      </c>
      <c r="B1437" s="1" t="n">
        <v>45205</v>
      </c>
      <c r="C1437" s="1" t="n">
        <v>45587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48835-2023</t>
        </is>
      </c>
      <c r="B1438" s="1" t="n">
        <v>45209</v>
      </c>
      <c r="C1438" s="1" t="n">
        <v>45587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48845-2023</t>
        </is>
      </c>
      <c r="B1439" s="1" t="n">
        <v>45209</v>
      </c>
      <c r="C1439" s="1" t="n">
        <v>45587</v>
      </c>
      <c r="D1439" t="inlineStr">
        <is>
          <t>JÖNKÖPINGS LÄN</t>
        </is>
      </c>
      <c r="E1439" t="inlineStr">
        <is>
          <t>VETLANDA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48885-2023</t>
        </is>
      </c>
      <c r="B1440" s="1" t="n">
        <v>45209</v>
      </c>
      <c r="C1440" s="1" t="n">
        <v>45587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50251-2023</t>
        </is>
      </c>
      <c r="B1441" s="1" t="n">
        <v>45209</v>
      </c>
      <c r="C1441" s="1" t="n">
        <v>45587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49420-2023</t>
        </is>
      </c>
      <c r="B1442" s="1" t="n">
        <v>45211</v>
      </c>
      <c r="C1442" s="1" t="n">
        <v>45587</v>
      </c>
      <c r="D1442" t="inlineStr">
        <is>
          <t>JÖNKÖPINGS LÄN</t>
        </is>
      </c>
      <c r="E1442" t="inlineStr">
        <is>
          <t>VETLANDA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49444-2023</t>
        </is>
      </c>
      <c r="B1443" s="1" t="n">
        <v>45211</v>
      </c>
      <c r="C1443" s="1" t="n">
        <v>45587</v>
      </c>
      <c r="D1443" t="inlineStr">
        <is>
          <t>JÖNKÖPINGS LÄN</t>
        </is>
      </c>
      <c r="E1443" t="inlineStr">
        <is>
          <t>VETLANDA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49559-2023</t>
        </is>
      </c>
      <c r="B1444" s="1" t="n">
        <v>45211</v>
      </c>
      <c r="C1444" s="1" t="n">
        <v>45587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49574-2023</t>
        </is>
      </c>
      <c r="B1445" s="1" t="n">
        <v>45211</v>
      </c>
      <c r="C1445" s="1" t="n">
        <v>45587</v>
      </c>
      <c r="D1445" t="inlineStr">
        <is>
          <t>JÖNKÖPINGS LÄN</t>
        </is>
      </c>
      <c r="E1445" t="inlineStr">
        <is>
          <t>VETLANDA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49571-2023</t>
        </is>
      </c>
      <c r="B1446" s="1" t="n">
        <v>45211</v>
      </c>
      <c r="C1446" s="1" t="n">
        <v>45587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49360-2023</t>
        </is>
      </c>
      <c r="B1447" s="1" t="n">
        <v>45211</v>
      </c>
      <c r="C1447" s="1" t="n">
        <v>45587</v>
      </c>
      <c r="D1447" t="inlineStr">
        <is>
          <t>JÖNKÖPINGS LÄN</t>
        </is>
      </c>
      <c r="E1447" t="inlineStr">
        <is>
          <t>VETLANDA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49951-2023</t>
        </is>
      </c>
      <c r="B1448" s="1" t="n">
        <v>45215</v>
      </c>
      <c r="C1448" s="1" t="n">
        <v>45587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50026-2023</t>
        </is>
      </c>
      <c r="B1449" s="1" t="n">
        <v>45215</v>
      </c>
      <c r="C1449" s="1" t="n">
        <v>45587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50025-2023</t>
        </is>
      </c>
      <c r="B1450" s="1" t="n">
        <v>45215</v>
      </c>
      <c r="C1450" s="1" t="n">
        <v>45587</v>
      </c>
      <c r="D1450" t="inlineStr">
        <is>
          <t>JÖNKÖPINGS LÄN</t>
        </is>
      </c>
      <c r="E1450" t="inlineStr">
        <is>
          <t>VETLANDA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50058-2023</t>
        </is>
      </c>
      <c r="B1451" s="1" t="n">
        <v>45215</v>
      </c>
      <c r="C1451" s="1" t="n">
        <v>45587</v>
      </c>
      <c r="D1451" t="inlineStr">
        <is>
          <t>JÖNKÖPINGS LÄN</t>
        </is>
      </c>
      <c r="E1451" t="inlineStr">
        <is>
          <t>VETLANDA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50242-2023</t>
        </is>
      </c>
      <c r="B1452" s="1" t="n">
        <v>45216</v>
      </c>
      <c r="C1452" s="1" t="n">
        <v>45587</v>
      </c>
      <c r="D1452" t="inlineStr">
        <is>
          <t>JÖNKÖPINGS LÄN</t>
        </is>
      </c>
      <c r="E1452" t="inlineStr">
        <is>
          <t>VETLANDA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50249-2023</t>
        </is>
      </c>
      <c r="B1453" s="1" t="n">
        <v>45216</v>
      </c>
      <c r="C1453" s="1" t="n">
        <v>45587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50252-2023</t>
        </is>
      </c>
      <c r="B1454" s="1" t="n">
        <v>45216</v>
      </c>
      <c r="C1454" s="1" t="n">
        <v>45587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50247-2023</t>
        </is>
      </c>
      <c r="B1455" s="1" t="n">
        <v>45216</v>
      </c>
      <c r="C1455" s="1" t="n">
        <v>45587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50244-2023</t>
        </is>
      </c>
      <c r="B1456" s="1" t="n">
        <v>45216</v>
      </c>
      <c r="C1456" s="1" t="n">
        <v>45587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50886-2023</t>
        </is>
      </c>
      <c r="B1457" s="1" t="n">
        <v>45218</v>
      </c>
      <c r="C1457" s="1" t="n">
        <v>45587</v>
      </c>
      <c r="D1457" t="inlineStr">
        <is>
          <t>JÖNKÖPINGS LÄN</t>
        </is>
      </c>
      <c r="E1457" t="inlineStr">
        <is>
          <t>VETLANDA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52648-2023</t>
        </is>
      </c>
      <c r="B1458" s="1" t="n">
        <v>45219</v>
      </c>
      <c r="C1458" s="1" t="n">
        <v>45587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51228-2023</t>
        </is>
      </c>
      <c r="B1459" s="1" t="n">
        <v>45219</v>
      </c>
      <c r="C1459" s="1" t="n">
        <v>45587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51226-2023</t>
        </is>
      </c>
      <c r="B1460" s="1" t="n">
        <v>45219</v>
      </c>
      <c r="C1460" s="1" t="n">
        <v>45587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6.5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53308-2023</t>
        </is>
      </c>
      <c r="B1461" s="1" t="n">
        <v>45222</v>
      </c>
      <c r="C1461" s="1" t="n">
        <v>45587</v>
      </c>
      <c r="D1461" t="inlineStr">
        <is>
          <t>JÖNKÖPINGS LÄN</t>
        </is>
      </c>
      <c r="E1461" t="inlineStr">
        <is>
          <t>VETLANDA</t>
        </is>
      </c>
      <c r="G1461" t="n">
        <v>13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51537-2023</t>
        </is>
      </c>
      <c r="B1462" s="1" t="n">
        <v>45222</v>
      </c>
      <c r="C1462" s="1" t="n">
        <v>45587</v>
      </c>
      <c r="D1462" t="inlineStr">
        <is>
          <t>JÖNKÖPINGS LÄN</t>
        </is>
      </c>
      <c r="E1462" t="inlineStr">
        <is>
          <t>VETLANDA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53327-2023</t>
        </is>
      </c>
      <c r="B1463" s="1" t="n">
        <v>45222</v>
      </c>
      <c r="C1463" s="1" t="n">
        <v>45587</v>
      </c>
      <c r="D1463" t="inlineStr">
        <is>
          <t>JÖNKÖPINGS LÄN</t>
        </is>
      </c>
      <c r="E1463" t="inlineStr">
        <is>
          <t>VETLANDA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53594-2023</t>
        </is>
      </c>
      <c r="B1464" s="1" t="n">
        <v>45224</v>
      </c>
      <c r="C1464" s="1" t="n">
        <v>45587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52259-2023</t>
        </is>
      </c>
      <c r="B1465" s="1" t="n">
        <v>45224</v>
      </c>
      <c r="C1465" s="1" t="n">
        <v>45587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52201-2023</t>
        </is>
      </c>
      <c r="B1466" s="1" t="n">
        <v>45224</v>
      </c>
      <c r="C1466" s="1" t="n">
        <v>45587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53886-2023</t>
        </is>
      </c>
      <c r="B1467" s="1" t="n">
        <v>45224</v>
      </c>
      <c r="C1467" s="1" t="n">
        <v>45587</v>
      </c>
      <c r="D1467" t="inlineStr">
        <is>
          <t>JÖNKÖPINGS LÄN</t>
        </is>
      </c>
      <c r="E1467" t="inlineStr">
        <is>
          <t>VETLANDA</t>
        </is>
      </c>
      <c r="G1467" t="n">
        <v>9.9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52528-2023</t>
        </is>
      </c>
      <c r="B1468" s="1" t="n">
        <v>45225</v>
      </c>
      <c r="C1468" s="1" t="n">
        <v>45587</v>
      </c>
      <c r="D1468" t="inlineStr">
        <is>
          <t>JÖNKÖPINGS LÄN</t>
        </is>
      </c>
      <c r="E1468" t="inlineStr">
        <is>
          <t>VETLANDA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52975-2023</t>
        </is>
      </c>
      <c r="B1469" s="1" t="n">
        <v>45226</v>
      </c>
      <c r="C1469" s="1" t="n">
        <v>45587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52971-2023</t>
        </is>
      </c>
      <c r="B1470" s="1" t="n">
        <v>45226</v>
      </c>
      <c r="C1470" s="1" t="n">
        <v>45587</v>
      </c>
      <c r="D1470" t="inlineStr">
        <is>
          <t>JÖNKÖPINGS LÄN</t>
        </is>
      </c>
      <c r="E1470" t="inlineStr">
        <is>
          <t>VETLANDA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52902-2023</t>
        </is>
      </c>
      <c r="B1471" s="1" t="n">
        <v>45226</v>
      </c>
      <c r="C1471" s="1" t="n">
        <v>45587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52943-2023</t>
        </is>
      </c>
      <c r="B1472" s="1" t="n">
        <v>45226</v>
      </c>
      <c r="C1472" s="1" t="n">
        <v>45587</v>
      </c>
      <c r="D1472" t="inlineStr">
        <is>
          <t>JÖNKÖPINGS LÄN</t>
        </is>
      </c>
      <c r="E1472" t="inlineStr">
        <is>
          <t>VETLANDA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53101-2023</t>
        </is>
      </c>
      <c r="B1473" s="1" t="n">
        <v>45228</v>
      </c>
      <c r="C1473" s="1" t="n">
        <v>45587</v>
      </c>
      <c r="D1473" t="inlineStr">
        <is>
          <t>JÖNKÖPINGS LÄN</t>
        </is>
      </c>
      <c r="E1473" t="inlineStr">
        <is>
          <t>VETLANDA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53209-2023</t>
        </is>
      </c>
      <c r="B1474" s="1" t="n">
        <v>45229</v>
      </c>
      <c r="C1474" s="1" t="n">
        <v>45587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53472-2023</t>
        </is>
      </c>
      <c r="B1475" s="1" t="n">
        <v>45230</v>
      </c>
      <c r="C1475" s="1" t="n">
        <v>45587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53474-2023</t>
        </is>
      </c>
      <c r="B1476" s="1" t="n">
        <v>45230</v>
      </c>
      <c r="C1476" s="1" t="n">
        <v>45587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53927-2023</t>
        </is>
      </c>
      <c r="B1477" s="1" t="n">
        <v>45231</v>
      </c>
      <c r="C1477" s="1" t="n">
        <v>45587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53952-2023</t>
        </is>
      </c>
      <c r="B1478" s="1" t="n">
        <v>45231</v>
      </c>
      <c r="C1478" s="1" t="n">
        <v>45587</v>
      </c>
      <c r="D1478" t="inlineStr">
        <is>
          <t>JÖNKÖPINGS LÄN</t>
        </is>
      </c>
      <c r="E1478" t="inlineStr">
        <is>
          <t>VETLANDA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54254-2023</t>
        </is>
      </c>
      <c r="B1479" s="1" t="n">
        <v>45232</v>
      </c>
      <c r="C1479" s="1" t="n">
        <v>45587</v>
      </c>
      <c r="D1479" t="inlineStr">
        <is>
          <t>JÖNKÖPINGS LÄN</t>
        </is>
      </c>
      <c r="E1479" t="inlineStr">
        <is>
          <t>VETLANDA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54110-2023</t>
        </is>
      </c>
      <c r="B1480" s="1" t="n">
        <v>45232</v>
      </c>
      <c r="C1480" s="1" t="n">
        <v>45587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54565-2023</t>
        </is>
      </c>
      <c r="B1481" s="1" t="n">
        <v>45233</v>
      </c>
      <c r="C1481" s="1" t="n">
        <v>45587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54564-2023</t>
        </is>
      </c>
      <c r="B1482" s="1" t="n">
        <v>45233</v>
      </c>
      <c r="C1482" s="1" t="n">
        <v>45587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54702-2023</t>
        </is>
      </c>
      <c r="B1483" s="1" t="n">
        <v>45236</v>
      </c>
      <c r="C1483" s="1" t="n">
        <v>45587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54851-2023</t>
        </is>
      </c>
      <c r="B1484" s="1" t="n">
        <v>45236</v>
      </c>
      <c r="C1484" s="1" t="n">
        <v>45587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54905-2023</t>
        </is>
      </c>
      <c r="B1485" s="1" t="n">
        <v>45236</v>
      </c>
      <c r="C1485" s="1" t="n">
        <v>45587</v>
      </c>
      <c r="D1485" t="inlineStr">
        <is>
          <t>JÖNKÖPINGS LÄN</t>
        </is>
      </c>
      <c r="E1485" t="inlineStr">
        <is>
          <t>VETLANDA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54941-2023</t>
        </is>
      </c>
      <c r="B1486" s="1" t="n">
        <v>45236</v>
      </c>
      <c r="C1486" s="1" t="n">
        <v>45587</v>
      </c>
      <c r="D1486" t="inlineStr">
        <is>
          <t>JÖNKÖPINGS LÄN</t>
        </is>
      </c>
      <c r="E1486" t="inlineStr">
        <is>
          <t>VETLANDA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54701-2023</t>
        </is>
      </c>
      <c r="B1487" s="1" t="n">
        <v>45236</v>
      </c>
      <c r="C1487" s="1" t="n">
        <v>45587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55372-2023</t>
        </is>
      </c>
      <c r="B1488" s="1" t="n">
        <v>45238</v>
      </c>
      <c r="C1488" s="1" t="n">
        <v>45587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Kyrkan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55491-2023</t>
        </is>
      </c>
      <c r="B1489" s="1" t="n">
        <v>45238</v>
      </c>
      <c r="C1489" s="1" t="n">
        <v>45587</v>
      </c>
      <c r="D1489" t="inlineStr">
        <is>
          <t>JÖNKÖPINGS LÄN</t>
        </is>
      </c>
      <c r="E1489" t="inlineStr">
        <is>
          <t>VETLANDA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57262-2023</t>
        </is>
      </c>
      <c r="B1490" s="1" t="n">
        <v>45239</v>
      </c>
      <c r="C1490" s="1" t="n">
        <v>45587</v>
      </c>
      <c r="D1490" t="inlineStr">
        <is>
          <t>JÖNKÖPINGS LÄN</t>
        </is>
      </c>
      <c r="E1490" t="inlineStr">
        <is>
          <t>VETLANDA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56214-2023</t>
        </is>
      </c>
      <c r="B1491" s="1" t="n">
        <v>45240</v>
      </c>
      <c r="C1491" s="1" t="n">
        <v>45587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56161-2023</t>
        </is>
      </c>
      <c r="B1492" s="1" t="n">
        <v>45240</v>
      </c>
      <c r="C1492" s="1" t="n">
        <v>45587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56216-2023</t>
        </is>
      </c>
      <c r="B1493" s="1" t="n">
        <v>45240</v>
      </c>
      <c r="C1493" s="1" t="n">
        <v>45587</v>
      </c>
      <c r="D1493" t="inlineStr">
        <is>
          <t>JÖNKÖPINGS LÄN</t>
        </is>
      </c>
      <c r="E1493" t="inlineStr">
        <is>
          <t>VETLANDA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56275-2023</t>
        </is>
      </c>
      <c r="B1494" s="1" t="n">
        <v>45241</v>
      </c>
      <c r="C1494" s="1" t="n">
        <v>45587</v>
      </c>
      <c r="D1494" t="inlineStr">
        <is>
          <t>JÖNKÖPINGS LÄN</t>
        </is>
      </c>
      <c r="E1494" t="inlineStr">
        <is>
          <t>VETLANDA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56274-2023</t>
        </is>
      </c>
      <c r="B1495" s="1" t="n">
        <v>45241</v>
      </c>
      <c r="C1495" s="1" t="n">
        <v>45587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56417-2023</t>
        </is>
      </c>
      <c r="B1496" s="1" t="n">
        <v>45243</v>
      </c>
      <c r="C1496" s="1" t="n">
        <v>45587</v>
      </c>
      <c r="D1496" t="inlineStr">
        <is>
          <t>JÖNKÖPINGS LÄN</t>
        </is>
      </c>
      <c r="E1496" t="inlineStr">
        <is>
          <t>VETLANDA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56655-2023</t>
        </is>
      </c>
      <c r="B1497" s="1" t="n">
        <v>45243</v>
      </c>
      <c r="C1497" s="1" t="n">
        <v>45587</v>
      </c>
      <c r="D1497" t="inlineStr">
        <is>
          <t>JÖNKÖPINGS LÄN</t>
        </is>
      </c>
      <c r="E1497" t="inlineStr">
        <is>
          <t>VETLANDA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57676-2023</t>
        </is>
      </c>
      <c r="B1498" s="1" t="n">
        <v>45243</v>
      </c>
      <c r="C1498" s="1" t="n">
        <v>45587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57680-2023</t>
        </is>
      </c>
      <c r="B1499" s="1" t="n">
        <v>45243</v>
      </c>
      <c r="C1499" s="1" t="n">
        <v>45587</v>
      </c>
      <c r="D1499" t="inlineStr">
        <is>
          <t>JÖNKÖPINGS LÄN</t>
        </is>
      </c>
      <c r="E1499" t="inlineStr">
        <is>
          <t>VETLANDA</t>
        </is>
      </c>
      <c r="G1499" t="n">
        <v>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57682-2023</t>
        </is>
      </c>
      <c r="B1500" s="1" t="n">
        <v>45243</v>
      </c>
      <c r="C1500" s="1" t="n">
        <v>45587</v>
      </c>
      <c r="D1500" t="inlineStr">
        <is>
          <t>JÖNKÖPINGS LÄN</t>
        </is>
      </c>
      <c r="E1500" t="inlineStr">
        <is>
          <t>VETLANDA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56703-2023</t>
        </is>
      </c>
      <c r="B1501" s="1" t="n">
        <v>45244</v>
      </c>
      <c r="C1501" s="1" t="n">
        <v>45587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56771-2023</t>
        </is>
      </c>
      <c r="B1502" s="1" t="n">
        <v>45244</v>
      </c>
      <c r="C1502" s="1" t="n">
        <v>45587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57223-2023</t>
        </is>
      </c>
      <c r="B1503" s="1" t="n">
        <v>45245</v>
      </c>
      <c r="C1503" s="1" t="n">
        <v>45587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57090-2023</t>
        </is>
      </c>
      <c r="B1504" s="1" t="n">
        <v>45245</v>
      </c>
      <c r="C1504" s="1" t="n">
        <v>45587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57211-2023</t>
        </is>
      </c>
      <c r="B1505" s="1" t="n">
        <v>45245</v>
      </c>
      <c r="C1505" s="1" t="n">
        <v>45587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58433-2023</t>
        </is>
      </c>
      <c r="B1506" s="1" t="n">
        <v>45250</v>
      </c>
      <c r="C1506" s="1" t="n">
        <v>45587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58432-2023</t>
        </is>
      </c>
      <c r="B1507" s="1" t="n">
        <v>45250</v>
      </c>
      <c r="C1507" s="1" t="n">
        <v>45587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58572-2023</t>
        </is>
      </c>
      <c r="B1508" s="1" t="n">
        <v>45251</v>
      </c>
      <c r="C1508" s="1" t="n">
        <v>45587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58570-2023</t>
        </is>
      </c>
      <c r="B1509" s="1" t="n">
        <v>45251</v>
      </c>
      <c r="C1509" s="1" t="n">
        <v>45587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58608-2023</t>
        </is>
      </c>
      <c r="B1510" s="1" t="n">
        <v>45251</v>
      </c>
      <c r="C1510" s="1" t="n">
        <v>45587</v>
      </c>
      <c r="D1510" t="inlineStr">
        <is>
          <t>JÖNKÖPINGS LÄN</t>
        </is>
      </c>
      <c r="E1510" t="inlineStr">
        <is>
          <t>VETLANDA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58846-2023</t>
        </is>
      </c>
      <c r="B1511" s="1" t="n">
        <v>45252</v>
      </c>
      <c r="C1511" s="1" t="n">
        <v>45587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58904-2023</t>
        </is>
      </c>
      <c r="B1512" s="1" t="n">
        <v>45252</v>
      </c>
      <c r="C1512" s="1" t="n">
        <v>45587</v>
      </c>
      <c r="D1512" t="inlineStr">
        <is>
          <t>JÖNKÖPINGS LÄN</t>
        </is>
      </c>
      <c r="E1512" t="inlineStr">
        <is>
          <t>VETLANDA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59330-2023</t>
        </is>
      </c>
      <c r="B1513" s="1" t="n">
        <v>45253</v>
      </c>
      <c r="C1513" s="1" t="n">
        <v>45587</v>
      </c>
      <c r="D1513" t="inlineStr">
        <is>
          <t>JÖNKÖPINGS LÄN</t>
        </is>
      </c>
      <c r="E1513" t="inlineStr">
        <is>
          <t>VETLANDA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59572-2023</t>
        </is>
      </c>
      <c r="B1514" s="1" t="n">
        <v>45254</v>
      </c>
      <c r="C1514" s="1" t="n">
        <v>45587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59578-2023</t>
        </is>
      </c>
      <c r="B1515" s="1" t="n">
        <v>45254</v>
      </c>
      <c r="C1515" s="1" t="n">
        <v>45587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59567-2023</t>
        </is>
      </c>
      <c r="B1516" s="1" t="n">
        <v>45254</v>
      </c>
      <c r="C1516" s="1" t="n">
        <v>45587</v>
      </c>
      <c r="D1516" t="inlineStr">
        <is>
          <t>JÖNKÖPINGS LÄN</t>
        </is>
      </c>
      <c r="E1516" t="inlineStr">
        <is>
          <t>VETLANDA</t>
        </is>
      </c>
      <c r="F1516" t="inlineStr">
        <is>
          <t>Övriga Aktiebolag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60105-2023</t>
        </is>
      </c>
      <c r="B1517" s="1" t="n">
        <v>45258</v>
      </c>
      <c r="C1517" s="1" t="n">
        <v>45587</v>
      </c>
      <c r="D1517" t="inlineStr">
        <is>
          <t>JÖNKÖPINGS LÄN</t>
        </is>
      </c>
      <c r="E1517" t="inlineStr">
        <is>
          <t>VETLANDA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60097-2023</t>
        </is>
      </c>
      <c r="B1518" s="1" t="n">
        <v>45258</v>
      </c>
      <c r="C1518" s="1" t="n">
        <v>45587</v>
      </c>
      <c r="D1518" t="inlineStr">
        <is>
          <t>JÖNKÖPINGS LÄN</t>
        </is>
      </c>
      <c r="E1518" t="inlineStr">
        <is>
          <t>VETLANDA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60395-2023</t>
        </is>
      </c>
      <c r="B1519" s="1" t="n">
        <v>45259</v>
      </c>
      <c r="C1519" s="1" t="n">
        <v>45587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60384-2023</t>
        </is>
      </c>
      <c r="B1520" s="1" t="n">
        <v>45259</v>
      </c>
      <c r="C1520" s="1" t="n">
        <v>45587</v>
      </c>
      <c r="D1520" t="inlineStr">
        <is>
          <t>JÖNKÖPINGS LÄN</t>
        </is>
      </c>
      <c r="E1520" t="inlineStr">
        <is>
          <t>VETLANDA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60536-2023</t>
        </is>
      </c>
      <c r="B1521" s="1" t="n">
        <v>45259</v>
      </c>
      <c r="C1521" s="1" t="n">
        <v>45587</v>
      </c>
      <c r="D1521" t="inlineStr">
        <is>
          <t>JÖNKÖPINGS LÄN</t>
        </is>
      </c>
      <c r="E1521" t="inlineStr">
        <is>
          <t>VETLANDA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60389-2023</t>
        </is>
      </c>
      <c r="B1522" s="1" t="n">
        <v>45259</v>
      </c>
      <c r="C1522" s="1" t="n">
        <v>45587</v>
      </c>
      <c r="D1522" t="inlineStr">
        <is>
          <t>JÖNKÖPINGS LÄN</t>
        </is>
      </c>
      <c r="E1522" t="inlineStr">
        <is>
          <t>VETLANDA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60747-2023</t>
        </is>
      </c>
      <c r="B1523" s="1" t="n">
        <v>45260</v>
      </c>
      <c r="C1523" s="1" t="n">
        <v>45587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60976-2023</t>
        </is>
      </c>
      <c r="B1524" s="1" t="n">
        <v>45261</v>
      </c>
      <c r="C1524" s="1" t="n">
        <v>45587</v>
      </c>
      <c r="D1524" t="inlineStr">
        <is>
          <t>JÖNKÖPINGS LÄN</t>
        </is>
      </c>
      <c r="E1524" t="inlineStr">
        <is>
          <t>VETLANDA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61001-2023</t>
        </is>
      </c>
      <c r="B1525" s="1" t="n">
        <v>45261</v>
      </c>
      <c r="C1525" s="1" t="n">
        <v>45587</v>
      </c>
      <c r="D1525" t="inlineStr">
        <is>
          <t>JÖNKÖPINGS LÄN</t>
        </is>
      </c>
      <c r="E1525" t="inlineStr">
        <is>
          <t>VETLANDA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61124-2023</t>
        </is>
      </c>
      <c r="B1526" s="1" t="n">
        <v>45261</v>
      </c>
      <c r="C1526" s="1" t="n">
        <v>45587</v>
      </c>
      <c r="D1526" t="inlineStr">
        <is>
          <t>JÖNKÖPINGS LÄN</t>
        </is>
      </c>
      <c r="E1526" t="inlineStr">
        <is>
          <t>VETLANDA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61003-2023</t>
        </is>
      </c>
      <c r="B1527" s="1" t="n">
        <v>45261</v>
      </c>
      <c r="C1527" s="1" t="n">
        <v>45587</v>
      </c>
      <c r="D1527" t="inlineStr">
        <is>
          <t>JÖNKÖPINGS LÄN</t>
        </is>
      </c>
      <c r="E1527" t="inlineStr">
        <is>
          <t>VETLANDA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61123-2023</t>
        </is>
      </c>
      <c r="B1528" s="1" t="n">
        <v>45261</v>
      </c>
      <c r="C1528" s="1" t="n">
        <v>45587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61122-2023</t>
        </is>
      </c>
      <c r="B1529" s="1" t="n">
        <v>45261</v>
      </c>
      <c r="C1529" s="1" t="n">
        <v>45587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61121-2023</t>
        </is>
      </c>
      <c r="B1530" s="1" t="n">
        <v>45261</v>
      </c>
      <c r="C1530" s="1" t="n">
        <v>45587</v>
      </c>
      <c r="D1530" t="inlineStr">
        <is>
          <t>JÖNKÖPINGS LÄN</t>
        </is>
      </c>
      <c r="E1530" t="inlineStr">
        <is>
          <t>VETLANDA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61391-2023</t>
        </is>
      </c>
      <c r="B1531" s="1" t="n">
        <v>45264</v>
      </c>
      <c r="C1531" s="1" t="n">
        <v>45587</v>
      </c>
      <c r="D1531" t="inlineStr">
        <is>
          <t>JÖNKÖPINGS LÄN</t>
        </is>
      </c>
      <c r="E1531" t="inlineStr">
        <is>
          <t>VETLANDA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61201-2023</t>
        </is>
      </c>
      <c r="B1532" s="1" t="n">
        <v>45264</v>
      </c>
      <c r="C1532" s="1" t="n">
        <v>45587</v>
      </c>
      <c r="D1532" t="inlineStr">
        <is>
          <t>JÖNKÖPINGS LÄN</t>
        </is>
      </c>
      <c r="E1532" t="inlineStr">
        <is>
          <t>VETLANDA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61387-2023</t>
        </is>
      </c>
      <c r="B1533" s="1" t="n">
        <v>45264</v>
      </c>
      <c r="C1533" s="1" t="n">
        <v>45587</v>
      </c>
      <c r="D1533" t="inlineStr">
        <is>
          <t>JÖNKÖPINGS LÄN</t>
        </is>
      </c>
      <c r="E1533" t="inlineStr">
        <is>
          <t>VETLANDA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61397-2023</t>
        </is>
      </c>
      <c r="B1534" s="1" t="n">
        <v>45264</v>
      </c>
      <c r="C1534" s="1" t="n">
        <v>45587</v>
      </c>
      <c r="D1534" t="inlineStr">
        <is>
          <t>JÖNKÖPINGS LÄN</t>
        </is>
      </c>
      <c r="E1534" t="inlineStr">
        <is>
          <t>VETLANDA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61381-2023</t>
        </is>
      </c>
      <c r="B1535" s="1" t="n">
        <v>45264</v>
      </c>
      <c r="C1535" s="1" t="n">
        <v>45587</v>
      </c>
      <c r="D1535" t="inlineStr">
        <is>
          <t>JÖNKÖPINGS LÄN</t>
        </is>
      </c>
      <c r="E1535" t="inlineStr">
        <is>
          <t>VETLANDA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61707-2023</t>
        </is>
      </c>
      <c r="B1536" s="1" t="n">
        <v>45265</v>
      </c>
      <c r="C1536" s="1" t="n">
        <v>45587</v>
      </c>
      <c r="D1536" t="inlineStr">
        <is>
          <t>JÖNKÖPINGS LÄN</t>
        </is>
      </c>
      <c r="E1536" t="inlineStr">
        <is>
          <t>VETLANDA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62056-2023</t>
        </is>
      </c>
      <c r="B1537" s="1" t="n">
        <v>45265</v>
      </c>
      <c r="C1537" s="1" t="n">
        <v>45587</v>
      </c>
      <c r="D1537" t="inlineStr">
        <is>
          <t>JÖNKÖPINGS LÄN</t>
        </is>
      </c>
      <c r="E1537" t="inlineStr">
        <is>
          <t>VETLANDA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62057-2023</t>
        </is>
      </c>
      <c r="B1538" s="1" t="n">
        <v>45266</v>
      </c>
      <c r="C1538" s="1" t="n">
        <v>45587</v>
      </c>
      <c r="D1538" t="inlineStr">
        <is>
          <t>JÖNKÖPINGS LÄN</t>
        </is>
      </c>
      <c r="E1538" t="inlineStr">
        <is>
          <t>VETLANDA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61872-2023</t>
        </is>
      </c>
      <c r="B1539" s="1" t="n">
        <v>45266</v>
      </c>
      <c r="C1539" s="1" t="n">
        <v>45587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62203-2023</t>
        </is>
      </c>
      <c r="B1540" s="1" t="n">
        <v>45267</v>
      </c>
      <c r="C1540" s="1" t="n">
        <v>45587</v>
      </c>
      <c r="D1540" t="inlineStr">
        <is>
          <t>JÖNKÖPINGS LÄN</t>
        </is>
      </c>
      <c r="E1540" t="inlineStr">
        <is>
          <t>VETLANDA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62234-2023</t>
        </is>
      </c>
      <c r="B1541" s="1" t="n">
        <v>45267</v>
      </c>
      <c r="C1541" s="1" t="n">
        <v>45587</v>
      </c>
      <c r="D1541" t="inlineStr">
        <is>
          <t>JÖNKÖPINGS LÄN</t>
        </is>
      </c>
      <c r="E1541" t="inlineStr">
        <is>
          <t>VETLANDA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62228-2023</t>
        </is>
      </c>
      <c r="B1542" s="1" t="n">
        <v>45267</v>
      </c>
      <c r="C1542" s="1" t="n">
        <v>45587</v>
      </c>
      <c r="D1542" t="inlineStr">
        <is>
          <t>JÖNKÖPINGS LÄN</t>
        </is>
      </c>
      <c r="E1542" t="inlineStr">
        <is>
          <t>VETLANDA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62391-2023</t>
        </is>
      </c>
      <c r="B1543" s="1" t="n">
        <v>45268</v>
      </c>
      <c r="C1543" s="1" t="n">
        <v>45587</v>
      </c>
      <c r="D1543" t="inlineStr">
        <is>
          <t>JÖNKÖPINGS LÄN</t>
        </is>
      </c>
      <c r="E1543" t="inlineStr">
        <is>
          <t>VETLANDA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62411-2023</t>
        </is>
      </c>
      <c r="B1544" s="1" t="n">
        <v>45268</v>
      </c>
      <c r="C1544" s="1" t="n">
        <v>45587</v>
      </c>
      <c r="D1544" t="inlineStr">
        <is>
          <t>JÖNKÖPINGS LÄN</t>
        </is>
      </c>
      <c r="E1544" t="inlineStr">
        <is>
          <t>VETLANDA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HYPERLINK("https://klasma.github.io/Logging_0685/knärot/A 62411-2023 karta knärot.png", "A 62411-2023")</f>
        <v/>
      </c>
      <c r="V1544">
        <f>HYPERLINK("https://klasma.github.io/Logging_0685/klagomål/A 62411-2023 FSC-klagomål.docx", "A 62411-2023")</f>
        <v/>
      </c>
      <c r="W1544">
        <f>HYPERLINK("https://klasma.github.io/Logging_0685/klagomålsmail/A 62411-2023 FSC-klagomål mail.docx", "A 62411-2023")</f>
        <v/>
      </c>
      <c r="X1544">
        <f>HYPERLINK("https://klasma.github.io/Logging_0685/tillsyn/A 62411-2023 tillsynsbegäran.docx", "A 62411-2023")</f>
        <v/>
      </c>
      <c r="Y1544">
        <f>HYPERLINK("https://klasma.github.io/Logging_0685/tillsynsmail/A 62411-2023 tillsynsbegäran mail.docx", "A 62411-2023")</f>
        <v/>
      </c>
    </row>
    <row r="1545" ht="15" customHeight="1">
      <c r="A1545" t="inlineStr">
        <is>
          <t>A 62545-2023</t>
        </is>
      </c>
      <c r="B1545" s="1" t="n">
        <v>45268</v>
      </c>
      <c r="C1545" s="1" t="n">
        <v>45587</v>
      </c>
      <c r="D1545" t="inlineStr">
        <is>
          <t>JÖNKÖPINGS LÄN</t>
        </is>
      </c>
      <c r="E1545" t="inlineStr">
        <is>
          <t>VETLANDA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62860-2023</t>
        </is>
      </c>
      <c r="B1546" s="1" t="n">
        <v>45272</v>
      </c>
      <c r="C1546" s="1" t="n">
        <v>45587</v>
      </c>
      <c r="D1546" t="inlineStr">
        <is>
          <t>JÖNKÖPINGS LÄN</t>
        </is>
      </c>
      <c r="E1546" t="inlineStr">
        <is>
          <t>VETLANDA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62953-2023</t>
        </is>
      </c>
      <c r="B1547" s="1" t="n">
        <v>45272</v>
      </c>
      <c r="C1547" s="1" t="n">
        <v>45587</v>
      </c>
      <c r="D1547" t="inlineStr">
        <is>
          <t>JÖNKÖPINGS LÄN</t>
        </is>
      </c>
      <c r="E1547" t="inlineStr">
        <is>
          <t>VETLANDA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63407-2023</t>
        </is>
      </c>
      <c r="B1548" s="1" t="n">
        <v>45274</v>
      </c>
      <c r="C1548" s="1" t="n">
        <v>45587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63451-2023</t>
        </is>
      </c>
      <c r="B1549" s="1" t="n">
        <v>45274</v>
      </c>
      <c r="C1549" s="1" t="n">
        <v>45587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63789-2023</t>
        </is>
      </c>
      <c r="B1550" s="1" t="n">
        <v>45278</v>
      </c>
      <c r="C1550" s="1" t="n">
        <v>45587</v>
      </c>
      <c r="D1550" t="inlineStr">
        <is>
          <t>JÖNKÖPINGS LÄN</t>
        </is>
      </c>
      <c r="E1550" t="inlineStr">
        <is>
          <t>VETLANDA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64613-2023</t>
        </is>
      </c>
      <c r="B1551" s="1" t="n">
        <v>45281</v>
      </c>
      <c r="C1551" s="1" t="n">
        <v>45587</v>
      </c>
      <c r="D1551" t="inlineStr">
        <is>
          <t>JÖNKÖPINGS LÄN</t>
        </is>
      </c>
      <c r="E1551" t="inlineStr">
        <is>
          <t>VETLANDA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64851-2023</t>
        </is>
      </c>
      <c r="B1552" s="1" t="n">
        <v>45282</v>
      </c>
      <c r="C1552" s="1" t="n">
        <v>45587</v>
      </c>
      <c r="D1552" t="inlineStr">
        <is>
          <t>JÖNKÖPINGS LÄN</t>
        </is>
      </c>
      <c r="E1552" t="inlineStr">
        <is>
          <t>VETLANDA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65141-2023</t>
        </is>
      </c>
      <c r="B1553" s="1" t="n">
        <v>45288</v>
      </c>
      <c r="C1553" s="1" t="n">
        <v>45587</v>
      </c>
      <c r="D1553" t="inlineStr">
        <is>
          <t>JÖNKÖPINGS LÄN</t>
        </is>
      </c>
      <c r="E1553" t="inlineStr">
        <is>
          <t>VETLANDA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65154-2023</t>
        </is>
      </c>
      <c r="B1554" s="1" t="n">
        <v>45288</v>
      </c>
      <c r="C1554" s="1" t="n">
        <v>45587</v>
      </c>
      <c r="D1554" t="inlineStr">
        <is>
          <t>JÖNKÖPINGS LÄN</t>
        </is>
      </c>
      <c r="E1554" t="inlineStr">
        <is>
          <t>VETLANDA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65162-2023</t>
        </is>
      </c>
      <c r="B1555" s="1" t="n">
        <v>45288</v>
      </c>
      <c r="C1555" s="1" t="n">
        <v>45587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65147-2023</t>
        </is>
      </c>
      <c r="B1556" s="1" t="n">
        <v>45288</v>
      </c>
      <c r="C1556" s="1" t="n">
        <v>45587</v>
      </c>
      <c r="D1556" t="inlineStr">
        <is>
          <t>JÖNKÖPINGS LÄN</t>
        </is>
      </c>
      <c r="E1556" t="inlineStr">
        <is>
          <t>VETLANDA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200-2024</t>
        </is>
      </c>
      <c r="B1557" s="1" t="n">
        <v>45294</v>
      </c>
      <c r="C1557" s="1" t="n">
        <v>45587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409-2024</t>
        </is>
      </c>
      <c r="B1558" s="1" t="n">
        <v>45296</v>
      </c>
      <c r="C1558" s="1" t="n">
        <v>45587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471-2024</t>
        </is>
      </c>
      <c r="B1559" s="1" t="n">
        <v>45297</v>
      </c>
      <c r="C1559" s="1" t="n">
        <v>45587</v>
      </c>
      <c r="D1559" t="inlineStr">
        <is>
          <t>JÖNKÖPINGS LÄN</t>
        </is>
      </c>
      <c r="E1559" t="inlineStr">
        <is>
          <t>VETLANDA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482-2024</t>
        </is>
      </c>
      <c r="B1560" s="1" t="n">
        <v>45298</v>
      </c>
      <c r="C1560" s="1" t="n">
        <v>45587</v>
      </c>
      <c r="D1560" t="inlineStr">
        <is>
          <t>JÖNKÖPINGS LÄN</t>
        </is>
      </c>
      <c r="E1560" t="inlineStr">
        <is>
          <t>VETLANDA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559-2024</t>
        </is>
      </c>
      <c r="B1561" s="1" t="n">
        <v>45299</v>
      </c>
      <c r="C1561" s="1" t="n">
        <v>45587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Kommuner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676-2024</t>
        </is>
      </c>
      <c r="B1562" s="1" t="n">
        <v>45300</v>
      </c>
      <c r="C1562" s="1" t="n">
        <v>45587</v>
      </c>
      <c r="D1562" t="inlineStr">
        <is>
          <t>JÖNKÖPINGS LÄN</t>
        </is>
      </c>
      <c r="E1562" t="inlineStr">
        <is>
          <t>VETLANDA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841-2024</t>
        </is>
      </c>
      <c r="B1563" s="1" t="n">
        <v>45300</v>
      </c>
      <c r="C1563" s="1" t="n">
        <v>45587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740-2024</t>
        </is>
      </c>
      <c r="B1564" s="1" t="n">
        <v>45300</v>
      </c>
      <c r="C1564" s="1" t="n">
        <v>45587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712-2024</t>
        </is>
      </c>
      <c r="B1565" s="1" t="n">
        <v>45300</v>
      </c>
      <c r="C1565" s="1" t="n">
        <v>45587</v>
      </c>
      <c r="D1565" t="inlineStr">
        <is>
          <t>JÖNKÖPINGS LÄN</t>
        </is>
      </c>
      <c r="E1565" t="inlineStr">
        <is>
          <t>VETLANDA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939-2024</t>
        </is>
      </c>
      <c r="B1566" s="1" t="n">
        <v>45301</v>
      </c>
      <c r="C1566" s="1" t="n">
        <v>45587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898-2024</t>
        </is>
      </c>
      <c r="B1567" s="1" t="n">
        <v>45301</v>
      </c>
      <c r="C1567" s="1" t="n">
        <v>45587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1099-2024</t>
        </is>
      </c>
      <c r="B1568" s="1" t="n">
        <v>45302</v>
      </c>
      <c r="C1568" s="1" t="n">
        <v>45587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1103-2024</t>
        </is>
      </c>
      <c r="B1569" s="1" t="n">
        <v>45302</v>
      </c>
      <c r="C1569" s="1" t="n">
        <v>45587</v>
      </c>
      <c r="D1569" t="inlineStr">
        <is>
          <t>JÖNKÖPINGS LÄN</t>
        </is>
      </c>
      <c r="E1569" t="inlineStr">
        <is>
          <t>VETLANDA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1221-2024</t>
        </is>
      </c>
      <c r="B1570" s="1" t="n">
        <v>45302</v>
      </c>
      <c r="C1570" s="1" t="n">
        <v>45587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1301-2024</t>
        </is>
      </c>
      <c r="B1571" s="1" t="n">
        <v>45303</v>
      </c>
      <c r="C1571" s="1" t="n">
        <v>45587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1313-2024</t>
        </is>
      </c>
      <c r="B1572" s="1" t="n">
        <v>45303</v>
      </c>
      <c r="C1572" s="1" t="n">
        <v>45587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1442-2024</t>
        </is>
      </c>
      <c r="B1573" s="1" t="n">
        <v>45303</v>
      </c>
      <c r="C1573" s="1" t="n">
        <v>45587</v>
      </c>
      <c r="D1573" t="inlineStr">
        <is>
          <t>JÖNKÖPINGS LÄN</t>
        </is>
      </c>
      <c r="E1573" t="inlineStr">
        <is>
          <t>VETLANDA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1314-2024</t>
        </is>
      </c>
      <c r="B1574" s="1" t="n">
        <v>45303</v>
      </c>
      <c r="C1574" s="1" t="n">
        <v>45587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1441-2024</t>
        </is>
      </c>
      <c r="B1575" s="1" t="n">
        <v>45303</v>
      </c>
      <c r="C1575" s="1" t="n">
        <v>45587</v>
      </c>
      <c r="D1575" t="inlineStr">
        <is>
          <t>JÖNKÖPINGS LÄN</t>
        </is>
      </c>
      <c r="E1575" t="inlineStr">
        <is>
          <t>VETLANDA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1295-2024</t>
        </is>
      </c>
      <c r="B1576" s="1" t="n">
        <v>45303</v>
      </c>
      <c r="C1576" s="1" t="n">
        <v>45587</v>
      </c>
      <c r="D1576" t="inlineStr">
        <is>
          <t>JÖNKÖPINGS LÄN</t>
        </is>
      </c>
      <c r="E1576" t="inlineStr">
        <is>
          <t>VETLANDA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1440-2024</t>
        </is>
      </c>
      <c r="B1577" s="1" t="n">
        <v>45303</v>
      </c>
      <c r="C1577" s="1" t="n">
        <v>45587</v>
      </c>
      <c r="D1577" t="inlineStr">
        <is>
          <t>JÖNKÖPINGS LÄN</t>
        </is>
      </c>
      <c r="E1577" t="inlineStr">
        <is>
          <t>VETLANDA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1561-2024</t>
        </is>
      </c>
      <c r="B1578" s="1" t="n">
        <v>45306</v>
      </c>
      <c r="C1578" s="1" t="n">
        <v>45587</v>
      </c>
      <c r="D1578" t="inlineStr">
        <is>
          <t>JÖNKÖPINGS LÄN</t>
        </is>
      </c>
      <c r="E1578" t="inlineStr">
        <is>
          <t>VETLANDA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1633-2024</t>
        </is>
      </c>
      <c r="B1579" s="1" t="n">
        <v>45306</v>
      </c>
      <c r="C1579" s="1" t="n">
        <v>45587</v>
      </c>
      <c r="D1579" t="inlineStr">
        <is>
          <t>JÖNKÖPINGS LÄN</t>
        </is>
      </c>
      <c r="E1579" t="inlineStr">
        <is>
          <t>VETLANDA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1631-2024</t>
        </is>
      </c>
      <c r="B1580" s="1" t="n">
        <v>45306</v>
      </c>
      <c r="C1580" s="1" t="n">
        <v>45587</v>
      </c>
      <c r="D1580" t="inlineStr">
        <is>
          <t>JÖNKÖPINGS LÄN</t>
        </is>
      </c>
      <c r="E1580" t="inlineStr">
        <is>
          <t>VETLANDA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1704-2024</t>
        </is>
      </c>
      <c r="B1581" s="1" t="n">
        <v>45307</v>
      </c>
      <c r="C1581" s="1" t="n">
        <v>45587</v>
      </c>
      <c r="D1581" t="inlineStr">
        <is>
          <t>JÖNKÖPINGS LÄN</t>
        </is>
      </c>
      <c r="E1581" t="inlineStr">
        <is>
          <t>VETLANDA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1694-2024</t>
        </is>
      </c>
      <c r="B1582" s="1" t="n">
        <v>45307</v>
      </c>
      <c r="C1582" s="1" t="n">
        <v>45587</v>
      </c>
      <c r="D1582" t="inlineStr">
        <is>
          <t>JÖNKÖPINGS LÄN</t>
        </is>
      </c>
      <c r="E1582" t="inlineStr">
        <is>
          <t>VETLANDA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1695-2024</t>
        </is>
      </c>
      <c r="B1583" s="1" t="n">
        <v>45307</v>
      </c>
      <c r="C1583" s="1" t="n">
        <v>45587</v>
      </c>
      <c r="D1583" t="inlineStr">
        <is>
          <t>JÖNKÖPINGS LÄN</t>
        </is>
      </c>
      <c r="E1583" t="inlineStr">
        <is>
          <t>VETLANDA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1705-2024</t>
        </is>
      </c>
      <c r="B1584" s="1" t="n">
        <v>45307</v>
      </c>
      <c r="C1584" s="1" t="n">
        <v>45587</v>
      </c>
      <c r="D1584" t="inlineStr">
        <is>
          <t>JÖNKÖPINGS LÄN</t>
        </is>
      </c>
      <c r="E1584" t="inlineStr">
        <is>
          <t>VETLANDA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1961-2024</t>
        </is>
      </c>
      <c r="B1585" s="1" t="n">
        <v>45308</v>
      </c>
      <c r="C1585" s="1" t="n">
        <v>45587</v>
      </c>
      <c r="D1585" t="inlineStr">
        <is>
          <t>JÖNKÖPINGS LÄN</t>
        </is>
      </c>
      <c r="E1585" t="inlineStr">
        <is>
          <t>VETLANDA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2162-2024</t>
        </is>
      </c>
      <c r="B1586" s="1" t="n">
        <v>45309</v>
      </c>
      <c r="C1586" s="1" t="n">
        <v>45587</v>
      </c>
      <c r="D1586" t="inlineStr">
        <is>
          <t>JÖNKÖPINGS LÄN</t>
        </is>
      </c>
      <c r="E1586" t="inlineStr">
        <is>
          <t>VETLANDA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2202-2024</t>
        </is>
      </c>
      <c r="B1587" s="1" t="n">
        <v>45309</v>
      </c>
      <c r="C1587" s="1" t="n">
        <v>45587</v>
      </c>
      <c r="D1587" t="inlineStr">
        <is>
          <t>JÖNKÖPINGS LÄN</t>
        </is>
      </c>
      <c r="E1587" t="inlineStr">
        <is>
          <t>VETLANDA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2104-2024</t>
        </is>
      </c>
      <c r="B1588" s="1" t="n">
        <v>45309</v>
      </c>
      <c r="C1588" s="1" t="n">
        <v>45587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2108-2024</t>
        </is>
      </c>
      <c r="B1589" s="1" t="n">
        <v>45309</v>
      </c>
      <c r="C1589" s="1" t="n">
        <v>45587</v>
      </c>
      <c r="D1589" t="inlineStr">
        <is>
          <t>JÖNKÖPINGS LÄN</t>
        </is>
      </c>
      <c r="E1589" t="inlineStr">
        <is>
          <t>VETLANDA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2203-2024</t>
        </is>
      </c>
      <c r="B1590" s="1" t="n">
        <v>45309</v>
      </c>
      <c r="C1590" s="1" t="n">
        <v>45587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2070-2024</t>
        </is>
      </c>
      <c r="B1591" s="1" t="n">
        <v>45309</v>
      </c>
      <c r="C1591" s="1" t="n">
        <v>45587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2156-2024</t>
        </is>
      </c>
      <c r="B1592" s="1" t="n">
        <v>45309</v>
      </c>
      <c r="C1592" s="1" t="n">
        <v>45587</v>
      </c>
      <c r="D1592" t="inlineStr">
        <is>
          <t>JÖNKÖPINGS LÄN</t>
        </is>
      </c>
      <c r="E1592" t="inlineStr">
        <is>
          <t>VETLANDA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2102-2024</t>
        </is>
      </c>
      <c r="B1593" s="1" t="n">
        <v>45309</v>
      </c>
      <c r="C1593" s="1" t="n">
        <v>45587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2310-2024</t>
        </is>
      </c>
      <c r="B1594" s="1" t="n">
        <v>45310</v>
      </c>
      <c r="C1594" s="1" t="n">
        <v>45587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2323-2024</t>
        </is>
      </c>
      <c r="B1595" s="1" t="n">
        <v>45310</v>
      </c>
      <c r="C1595" s="1" t="n">
        <v>45587</v>
      </c>
      <c r="D1595" t="inlineStr">
        <is>
          <t>JÖNKÖPINGS LÄN</t>
        </is>
      </c>
      <c r="E1595" t="inlineStr">
        <is>
          <t>VETLANDA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2440-2024</t>
        </is>
      </c>
      <c r="B1596" s="1" t="n">
        <v>45311</v>
      </c>
      <c r="C1596" s="1" t="n">
        <v>45587</v>
      </c>
      <c r="D1596" t="inlineStr">
        <is>
          <t>JÖNKÖPINGS LÄN</t>
        </is>
      </c>
      <c r="E1596" t="inlineStr">
        <is>
          <t>VETLANDA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2565-2024</t>
        </is>
      </c>
      <c r="B1597" s="1" t="n">
        <v>45313</v>
      </c>
      <c r="C1597" s="1" t="n">
        <v>45587</v>
      </c>
      <c r="D1597" t="inlineStr">
        <is>
          <t>JÖNKÖPINGS LÄN</t>
        </is>
      </c>
      <c r="E1597" t="inlineStr">
        <is>
          <t>VETLANDA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2549-2024</t>
        </is>
      </c>
      <c r="B1598" s="1" t="n">
        <v>45313</v>
      </c>
      <c r="C1598" s="1" t="n">
        <v>45587</v>
      </c>
      <c r="D1598" t="inlineStr">
        <is>
          <t>JÖNKÖPINGS LÄN</t>
        </is>
      </c>
      <c r="E1598" t="inlineStr">
        <is>
          <t>VETLANDA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2770-2024</t>
        </is>
      </c>
      <c r="B1599" s="1" t="n">
        <v>45314</v>
      </c>
      <c r="C1599" s="1" t="n">
        <v>45587</v>
      </c>
      <c r="D1599" t="inlineStr">
        <is>
          <t>JÖNKÖPINGS LÄN</t>
        </is>
      </c>
      <c r="E1599" t="inlineStr">
        <is>
          <t>VETLANDA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2786-2024</t>
        </is>
      </c>
      <c r="B1600" s="1" t="n">
        <v>45314</v>
      </c>
      <c r="C1600" s="1" t="n">
        <v>45587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2772-2024</t>
        </is>
      </c>
      <c r="B1601" s="1" t="n">
        <v>45314</v>
      </c>
      <c r="C1601" s="1" t="n">
        <v>45587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2776-2024</t>
        </is>
      </c>
      <c r="B1602" s="1" t="n">
        <v>45314</v>
      </c>
      <c r="C1602" s="1" t="n">
        <v>45587</v>
      </c>
      <c r="D1602" t="inlineStr">
        <is>
          <t>JÖNKÖPINGS LÄN</t>
        </is>
      </c>
      <c r="E1602" t="inlineStr">
        <is>
          <t>VETLANDA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2815-2024</t>
        </is>
      </c>
      <c r="B1603" s="1" t="n">
        <v>45314</v>
      </c>
      <c r="C1603" s="1" t="n">
        <v>45587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2849-2024</t>
        </is>
      </c>
      <c r="B1604" s="1" t="n">
        <v>45315</v>
      </c>
      <c r="C1604" s="1" t="n">
        <v>45587</v>
      </c>
      <c r="D1604" t="inlineStr">
        <is>
          <t>JÖNKÖPINGS LÄN</t>
        </is>
      </c>
      <c r="E1604" t="inlineStr">
        <is>
          <t>VETLANDA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2882-2024</t>
        </is>
      </c>
      <c r="B1605" s="1" t="n">
        <v>45315</v>
      </c>
      <c r="C1605" s="1" t="n">
        <v>45587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3020-2024</t>
        </is>
      </c>
      <c r="B1606" s="1" t="n">
        <v>45316</v>
      </c>
      <c r="C1606" s="1" t="n">
        <v>45587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3116-2024</t>
        </is>
      </c>
      <c r="B1607" s="1" t="n">
        <v>45316</v>
      </c>
      <c r="C1607" s="1" t="n">
        <v>45587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3136-2024</t>
        </is>
      </c>
      <c r="B1608" s="1" t="n">
        <v>45316</v>
      </c>
      <c r="C1608" s="1" t="n">
        <v>45587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3105-2024</t>
        </is>
      </c>
      <c r="B1609" s="1" t="n">
        <v>45316</v>
      </c>
      <c r="C1609" s="1" t="n">
        <v>45587</v>
      </c>
      <c r="D1609" t="inlineStr">
        <is>
          <t>JÖNKÖPINGS LÄN</t>
        </is>
      </c>
      <c r="E1609" t="inlineStr">
        <is>
          <t>VETLANDA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3121-2024</t>
        </is>
      </c>
      <c r="B1610" s="1" t="n">
        <v>45316</v>
      </c>
      <c r="C1610" s="1" t="n">
        <v>45587</v>
      </c>
      <c r="D1610" t="inlineStr">
        <is>
          <t>JÖNKÖPINGS LÄN</t>
        </is>
      </c>
      <c r="E1610" t="inlineStr">
        <is>
          <t>VETLANDA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3425-2024</t>
        </is>
      </c>
      <c r="B1611" s="1" t="n">
        <v>45319</v>
      </c>
      <c r="C1611" s="1" t="n">
        <v>45587</v>
      </c>
      <c r="D1611" t="inlineStr">
        <is>
          <t>JÖNKÖPINGS LÄN</t>
        </is>
      </c>
      <c r="E1611" t="inlineStr">
        <is>
          <t>VETLANDA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3790-2024</t>
        </is>
      </c>
      <c r="B1612" s="1" t="n">
        <v>45321</v>
      </c>
      <c r="C1612" s="1" t="n">
        <v>45587</v>
      </c>
      <c r="D1612" t="inlineStr">
        <is>
          <t>JÖNKÖPINGS LÄN</t>
        </is>
      </c>
      <c r="E1612" t="inlineStr">
        <is>
          <t>VETLANDA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3906-2024</t>
        </is>
      </c>
      <c r="B1613" s="1" t="n">
        <v>45322</v>
      </c>
      <c r="C1613" s="1" t="n">
        <v>45587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3935-2024</t>
        </is>
      </c>
      <c r="B1614" s="1" t="n">
        <v>45322</v>
      </c>
      <c r="C1614" s="1" t="n">
        <v>45587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3925-2024</t>
        </is>
      </c>
      <c r="B1615" s="1" t="n">
        <v>45322</v>
      </c>
      <c r="C1615" s="1" t="n">
        <v>45587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4033-2024</t>
        </is>
      </c>
      <c r="B1616" s="1" t="n">
        <v>45323</v>
      </c>
      <c r="C1616" s="1" t="n">
        <v>45587</v>
      </c>
      <c r="D1616" t="inlineStr">
        <is>
          <t>JÖNKÖPINGS LÄN</t>
        </is>
      </c>
      <c r="E1616" t="inlineStr">
        <is>
          <t>VETLANDA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4209-2024</t>
        </is>
      </c>
      <c r="B1617" s="1" t="n">
        <v>45324</v>
      </c>
      <c r="C1617" s="1" t="n">
        <v>45587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4201-2024</t>
        </is>
      </c>
      <c r="B1618" s="1" t="n">
        <v>45324</v>
      </c>
      <c r="C1618" s="1" t="n">
        <v>45587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4198-2024</t>
        </is>
      </c>
      <c r="B1619" s="1" t="n">
        <v>45324</v>
      </c>
      <c r="C1619" s="1" t="n">
        <v>45587</v>
      </c>
      <c r="D1619" t="inlineStr">
        <is>
          <t>JÖNKÖPINGS LÄN</t>
        </is>
      </c>
      <c r="E1619" t="inlineStr">
        <is>
          <t>VETLANDA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4199-2024</t>
        </is>
      </c>
      <c r="B1620" s="1" t="n">
        <v>45324</v>
      </c>
      <c r="C1620" s="1" t="n">
        <v>45587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4416-2024</t>
        </is>
      </c>
      <c r="B1621" s="1" t="n">
        <v>45327</v>
      </c>
      <c r="C1621" s="1" t="n">
        <v>45587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4396-2024</t>
        </is>
      </c>
      <c r="B1622" s="1" t="n">
        <v>45327</v>
      </c>
      <c r="C1622" s="1" t="n">
        <v>45587</v>
      </c>
      <c r="D1622" t="inlineStr">
        <is>
          <t>JÖNKÖPINGS LÄN</t>
        </is>
      </c>
      <c r="E1622" t="inlineStr">
        <is>
          <t>VETLANDA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4611-2024</t>
        </is>
      </c>
      <c r="B1623" s="1" t="n">
        <v>45328</v>
      </c>
      <c r="C1623" s="1" t="n">
        <v>45587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4679-2024</t>
        </is>
      </c>
      <c r="B1624" s="1" t="n">
        <v>45328</v>
      </c>
      <c r="C1624" s="1" t="n">
        <v>45587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4884-2024</t>
        </is>
      </c>
      <c r="B1625" s="1" t="n">
        <v>45329</v>
      </c>
      <c r="C1625" s="1" t="n">
        <v>45587</v>
      </c>
      <c r="D1625" t="inlineStr">
        <is>
          <t>JÖNKÖPINGS LÄN</t>
        </is>
      </c>
      <c r="E1625" t="inlineStr">
        <is>
          <t>VETLANDA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4902-2024</t>
        </is>
      </c>
      <c r="B1626" s="1" t="n">
        <v>45329</v>
      </c>
      <c r="C1626" s="1" t="n">
        <v>45587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4944-2024</t>
        </is>
      </c>
      <c r="B1627" s="1" t="n">
        <v>45329</v>
      </c>
      <c r="C1627" s="1" t="n">
        <v>45587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4964-2024</t>
        </is>
      </c>
      <c r="B1628" s="1" t="n">
        <v>45329</v>
      </c>
      <c r="C1628" s="1" t="n">
        <v>45587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4968-2024</t>
        </is>
      </c>
      <c r="B1629" s="1" t="n">
        <v>45329</v>
      </c>
      <c r="C1629" s="1" t="n">
        <v>45587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4905-2024</t>
        </is>
      </c>
      <c r="B1630" s="1" t="n">
        <v>45329</v>
      </c>
      <c r="C1630" s="1" t="n">
        <v>45587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4941-2024</t>
        </is>
      </c>
      <c r="B1631" s="1" t="n">
        <v>45329</v>
      </c>
      <c r="C1631" s="1" t="n">
        <v>45587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4973-2024</t>
        </is>
      </c>
      <c r="B1632" s="1" t="n">
        <v>45329</v>
      </c>
      <c r="C1632" s="1" t="n">
        <v>45587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4947-2024</t>
        </is>
      </c>
      <c r="B1633" s="1" t="n">
        <v>45329</v>
      </c>
      <c r="C1633" s="1" t="n">
        <v>45587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5031-2024</t>
        </is>
      </c>
      <c r="B1634" s="1" t="n">
        <v>45329</v>
      </c>
      <c r="C1634" s="1" t="n">
        <v>45587</v>
      </c>
      <c r="D1634" t="inlineStr">
        <is>
          <t>JÖNKÖPINGS LÄN</t>
        </is>
      </c>
      <c r="E1634" t="inlineStr">
        <is>
          <t>VETLANDA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5143-2024</t>
        </is>
      </c>
      <c r="B1635" s="1" t="n">
        <v>45330</v>
      </c>
      <c r="C1635" s="1" t="n">
        <v>45587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5180-2024</t>
        </is>
      </c>
      <c r="B1636" s="1" t="n">
        <v>45330</v>
      </c>
      <c r="C1636" s="1" t="n">
        <v>45587</v>
      </c>
      <c r="D1636" t="inlineStr">
        <is>
          <t>JÖNKÖPINGS LÄN</t>
        </is>
      </c>
      <c r="E1636" t="inlineStr">
        <is>
          <t>VETLANDA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5121-2024</t>
        </is>
      </c>
      <c r="B1637" s="1" t="n">
        <v>45330</v>
      </c>
      <c r="C1637" s="1" t="n">
        <v>45587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5130-2024</t>
        </is>
      </c>
      <c r="B1638" s="1" t="n">
        <v>45330</v>
      </c>
      <c r="C1638" s="1" t="n">
        <v>45587</v>
      </c>
      <c r="D1638" t="inlineStr">
        <is>
          <t>JÖNKÖPINGS LÄN</t>
        </is>
      </c>
      <c r="E1638" t="inlineStr">
        <is>
          <t>VETLANDA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5155-2024</t>
        </is>
      </c>
      <c r="B1639" s="1" t="n">
        <v>45330</v>
      </c>
      <c r="C1639" s="1" t="n">
        <v>45587</v>
      </c>
      <c r="D1639" t="inlineStr">
        <is>
          <t>JÖNKÖPINGS LÄN</t>
        </is>
      </c>
      <c r="E1639" t="inlineStr">
        <is>
          <t>VETLANDA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5157-2024</t>
        </is>
      </c>
      <c r="B1640" s="1" t="n">
        <v>45330</v>
      </c>
      <c r="C1640" s="1" t="n">
        <v>45587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5281-2024</t>
        </is>
      </c>
      <c r="B1641" s="1" t="n">
        <v>45331</v>
      </c>
      <c r="C1641" s="1" t="n">
        <v>45587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5349-2024</t>
        </is>
      </c>
      <c r="B1642" s="1" t="n">
        <v>45331</v>
      </c>
      <c r="C1642" s="1" t="n">
        <v>45587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5364-2024</t>
        </is>
      </c>
      <c r="B1643" s="1" t="n">
        <v>45331</v>
      </c>
      <c r="C1643" s="1" t="n">
        <v>45587</v>
      </c>
      <c r="D1643" t="inlineStr">
        <is>
          <t>JÖNKÖPINGS LÄN</t>
        </is>
      </c>
      <c r="E1643" t="inlineStr">
        <is>
          <t>VETLANDA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5362-2024</t>
        </is>
      </c>
      <c r="B1644" s="1" t="n">
        <v>45331</v>
      </c>
      <c r="C1644" s="1" t="n">
        <v>45587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5365-2024</t>
        </is>
      </c>
      <c r="B1645" s="1" t="n">
        <v>45331</v>
      </c>
      <c r="C1645" s="1" t="n">
        <v>45587</v>
      </c>
      <c r="D1645" t="inlineStr">
        <is>
          <t>JÖNKÖPINGS LÄN</t>
        </is>
      </c>
      <c r="E1645" t="inlineStr">
        <is>
          <t>VETLANDA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5347-2024</t>
        </is>
      </c>
      <c r="B1646" s="1" t="n">
        <v>45331</v>
      </c>
      <c r="C1646" s="1" t="n">
        <v>45587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5363-2024</t>
        </is>
      </c>
      <c r="B1647" s="1" t="n">
        <v>45331</v>
      </c>
      <c r="C1647" s="1" t="n">
        <v>45587</v>
      </c>
      <c r="D1647" t="inlineStr">
        <is>
          <t>JÖNKÖPINGS LÄN</t>
        </is>
      </c>
      <c r="E1647" t="inlineStr">
        <is>
          <t>VETLANDA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5697-2024</t>
        </is>
      </c>
      <c r="B1648" s="1" t="n">
        <v>45334</v>
      </c>
      <c r="C1648" s="1" t="n">
        <v>45587</v>
      </c>
      <c r="D1648" t="inlineStr">
        <is>
          <t>JÖNKÖPINGS LÄN</t>
        </is>
      </c>
      <c r="E1648" t="inlineStr">
        <is>
          <t>VETLANDA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5802-2024</t>
        </is>
      </c>
      <c r="B1649" s="1" t="n">
        <v>45335</v>
      </c>
      <c r="C1649" s="1" t="n">
        <v>45587</v>
      </c>
      <c r="D1649" t="inlineStr">
        <is>
          <t>JÖNKÖPINGS LÄN</t>
        </is>
      </c>
      <c r="E1649" t="inlineStr">
        <is>
          <t>VETLANDA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5800-2024</t>
        </is>
      </c>
      <c r="B1650" s="1" t="n">
        <v>45335</v>
      </c>
      <c r="C1650" s="1" t="n">
        <v>45587</v>
      </c>
      <c r="D1650" t="inlineStr">
        <is>
          <t>JÖNKÖPINGS LÄN</t>
        </is>
      </c>
      <c r="E1650" t="inlineStr">
        <is>
          <t>VETLANDA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5804-2024</t>
        </is>
      </c>
      <c r="B1651" s="1" t="n">
        <v>45335</v>
      </c>
      <c r="C1651" s="1" t="n">
        <v>45587</v>
      </c>
      <c r="D1651" t="inlineStr">
        <is>
          <t>JÖNKÖPINGS LÄN</t>
        </is>
      </c>
      <c r="E1651" t="inlineStr">
        <is>
          <t>VETLANDA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5859-2024</t>
        </is>
      </c>
      <c r="B1652" s="1" t="n">
        <v>45335</v>
      </c>
      <c r="C1652" s="1" t="n">
        <v>45587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6051-2024</t>
        </is>
      </c>
      <c r="B1653" s="1" t="n">
        <v>45336</v>
      </c>
      <c r="C1653" s="1" t="n">
        <v>45587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6032-2024</t>
        </is>
      </c>
      <c r="B1654" s="1" t="n">
        <v>45336</v>
      </c>
      <c r="C1654" s="1" t="n">
        <v>45587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6142-2024</t>
        </is>
      </c>
      <c r="B1655" s="1" t="n">
        <v>45337</v>
      </c>
      <c r="C1655" s="1" t="n">
        <v>45587</v>
      </c>
      <c r="D1655" t="inlineStr">
        <is>
          <t>JÖNKÖPINGS LÄN</t>
        </is>
      </c>
      <c r="E1655" t="inlineStr">
        <is>
          <t>VETLANDA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6186-2024</t>
        </is>
      </c>
      <c r="B1656" s="1" t="n">
        <v>45337</v>
      </c>
      <c r="C1656" s="1" t="n">
        <v>45587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6215-2024</t>
        </is>
      </c>
      <c r="B1657" s="1" t="n">
        <v>45337</v>
      </c>
      <c r="C1657" s="1" t="n">
        <v>45587</v>
      </c>
      <c r="D1657" t="inlineStr">
        <is>
          <t>JÖNKÖPINGS LÄN</t>
        </is>
      </c>
      <c r="E1657" t="inlineStr">
        <is>
          <t>VETLANDA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6223-2024</t>
        </is>
      </c>
      <c r="B1658" s="1" t="n">
        <v>45337</v>
      </c>
      <c r="C1658" s="1" t="n">
        <v>45587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6229-2024</t>
        </is>
      </c>
      <c r="B1659" s="1" t="n">
        <v>45337</v>
      </c>
      <c r="C1659" s="1" t="n">
        <v>45587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6184-2024</t>
        </is>
      </c>
      <c r="B1660" s="1" t="n">
        <v>45337</v>
      </c>
      <c r="C1660" s="1" t="n">
        <v>45587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6208-2024</t>
        </is>
      </c>
      <c r="B1661" s="1" t="n">
        <v>45337</v>
      </c>
      <c r="C1661" s="1" t="n">
        <v>45587</v>
      </c>
      <c r="D1661" t="inlineStr">
        <is>
          <t>JÖNKÖPINGS LÄN</t>
        </is>
      </c>
      <c r="E1661" t="inlineStr">
        <is>
          <t>VETLANDA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6290-2024</t>
        </is>
      </c>
      <c r="B1662" s="1" t="n">
        <v>45338</v>
      </c>
      <c r="C1662" s="1" t="n">
        <v>45587</v>
      </c>
      <c r="D1662" t="inlineStr">
        <is>
          <t>JÖNKÖPINGS LÄN</t>
        </is>
      </c>
      <c r="E1662" t="inlineStr">
        <is>
          <t>VETLANDA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6594-2024</t>
        </is>
      </c>
      <c r="B1663" s="1" t="n">
        <v>45341</v>
      </c>
      <c r="C1663" s="1" t="n">
        <v>45587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6624-2024</t>
        </is>
      </c>
      <c r="B1664" s="1" t="n">
        <v>45341</v>
      </c>
      <c r="C1664" s="1" t="n">
        <v>45587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6623-2024</t>
        </is>
      </c>
      <c r="B1665" s="1" t="n">
        <v>45341</v>
      </c>
      <c r="C1665" s="1" t="n">
        <v>45587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6627-2024</t>
        </is>
      </c>
      <c r="B1666" s="1" t="n">
        <v>45341</v>
      </c>
      <c r="C1666" s="1" t="n">
        <v>45587</v>
      </c>
      <c r="D1666" t="inlineStr">
        <is>
          <t>JÖNKÖPINGS LÄN</t>
        </is>
      </c>
      <c r="E1666" t="inlineStr">
        <is>
          <t>VETLANDA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6635-2024</t>
        </is>
      </c>
      <c r="B1667" s="1" t="n">
        <v>45341</v>
      </c>
      <c r="C1667" s="1" t="n">
        <v>45587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6805-2024</t>
        </is>
      </c>
      <c r="B1668" s="1" t="n">
        <v>45342</v>
      </c>
      <c r="C1668" s="1" t="n">
        <v>45587</v>
      </c>
      <c r="D1668" t="inlineStr">
        <is>
          <t>JÖNKÖPINGS LÄN</t>
        </is>
      </c>
      <c r="E1668" t="inlineStr">
        <is>
          <t>VETLANDA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6863-2024</t>
        </is>
      </c>
      <c r="B1669" s="1" t="n">
        <v>45342</v>
      </c>
      <c r="C1669" s="1" t="n">
        <v>45587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7236-2024</t>
        </is>
      </c>
      <c r="B1670" s="1" t="n">
        <v>45344</v>
      </c>
      <c r="C1670" s="1" t="n">
        <v>45587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7364-2024</t>
        </is>
      </c>
      <c r="B1671" s="1" t="n">
        <v>45345</v>
      </c>
      <c r="C1671" s="1" t="n">
        <v>45587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7366-2024</t>
        </is>
      </c>
      <c r="B1672" s="1" t="n">
        <v>45345</v>
      </c>
      <c r="C1672" s="1" t="n">
        <v>45587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7593-2024</t>
        </is>
      </c>
      <c r="B1673" s="1" t="n">
        <v>45348</v>
      </c>
      <c r="C1673" s="1" t="n">
        <v>45587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7623-2024</t>
        </is>
      </c>
      <c r="B1674" s="1" t="n">
        <v>45348</v>
      </c>
      <c r="C1674" s="1" t="n">
        <v>45587</v>
      </c>
      <c r="D1674" t="inlineStr">
        <is>
          <t>JÖNKÖPINGS LÄN</t>
        </is>
      </c>
      <c r="E1674" t="inlineStr">
        <is>
          <t>VETLANDA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7592-2024</t>
        </is>
      </c>
      <c r="B1675" s="1" t="n">
        <v>45348</v>
      </c>
      <c r="C1675" s="1" t="n">
        <v>45587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7625-2024</t>
        </is>
      </c>
      <c r="B1676" s="1" t="n">
        <v>45348</v>
      </c>
      <c r="C1676" s="1" t="n">
        <v>45587</v>
      </c>
      <c r="D1676" t="inlineStr">
        <is>
          <t>JÖNKÖPINGS LÄN</t>
        </is>
      </c>
      <c r="E1676" t="inlineStr">
        <is>
          <t>VETLANDA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7938-2024</t>
        </is>
      </c>
      <c r="B1677" s="1" t="n">
        <v>45350</v>
      </c>
      <c r="C1677" s="1" t="n">
        <v>45587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7937-2024</t>
        </is>
      </c>
      <c r="B1678" s="1" t="n">
        <v>45350</v>
      </c>
      <c r="C1678" s="1" t="n">
        <v>45587</v>
      </c>
      <c r="D1678" t="inlineStr">
        <is>
          <t>JÖNKÖPINGS LÄN</t>
        </is>
      </c>
      <c r="E1678" t="inlineStr">
        <is>
          <t>VETLANDA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7940-2024</t>
        </is>
      </c>
      <c r="B1679" s="1" t="n">
        <v>45350</v>
      </c>
      <c r="C1679" s="1" t="n">
        <v>45587</v>
      </c>
      <c r="D1679" t="inlineStr">
        <is>
          <t>JÖNKÖPINGS LÄN</t>
        </is>
      </c>
      <c r="E1679" t="inlineStr">
        <is>
          <t>VETLANDA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7999-2024</t>
        </is>
      </c>
      <c r="B1680" s="1" t="n">
        <v>45350</v>
      </c>
      <c r="C1680" s="1" t="n">
        <v>45587</v>
      </c>
      <c r="D1680" t="inlineStr">
        <is>
          <t>JÖNKÖPINGS LÄN</t>
        </is>
      </c>
      <c r="E1680" t="inlineStr">
        <is>
          <t>VETLANDA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8076-2024</t>
        </is>
      </c>
      <c r="B1681" s="1" t="n">
        <v>45351</v>
      </c>
      <c r="C1681" s="1" t="n">
        <v>45587</v>
      </c>
      <c r="D1681" t="inlineStr">
        <is>
          <t>JÖNKÖPINGS LÄN</t>
        </is>
      </c>
      <c r="E1681" t="inlineStr">
        <is>
          <t>VETLANDA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8202-2024</t>
        </is>
      </c>
      <c r="B1682" s="1" t="n">
        <v>45351</v>
      </c>
      <c r="C1682" s="1" t="n">
        <v>45587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8206-2024</t>
        </is>
      </c>
      <c r="B1683" s="1" t="n">
        <v>45351</v>
      </c>
      <c r="C1683" s="1" t="n">
        <v>45587</v>
      </c>
      <c r="D1683" t="inlineStr">
        <is>
          <t>JÖNKÖPINGS LÄN</t>
        </is>
      </c>
      <c r="E1683" t="inlineStr">
        <is>
          <t>VETLANDA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8211-2024</t>
        </is>
      </c>
      <c r="B1684" s="1" t="n">
        <v>45351</v>
      </c>
      <c r="C1684" s="1" t="n">
        <v>45587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8207-2024</t>
        </is>
      </c>
      <c r="B1685" s="1" t="n">
        <v>45351</v>
      </c>
      <c r="C1685" s="1" t="n">
        <v>45587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8201-2024</t>
        </is>
      </c>
      <c r="B1686" s="1" t="n">
        <v>45351</v>
      </c>
      <c r="C1686" s="1" t="n">
        <v>45587</v>
      </c>
      <c r="D1686" t="inlineStr">
        <is>
          <t>JÖNKÖPINGS LÄN</t>
        </is>
      </c>
      <c r="E1686" t="inlineStr">
        <is>
          <t>VETLANDA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8210-2024</t>
        </is>
      </c>
      <c r="B1687" s="1" t="n">
        <v>45351</v>
      </c>
      <c r="C1687" s="1" t="n">
        <v>45587</v>
      </c>
      <c r="D1687" t="inlineStr">
        <is>
          <t>JÖNKÖPINGS LÄN</t>
        </is>
      </c>
      <c r="E1687" t="inlineStr">
        <is>
          <t>VETLANDA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8220-2024</t>
        </is>
      </c>
      <c r="B1688" s="1" t="n">
        <v>45351</v>
      </c>
      <c r="C1688" s="1" t="n">
        <v>45587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8222-2024</t>
        </is>
      </c>
      <c r="B1689" s="1" t="n">
        <v>45351</v>
      </c>
      <c r="C1689" s="1" t="n">
        <v>45587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8200-2024</t>
        </is>
      </c>
      <c r="B1690" s="1" t="n">
        <v>45351</v>
      </c>
      <c r="C1690" s="1" t="n">
        <v>45587</v>
      </c>
      <c r="D1690" t="inlineStr">
        <is>
          <t>JÖNKÖPINGS LÄN</t>
        </is>
      </c>
      <c r="E1690" t="inlineStr">
        <is>
          <t>VETLANDA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8204-2024</t>
        </is>
      </c>
      <c r="B1691" s="1" t="n">
        <v>45351</v>
      </c>
      <c r="C1691" s="1" t="n">
        <v>45587</v>
      </c>
      <c r="D1691" t="inlineStr">
        <is>
          <t>JÖNKÖPINGS LÄN</t>
        </is>
      </c>
      <c r="E1691" t="inlineStr">
        <is>
          <t>VETLANDA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8209-2024</t>
        </is>
      </c>
      <c r="B1692" s="1" t="n">
        <v>45351</v>
      </c>
      <c r="C1692" s="1" t="n">
        <v>45587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8669-2024</t>
        </is>
      </c>
      <c r="B1693" s="1" t="n">
        <v>45352</v>
      </c>
      <c r="C1693" s="1" t="n">
        <v>45587</v>
      </c>
      <c r="D1693" t="inlineStr">
        <is>
          <t>JÖNKÖPINGS LÄN</t>
        </is>
      </c>
      <c r="E1693" t="inlineStr">
        <is>
          <t>VETLANDA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8623-2024</t>
        </is>
      </c>
      <c r="B1694" s="1" t="n">
        <v>45352</v>
      </c>
      <c r="C1694" s="1" t="n">
        <v>45587</v>
      </c>
      <c r="D1694" t="inlineStr">
        <is>
          <t>JÖNKÖPINGS LÄN</t>
        </is>
      </c>
      <c r="E1694" t="inlineStr">
        <is>
          <t>VETLANDA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8675-2024</t>
        </is>
      </c>
      <c r="B1695" s="1" t="n">
        <v>45352</v>
      </c>
      <c r="C1695" s="1" t="n">
        <v>45587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8477-2024</t>
        </is>
      </c>
      <c r="B1696" s="1" t="n">
        <v>45355</v>
      </c>
      <c r="C1696" s="1" t="n">
        <v>45587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8947-2024</t>
        </is>
      </c>
      <c r="B1697" s="1" t="n">
        <v>45357</v>
      </c>
      <c r="C1697" s="1" t="n">
        <v>45587</v>
      </c>
      <c r="D1697" t="inlineStr">
        <is>
          <t>JÖNKÖPINGS LÄN</t>
        </is>
      </c>
      <c r="E1697" t="inlineStr">
        <is>
          <t>VETLANDA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8949-2024</t>
        </is>
      </c>
      <c r="B1698" s="1" t="n">
        <v>45357</v>
      </c>
      <c r="C1698" s="1" t="n">
        <v>45587</v>
      </c>
      <c r="D1698" t="inlineStr">
        <is>
          <t>JÖNKÖPINGS LÄN</t>
        </is>
      </c>
      <c r="E1698" t="inlineStr">
        <is>
          <t>VETLANDA</t>
        </is>
      </c>
      <c r="G1698" t="n">
        <v>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8991-2024</t>
        </is>
      </c>
      <c r="B1699" s="1" t="n">
        <v>45357</v>
      </c>
      <c r="C1699" s="1" t="n">
        <v>45587</v>
      </c>
      <c r="D1699" t="inlineStr">
        <is>
          <t>JÖNKÖPINGS LÄN</t>
        </is>
      </c>
      <c r="E1699" t="inlineStr">
        <is>
          <t>VETLANDA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8946-2024</t>
        </is>
      </c>
      <c r="B1700" s="1" t="n">
        <v>45357</v>
      </c>
      <c r="C1700" s="1" t="n">
        <v>45587</v>
      </c>
      <c r="D1700" t="inlineStr">
        <is>
          <t>JÖNKÖPINGS LÄN</t>
        </is>
      </c>
      <c r="E1700" t="inlineStr">
        <is>
          <t>VETLANDA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8992-2024</t>
        </is>
      </c>
      <c r="B1701" s="1" t="n">
        <v>45357</v>
      </c>
      <c r="C1701" s="1" t="n">
        <v>45587</v>
      </c>
      <c r="D1701" t="inlineStr">
        <is>
          <t>JÖNKÖPINGS LÄN</t>
        </is>
      </c>
      <c r="E1701" t="inlineStr">
        <is>
          <t>VETLANDA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9037-2024</t>
        </is>
      </c>
      <c r="B1702" s="1" t="n">
        <v>45357</v>
      </c>
      <c r="C1702" s="1" t="n">
        <v>45587</v>
      </c>
      <c r="D1702" t="inlineStr">
        <is>
          <t>JÖNKÖPINGS LÄN</t>
        </is>
      </c>
      <c r="E1702" t="inlineStr">
        <is>
          <t>VETLANDA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9141-2024</t>
        </is>
      </c>
      <c r="B1703" s="1" t="n">
        <v>45358</v>
      </c>
      <c r="C1703" s="1" t="n">
        <v>45587</v>
      </c>
      <c r="D1703" t="inlineStr">
        <is>
          <t>JÖNKÖPINGS LÄN</t>
        </is>
      </c>
      <c r="E1703" t="inlineStr">
        <is>
          <t>VETLANDA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9202-2024</t>
        </is>
      </c>
      <c r="B1704" s="1" t="n">
        <v>45358</v>
      </c>
      <c r="C1704" s="1" t="n">
        <v>45587</v>
      </c>
      <c r="D1704" t="inlineStr">
        <is>
          <t>JÖNKÖPINGS LÄN</t>
        </is>
      </c>
      <c r="E1704" t="inlineStr">
        <is>
          <t>VETLANDA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9227-2024</t>
        </is>
      </c>
      <c r="B1705" s="1" t="n">
        <v>45358</v>
      </c>
      <c r="C1705" s="1" t="n">
        <v>45587</v>
      </c>
      <c r="D1705" t="inlineStr">
        <is>
          <t>JÖNKÖPINGS LÄN</t>
        </is>
      </c>
      <c r="E1705" t="inlineStr">
        <is>
          <t>VETLANDA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9191-2024</t>
        </is>
      </c>
      <c r="B1706" s="1" t="n">
        <v>45358</v>
      </c>
      <c r="C1706" s="1" t="n">
        <v>45587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9497-2024</t>
        </is>
      </c>
      <c r="B1707" s="1" t="n">
        <v>45359</v>
      </c>
      <c r="C1707" s="1" t="n">
        <v>45587</v>
      </c>
      <c r="D1707" t="inlineStr">
        <is>
          <t>JÖNKÖPINGS LÄN</t>
        </is>
      </c>
      <c r="E1707" t="inlineStr">
        <is>
          <t>VETLANDA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9502-2024</t>
        </is>
      </c>
      <c r="B1708" s="1" t="n">
        <v>45359</v>
      </c>
      <c r="C1708" s="1" t="n">
        <v>45587</v>
      </c>
      <c r="D1708" t="inlineStr">
        <is>
          <t>JÖNKÖPINGS LÄN</t>
        </is>
      </c>
      <c r="E1708" t="inlineStr">
        <is>
          <t>VETLANDA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9506-2024</t>
        </is>
      </c>
      <c r="B1709" s="1" t="n">
        <v>45359</v>
      </c>
      <c r="C1709" s="1" t="n">
        <v>45587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9383-2024</t>
        </is>
      </c>
      <c r="B1710" s="1" t="n">
        <v>45359</v>
      </c>
      <c r="C1710" s="1" t="n">
        <v>45587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9378-2024</t>
        </is>
      </c>
      <c r="B1711" s="1" t="n">
        <v>45359</v>
      </c>
      <c r="C1711" s="1" t="n">
        <v>45587</v>
      </c>
      <c r="D1711" t="inlineStr">
        <is>
          <t>JÖNKÖPINGS LÄN</t>
        </is>
      </c>
      <c r="E1711" t="inlineStr">
        <is>
          <t>VETLANDA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9380-2024</t>
        </is>
      </c>
      <c r="B1712" s="1" t="n">
        <v>45359</v>
      </c>
      <c r="C1712" s="1" t="n">
        <v>45587</v>
      </c>
      <c r="D1712" t="inlineStr">
        <is>
          <t>JÖNKÖPINGS LÄN</t>
        </is>
      </c>
      <c r="E1712" t="inlineStr">
        <is>
          <t>VETLANDA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9484-2024</t>
        </is>
      </c>
      <c r="B1713" s="1" t="n">
        <v>45359</v>
      </c>
      <c r="C1713" s="1" t="n">
        <v>45587</v>
      </c>
      <c r="D1713" t="inlineStr">
        <is>
          <t>JÖNKÖPINGS LÄN</t>
        </is>
      </c>
      <c r="E1713" t="inlineStr">
        <is>
          <t>VETLANDA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9508-2024</t>
        </is>
      </c>
      <c r="B1714" s="1" t="n">
        <v>45359</v>
      </c>
      <c r="C1714" s="1" t="n">
        <v>45587</v>
      </c>
      <c r="D1714" t="inlineStr">
        <is>
          <t>JÖNKÖPINGS LÄN</t>
        </is>
      </c>
      <c r="E1714" t="inlineStr">
        <is>
          <t>VETLANDA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9774-2024</t>
        </is>
      </c>
      <c r="B1715" s="1" t="n">
        <v>45362</v>
      </c>
      <c r="C1715" s="1" t="n">
        <v>45587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9730-2024</t>
        </is>
      </c>
      <c r="B1716" s="1" t="n">
        <v>45362</v>
      </c>
      <c r="C1716" s="1" t="n">
        <v>45587</v>
      </c>
      <c r="D1716" t="inlineStr">
        <is>
          <t>JÖNKÖPINGS LÄN</t>
        </is>
      </c>
      <c r="E1716" t="inlineStr">
        <is>
          <t>VETLANDA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9851-2024</t>
        </is>
      </c>
      <c r="B1717" s="1" t="n">
        <v>45363</v>
      </c>
      <c r="C1717" s="1" t="n">
        <v>45587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9868-2024</t>
        </is>
      </c>
      <c r="B1718" s="1" t="n">
        <v>45363</v>
      </c>
      <c r="C1718" s="1" t="n">
        <v>45587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9889-2024</t>
        </is>
      </c>
      <c r="B1719" s="1" t="n">
        <v>45363</v>
      </c>
      <c r="C1719" s="1" t="n">
        <v>45587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9867-2024</t>
        </is>
      </c>
      <c r="B1720" s="1" t="n">
        <v>45363</v>
      </c>
      <c r="C1720" s="1" t="n">
        <v>45587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9892-2024</t>
        </is>
      </c>
      <c r="B1721" s="1" t="n">
        <v>45363</v>
      </c>
      <c r="C1721" s="1" t="n">
        <v>45587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10045-2024</t>
        </is>
      </c>
      <c r="B1722" s="1" t="n">
        <v>45364</v>
      </c>
      <c r="C1722" s="1" t="n">
        <v>45587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10135-2024</t>
        </is>
      </c>
      <c r="B1723" s="1" t="n">
        <v>45364</v>
      </c>
      <c r="C1723" s="1" t="n">
        <v>45587</v>
      </c>
      <c r="D1723" t="inlineStr">
        <is>
          <t>JÖNKÖPINGS LÄN</t>
        </is>
      </c>
      <c r="E1723" t="inlineStr">
        <is>
          <t>VETLANDA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10046-2024</t>
        </is>
      </c>
      <c r="B1724" s="1" t="n">
        <v>45364</v>
      </c>
      <c r="C1724" s="1" t="n">
        <v>45587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10044-2024</t>
        </is>
      </c>
      <c r="B1725" s="1" t="n">
        <v>45364</v>
      </c>
      <c r="C1725" s="1" t="n">
        <v>45587</v>
      </c>
      <c r="D1725" t="inlineStr">
        <is>
          <t>JÖNKÖPINGS LÄN</t>
        </is>
      </c>
      <c r="E1725" t="inlineStr">
        <is>
          <t>VETLANDA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10185-2024</t>
        </is>
      </c>
      <c r="B1726" s="1" t="n">
        <v>45364</v>
      </c>
      <c r="C1726" s="1" t="n">
        <v>45587</v>
      </c>
      <c r="D1726" t="inlineStr">
        <is>
          <t>JÖNKÖPINGS LÄN</t>
        </is>
      </c>
      <c r="E1726" t="inlineStr">
        <is>
          <t>VETLANDA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10186-2024</t>
        </is>
      </c>
      <c r="B1727" s="1" t="n">
        <v>45364</v>
      </c>
      <c r="C1727" s="1" t="n">
        <v>45587</v>
      </c>
      <c r="D1727" t="inlineStr">
        <is>
          <t>JÖNKÖPINGS LÄN</t>
        </is>
      </c>
      <c r="E1727" t="inlineStr">
        <is>
          <t>VETLANDA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10209-2024</t>
        </is>
      </c>
      <c r="B1728" s="1" t="n">
        <v>45364</v>
      </c>
      <c r="C1728" s="1" t="n">
        <v>45587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10378-2024</t>
        </is>
      </c>
      <c r="B1729" s="1" t="n">
        <v>45365</v>
      </c>
      <c r="C1729" s="1" t="n">
        <v>45587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10383-2024</t>
        </is>
      </c>
      <c r="B1730" s="1" t="n">
        <v>45365</v>
      </c>
      <c r="C1730" s="1" t="n">
        <v>45587</v>
      </c>
      <c r="D1730" t="inlineStr">
        <is>
          <t>JÖNKÖPINGS LÄN</t>
        </is>
      </c>
      <c r="E1730" t="inlineStr">
        <is>
          <t>VETLANDA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10377-2024</t>
        </is>
      </c>
      <c r="B1731" s="1" t="n">
        <v>45365</v>
      </c>
      <c r="C1731" s="1" t="n">
        <v>45587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10381-2024</t>
        </is>
      </c>
      <c r="B1732" s="1" t="n">
        <v>45365</v>
      </c>
      <c r="C1732" s="1" t="n">
        <v>45587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10423-2024</t>
        </is>
      </c>
      <c r="B1733" s="1" t="n">
        <v>45365</v>
      </c>
      <c r="C1733" s="1" t="n">
        <v>45587</v>
      </c>
      <c r="D1733" t="inlineStr">
        <is>
          <t>JÖNKÖPINGS LÄN</t>
        </is>
      </c>
      <c r="E1733" t="inlineStr">
        <is>
          <t>VETLANDA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10469-2024</t>
        </is>
      </c>
      <c r="B1734" s="1" t="n">
        <v>45366</v>
      </c>
      <c r="C1734" s="1" t="n">
        <v>45587</v>
      </c>
      <c r="D1734" t="inlineStr">
        <is>
          <t>JÖNKÖPINGS LÄN</t>
        </is>
      </c>
      <c r="E1734" t="inlineStr">
        <is>
          <t>VETLANDA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10473-2024</t>
        </is>
      </c>
      <c r="B1735" s="1" t="n">
        <v>45366</v>
      </c>
      <c r="C1735" s="1" t="n">
        <v>45587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10574-2024</t>
        </is>
      </c>
      <c r="B1736" s="1" t="n">
        <v>45366</v>
      </c>
      <c r="C1736" s="1" t="n">
        <v>45587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Sveaskog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10593-2024</t>
        </is>
      </c>
      <c r="B1737" s="1" t="n">
        <v>45366</v>
      </c>
      <c r="C1737" s="1" t="n">
        <v>45587</v>
      </c>
      <c r="D1737" t="inlineStr">
        <is>
          <t>JÖNKÖPINGS LÄN</t>
        </is>
      </c>
      <c r="E1737" t="inlineStr">
        <is>
          <t>VETLANDA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10683-2024</t>
        </is>
      </c>
      <c r="B1738" s="1" t="n">
        <v>45369</v>
      </c>
      <c r="C1738" s="1" t="n">
        <v>45587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10934-2024</t>
        </is>
      </c>
      <c r="B1739" s="1" t="n">
        <v>45370</v>
      </c>
      <c r="C1739" s="1" t="n">
        <v>45587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10938-2024</t>
        </is>
      </c>
      <c r="B1740" s="1" t="n">
        <v>45370</v>
      </c>
      <c r="C1740" s="1" t="n">
        <v>45587</v>
      </c>
      <c r="D1740" t="inlineStr">
        <is>
          <t>JÖNKÖPINGS LÄN</t>
        </is>
      </c>
      <c r="E1740" t="inlineStr">
        <is>
          <t>VETLANDA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11524-2024</t>
        </is>
      </c>
      <c r="B1741" s="1" t="n">
        <v>45372</v>
      </c>
      <c r="C1741" s="1" t="n">
        <v>45587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11522-2024</t>
        </is>
      </c>
      <c r="B1742" s="1" t="n">
        <v>45372</v>
      </c>
      <c r="C1742" s="1" t="n">
        <v>45587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11816-2024</t>
        </is>
      </c>
      <c r="B1743" s="1" t="n">
        <v>45376</v>
      </c>
      <c r="C1743" s="1" t="n">
        <v>45587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11962-2024</t>
        </is>
      </c>
      <c r="B1744" s="1" t="n">
        <v>45376</v>
      </c>
      <c r="C1744" s="1" t="n">
        <v>45587</v>
      </c>
      <c r="D1744" t="inlineStr">
        <is>
          <t>JÖNKÖPINGS LÄN</t>
        </is>
      </c>
      <c r="E1744" t="inlineStr">
        <is>
          <t>VETLANDA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12349-2024</t>
        </is>
      </c>
      <c r="B1745" s="1" t="n">
        <v>45378</v>
      </c>
      <c r="C1745" s="1" t="n">
        <v>45587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12382-2024</t>
        </is>
      </c>
      <c r="B1746" s="1" t="n">
        <v>45379</v>
      </c>
      <c r="C1746" s="1" t="n">
        <v>45587</v>
      </c>
      <c r="D1746" t="inlineStr">
        <is>
          <t>JÖNKÖPINGS LÄN</t>
        </is>
      </c>
      <c r="E1746" t="inlineStr">
        <is>
          <t>VETLANDA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12666-2024</t>
        </is>
      </c>
      <c r="B1747" s="1" t="n">
        <v>45384</v>
      </c>
      <c r="C1747" s="1" t="n">
        <v>45587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12672-2024</t>
        </is>
      </c>
      <c r="B1748" s="1" t="n">
        <v>45384</v>
      </c>
      <c r="C1748" s="1" t="n">
        <v>45587</v>
      </c>
      <c r="D1748" t="inlineStr">
        <is>
          <t>JÖNKÖPINGS LÄN</t>
        </is>
      </c>
      <c r="E1748" t="inlineStr">
        <is>
          <t>VETLANDA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12670-2024</t>
        </is>
      </c>
      <c r="B1749" s="1" t="n">
        <v>45384</v>
      </c>
      <c r="C1749" s="1" t="n">
        <v>45587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12700-2024</t>
        </is>
      </c>
      <c r="B1750" s="1" t="n">
        <v>45384</v>
      </c>
      <c r="C1750" s="1" t="n">
        <v>45587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12875-2024</t>
        </is>
      </c>
      <c r="B1751" s="1" t="n">
        <v>45385</v>
      </c>
      <c r="C1751" s="1" t="n">
        <v>45587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12874-2024</t>
        </is>
      </c>
      <c r="B1752" s="1" t="n">
        <v>45385</v>
      </c>
      <c r="C1752" s="1" t="n">
        <v>45587</v>
      </c>
      <c r="D1752" t="inlineStr">
        <is>
          <t>JÖNKÖPINGS LÄN</t>
        </is>
      </c>
      <c r="E1752" t="inlineStr">
        <is>
          <t>VETLANDA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13328-2024</t>
        </is>
      </c>
      <c r="B1753" s="1" t="n">
        <v>45386</v>
      </c>
      <c r="C1753" s="1" t="n">
        <v>45587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14113-2024</t>
        </is>
      </c>
      <c r="B1754" s="1" t="n">
        <v>45392</v>
      </c>
      <c r="C1754" s="1" t="n">
        <v>45587</v>
      </c>
      <c r="D1754" t="inlineStr">
        <is>
          <t>JÖNKÖPINGS LÄN</t>
        </is>
      </c>
      <c r="E1754" t="inlineStr">
        <is>
          <t>VETLANDA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14538-2024</t>
        </is>
      </c>
      <c r="B1755" s="1" t="n">
        <v>45394</v>
      </c>
      <c r="C1755" s="1" t="n">
        <v>45587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14435-2024</t>
        </is>
      </c>
      <c r="B1756" s="1" t="n">
        <v>45394</v>
      </c>
      <c r="C1756" s="1" t="n">
        <v>45587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14925-2024</t>
        </is>
      </c>
      <c r="B1757" s="1" t="n">
        <v>45398</v>
      </c>
      <c r="C1757" s="1" t="n">
        <v>45587</v>
      </c>
      <c r="D1757" t="inlineStr">
        <is>
          <t>JÖNKÖPINGS LÄN</t>
        </is>
      </c>
      <c r="E1757" t="inlineStr">
        <is>
          <t>VETLANDA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14927-2024</t>
        </is>
      </c>
      <c r="B1758" s="1" t="n">
        <v>45398</v>
      </c>
      <c r="C1758" s="1" t="n">
        <v>45587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15289-2024</t>
        </is>
      </c>
      <c r="B1759" s="1" t="n">
        <v>45400</v>
      </c>
      <c r="C1759" s="1" t="n">
        <v>45587</v>
      </c>
      <c r="D1759" t="inlineStr">
        <is>
          <t>JÖNKÖPINGS LÄN</t>
        </is>
      </c>
      <c r="E1759" t="inlineStr">
        <is>
          <t>VETLANDA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15171-2024</t>
        </is>
      </c>
      <c r="B1760" s="1" t="n">
        <v>45400</v>
      </c>
      <c r="C1760" s="1" t="n">
        <v>45587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Kommuner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15405-2024</t>
        </is>
      </c>
      <c r="B1761" s="1" t="n">
        <v>45401</v>
      </c>
      <c r="C1761" s="1" t="n">
        <v>45587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15400-2024</t>
        </is>
      </c>
      <c r="B1762" s="1" t="n">
        <v>45401</v>
      </c>
      <c r="C1762" s="1" t="n">
        <v>45587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15502-2024</t>
        </is>
      </c>
      <c r="B1763" s="1" t="n">
        <v>45401</v>
      </c>
      <c r="C1763" s="1" t="n">
        <v>45587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15402-2024</t>
        </is>
      </c>
      <c r="B1764" s="1" t="n">
        <v>45401</v>
      </c>
      <c r="C1764" s="1" t="n">
        <v>45587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15398-2024</t>
        </is>
      </c>
      <c r="B1765" s="1" t="n">
        <v>45401</v>
      </c>
      <c r="C1765" s="1" t="n">
        <v>45587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15891-2024</t>
        </is>
      </c>
      <c r="B1766" s="1" t="n">
        <v>45405</v>
      </c>
      <c r="C1766" s="1" t="n">
        <v>45587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15889-2024</t>
        </is>
      </c>
      <c r="B1767" s="1" t="n">
        <v>45405</v>
      </c>
      <c r="C1767" s="1" t="n">
        <v>45587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16076-2024</t>
        </is>
      </c>
      <c r="B1768" s="1" t="n">
        <v>45406</v>
      </c>
      <c r="C1768" s="1" t="n">
        <v>45587</v>
      </c>
      <c r="D1768" t="inlineStr">
        <is>
          <t>JÖNKÖPINGS LÄN</t>
        </is>
      </c>
      <c r="E1768" t="inlineStr">
        <is>
          <t>VETLANDA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16070-2024</t>
        </is>
      </c>
      <c r="B1769" s="1" t="n">
        <v>45406</v>
      </c>
      <c r="C1769" s="1" t="n">
        <v>45587</v>
      </c>
      <c r="D1769" t="inlineStr">
        <is>
          <t>JÖNKÖPINGS LÄN</t>
        </is>
      </c>
      <c r="E1769" t="inlineStr">
        <is>
          <t>VETLANDA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16074-2024</t>
        </is>
      </c>
      <c r="B1770" s="1" t="n">
        <v>45406</v>
      </c>
      <c r="C1770" s="1" t="n">
        <v>45587</v>
      </c>
      <c r="D1770" t="inlineStr">
        <is>
          <t>JÖNKÖPINGS LÄN</t>
        </is>
      </c>
      <c r="E1770" t="inlineStr">
        <is>
          <t>VETLANDA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16082-2024</t>
        </is>
      </c>
      <c r="B1771" s="1" t="n">
        <v>45406</v>
      </c>
      <c r="C1771" s="1" t="n">
        <v>45587</v>
      </c>
      <c r="D1771" t="inlineStr">
        <is>
          <t>JÖNKÖPINGS LÄN</t>
        </is>
      </c>
      <c r="E1771" t="inlineStr">
        <is>
          <t>VETLANDA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16553-2024</t>
        </is>
      </c>
      <c r="B1772" s="1" t="n">
        <v>45408</v>
      </c>
      <c r="C1772" s="1" t="n">
        <v>45587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16658-2024</t>
        </is>
      </c>
      <c r="B1773" s="1" t="n">
        <v>45408</v>
      </c>
      <c r="C1773" s="1" t="n">
        <v>45587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16662-2024</t>
        </is>
      </c>
      <c r="B1774" s="1" t="n">
        <v>45408</v>
      </c>
      <c r="C1774" s="1" t="n">
        <v>45587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16548-2024</t>
        </is>
      </c>
      <c r="B1775" s="1" t="n">
        <v>45408</v>
      </c>
      <c r="C1775" s="1" t="n">
        <v>45587</v>
      </c>
      <c r="D1775" t="inlineStr">
        <is>
          <t>JÖNKÖPINGS LÄN</t>
        </is>
      </c>
      <c r="E1775" t="inlineStr">
        <is>
          <t>VETLANDA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16547-2024</t>
        </is>
      </c>
      <c r="B1776" s="1" t="n">
        <v>45408</v>
      </c>
      <c r="C1776" s="1" t="n">
        <v>45587</v>
      </c>
      <c r="D1776" t="inlineStr">
        <is>
          <t>JÖNKÖPINGS LÄN</t>
        </is>
      </c>
      <c r="E1776" t="inlineStr">
        <is>
          <t>VETLANDA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16567-2024</t>
        </is>
      </c>
      <c r="B1777" s="1" t="n">
        <v>45408</v>
      </c>
      <c r="C1777" s="1" t="n">
        <v>45587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16668-2024</t>
        </is>
      </c>
      <c r="B1778" s="1" t="n">
        <v>45408</v>
      </c>
      <c r="C1778" s="1" t="n">
        <v>45587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16671-2024</t>
        </is>
      </c>
      <c r="B1779" s="1" t="n">
        <v>45408</v>
      </c>
      <c r="C1779" s="1" t="n">
        <v>45587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16687-2024</t>
        </is>
      </c>
      <c r="B1780" s="1" t="n">
        <v>45408</v>
      </c>
      <c r="C1780" s="1" t="n">
        <v>45587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16741-2024</t>
        </is>
      </c>
      <c r="B1781" s="1" t="n">
        <v>45410</v>
      </c>
      <c r="C1781" s="1" t="n">
        <v>45587</v>
      </c>
      <c r="D1781" t="inlineStr">
        <is>
          <t>JÖNKÖPINGS LÄN</t>
        </is>
      </c>
      <c r="E1781" t="inlineStr">
        <is>
          <t>VETLANDA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16742-2024</t>
        </is>
      </c>
      <c r="B1782" s="1" t="n">
        <v>45411</v>
      </c>
      <c r="C1782" s="1" t="n">
        <v>45587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16897-2024</t>
        </is>
      </c>
      <c r="B1783" s="1" t="n">
        <v>45411</v>
      </c>
      <c r="C1783" s="1" t="n">
        <v>45587</v>
      </c>
      <c r="D1783" t="inlineStr">
        <is>
          <t>JÖNKÖPINGS LÄN</t>
        </is>
      </c>
      <c r="E1783" t="inlineStr">
        <is>
          <t>VETLANDA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16790-2024</t>
        </is>
      </c>
      <c r="B1784" s="1" t="n">
        <v>45411</v>
      </c>
      <c r="C1784" s="1" t="n">
        <v>45587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17211-2024</t>
        </is>
      </c>
      <c r="B1785" s="1" t="n">
        <v>45414</v>
      </c>
      <c r="C1785" s="1" t="n">
        <v>45587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17227-2024</t>
        </is>
      </c>
      <c r="B1786" s="1" t="n">
        <v>45414</v>
      </c>
      <c r="C1786" s="1" t="n">
        <v>45587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17210-2024</t>
        </is>
      </c>
      <c r="B1787" s="1" t="n">
        <v>45414</v>
      </c>
      <c r="C1787" s="1" t="n">
        <v>45587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17234-2024</t>
        </is>
      </c>
      <c r="B1788" s="1" t="n">
        <v>45414</v>
      </c>
      <c r="C1788" s="1" t="n">
        <v>45587</v>
      </c>
      <c r="D1788" t="inlineStr">
        <is>
          <t>JÖNKÖPINGS LÄN</t>
        </is>
      </c>
      <c r="E1788" t="inlineStr">
        <is>
          <t>VETLANDA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17338-2024</t>
        </is>
      </c>
      <c r="B1789" s="1" t="n">
        <v>45414</v>
      </c>
      <c r="C1789" s="1" t="n">
        <v>45587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17336-2024</t>
        </is>
      </c>
      <c r="B1790" s="1" t="n">
        <v>45414</v>
      </c>
      <c r="C1790" s="1" t="n">
        <v>45587</v>
      </c>
      <c r="D1790" t="inlineStr">
        <is>
          <t>JÖNKÖPINGS LÄN</t>
        </is>
      </c>
      <c r="E1790" t="inlineStr">
        <is>
          <t>VETLANDA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17395-2024</t>
        </is>
      </c>
      <c r="B1791" s="1" t="n">
        <v>45414</v>
      </c>
      <c r="C1791" s="1" t="n">
        <v>45587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17471-2024</t>
        </is>
      </c>
      <c r="B1792" s="1" t="n">
        <v>45415</v>
      </c>
      <c r="C1792" s="1" t="n">
        <v>45587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17770-2024</t>
        </is>
      </c>
      <c r="B1793" s="1" t="n">
        <v>45418</v>
      </c>
      <c r="C1793" s="1" t="n">
        <v>45587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18157-2024</t>
        </is>
      </c>
      <c r="B1794" s="1" t="n">
        <v>45420</v>
      </c>
      <c r="C1794" s="1" t="n">
        <v>45587</v>
      </c>
      <c r="D1794" t="inlineStr">
        <is>
          <t>JÖNKÖPINGS LÄN</t>
        </is>
      </c>
      <c r="E1794" t="inlineStr">
        <is>
          <t>VETLANDA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18193-2024</t>
        </is>
      </c>
      <c r="B1795" s="1" t="n">
        <v>45420</v>
      </c>
      <c r="C1795" s="1" t="n">
        <v>45587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18281-2024</t>
        </is>
      </c>
      <c r="B1796" s="1" t="n">
        <v>45422</v>
      </c>
      <c r="C1796" s="1" t="n">
        <v>45587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18282-2024</t>
        </is>
      </c>
      <c r="B1797" s="1" t="n">
        <v>45422</v>
      </c>
      <c r="C1797" s="1" t="n">
        <v>45587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18692-2024</t>
        </is>
      </c>
      <c r="B1798" s="1" t="n">
        <v>45426</v>
      </c>
      <c r="C1798" s="1" t="n">
        <v>45587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19148-2024</t>
        </is>
      </c>
      <c r="B1799" s="1" t="n">
        <v>45428</v>
      </c>
      <c r="C1799" s="1" t="n">
        <v>45587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19152-2024</t>
        </is>
      </c>
      <c r="B1800" s="1" t="n">
        <v>45428</v>
      </c>
      <c r="C1800" s="1" t="n">
        <v>45587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20.5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19155-2024</t>
        </is>
      </c>
      <c r="B1801" s="1" t="n">
        <v>45428</v>
      </c>
      <c r="C1801" s="1" t="n">
        <v>45587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19955-2024</t>
        </is>
      </c>
      <c r="B1802" s="1" t="n">
        <v>45433</v>
      </c>
      <c r="C1802" s="1" t="n">
        <v>45587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19953-2024</t>
        </is>
      </c>
      <c r="B1803" s="1" t="n">
        <v>45433</v>
      </c>
      <c r="C1803" s="1" t="n">
        <v>45587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20046-2024</t>
        </is>
      </c>
      <c r="B1804" s="1" t="n">
        <v>45434</v>
      </c>
      <c r="C1804" s="1" t="n">
        <v>45587</v>
      </c>
      <c r="D1804" t="inlineStr">
        <is>
          <t>JÖNKÖPINGS LÄN</t>
        </is>
      </c>
      <c r="E1804" t="inlineStr">
        <is>
          <t>VETLANDA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20154-2024</t>
        </is>
      </c>
      <c r="B1805" s="1" t="n">
        <v>45434</v>
      </c>
      <c r="C1805" s="1" t="n">
        <v>45587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20159-2024</t>
        </is>
      </c>
      <c r="B1806" s="1" t="n">
        <v>45434</v>
      </c>
      <c r="C1806" s="1" t="n">
        <v>45587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20409-2024</t>
        </is>
      </c>
      <c r="B1807" s="1" t="n">
        <v>45435</v>
      </c>
      <c r="C1807" s="1" t="n">
        <v>45587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20805-2024</t>
        </is>
      </c>
      <c r="B1808" s="1" t="n">
        <v>45438</v>
      </c>
      <c r="C1808" s="1" t="n">
        <v>45587</v>
      </c>
      <c r="D1808" t="inlineStr">
        <is>
          <t>JÖNKÖPINGS LÄN</t>
        </is>
      </c>
      <c r="E1808" t="inlineStr">
        <is>
          <t>VETLANDA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20967-2024</t>
        </is>
      </c>
      <c r="B1809" s="1" t="n">
        <v>45439</v>
      </c>
      <c r="C1809" s="1" t="n">
        <v>45587</v>
      </c>
      <c r="D1809" t="inlineStr">
        <is>
          <t>JÖNKÖPINGS LÄN</t>
        </is>
      </c>
      <c r="E1809" t="inlineStr">
        <is>
          <t>VETLANDA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20964-2024</t>
        </is>
      </c>
      <c r="B1810" s="1" t="n">
        <v>45439</v>
      </c>
      <c r="C1810" s="1" t="n">
        <v>45587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20970-2024</t>
        </is>
      </c>
      <c r="B1811" s="1" t="n">
        <v>45439</v>
      </c>
      <c r="C1811" s="1" t="n">
        <v>45587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20827-2024</t>
        </is>
      </c>
      <c r="B1812" s="1" t="n">
        <v>45439</v>
      </c>
      <c r="C1812" s="1" t="n">
        <v>45587</v>
      </c>
      <c r="D1812" t="inlineStr">
        <is>
          <t>JÖNKÖPINGS LÄN</t>
        </is>
      </c>
      <c r="E1812" t="inlineStr">
        <is>
          <t>VETLANDA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21217-2024</t>
        </is>
      </c>
      <c r="B1813" s="1" t="n">
        <v>45440</v>
      </c>
      <c r="C1813" s="1" t="n">
        <v>45587</v>
      </c>
      <c r="D1813" t="inlineStr">
        <is>
          <t>JÖNKÖPINGS LÄN</t>
        </is>
      </c>
      <c r="E1813" t="inlineStr">
        <is>
          <t>VETLANDA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21211-2024</t>
        </is>
      </c>
      <c r="B1814" s="1" t="n">
        <v>45440</v>
      </c>
      <c r="C1814" s="1" t="n">
        <v>45587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21215-2024</t>
        </is>
      </c>
      <c r="B1815" s="1" t="n">
        <v>45440</v>
      </c>
      <c r="C1815" s="1" t="n">
        <v>45587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21219-2024</t>
        </is>
      </c>
      <c r="B1816" s="1" t="n">
        <v>45440</v>
      </c>
      <c r="C1816" s="1" t="n">
        <v>45587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21195-2024</t>
        </is>
      </c>
      <c r="B1817" s="1" t="n">
        <v>45440</v>
      </c>
      <c r="C1817" s="1" t="n">
        <v>45587</v>
      </c>
      <c r="D1817" t="inlineStr">
        <is>
          <t>JÖNKÖPINGS LÄN</t>
        </is>
      </c>
      <c r="E1817" t="inlineStr">
        <is>
          <t>VETLANDA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21216-2024</t>
        </is>
      </c>
      <c r="B1818" s="1" t="n">
        <v>45440</v>
      </c>
      <c r="C1818" s="1" t="n">
        <v>45587</v>
      </c>
      <c r="D1818" t="inlineStr">
        <is>
          <t>JÖNKÖPINGS LÄN</t>
        </is>
      </c>
      <c r="E1818" t="inlineStr">
        <is>
          <t>VETLANDA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21229-2024</t>
        </is>
      </c>
      <c r="B1819" s="1" t="n">
        <v>45440</v>
      </c>
      <c r="C1819" s="1" t="n">
        <v>45587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Kyrkan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21249-2024</t>
        </is>
      </c>
      <c r="B1820" s="1" t="n">
        <v>45440</v>
      </c>
      <c r="C1820" s="1" t="n">
        <v>45587</v>
      </c>
      <c r="D1820" t="inlineStr">
        <is>
          <t>JÖNKÖPINGS LÄN</t>
        </is>
      </c>
      <c r="E1820" t="inlineStr">
        <is>
          <t>VETLANDA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21214-2024</t>
        </is>
      </c>
      <c r="B1821" s="1" t="n">
        <v>45440</v>
      </c>
      <c r="C1821" s="1" t="n">
        <v>45587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21283-2024</t>
        </is>
      </c>
      <c r="B1822" s="1" t="n">
        <v>45440</v>
      </c>
      <c r="C1822" s="1" t="n">
        <v>45587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21290-2024</t>
        </is>
      </c>
      <c r="B1823" s="1" t="n">
        <v>45440</v>
      </c>
      <c r="C1823" s="1" t="n">
        <v>45587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21455-2024</t>
        </is>
      </c>
      <c r="B1824" s="1" t="n">
        <v>45441</v>
      </c>
      <c r="C1824" s="1" t="n">
        <v>45587</v>
      </c>
      <c r="D1824" t="inlineStr">
        <is>
          <t>JÖNKÖPINGS LÄN</t>
        </is>
      </c>
      <c r="E1824" t="inlineStr">
        <is>
          <t>VETLANDA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21458-2024</t>
        </is>
      </c>
      <c r="B1825" s="1" t="n">
        <v>45441</v>
      </c>
      <c r="C1825" s="1" t="n">
        <v>45587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21645-2024</t>
        </is>
      </c>
      <c r="B1826" s="1" t="n">
        <v>45442</v>
      </c>
      <c r="C1826" s="1" t="n">
        <v>45587</v>
      </c>
      <c r="D1826" t="inlineStr">
        <is>
          <t>JÖNKÖPINGS LÄN</t>
        </is>
      </c>
      <c r="E1826" t="inlineStr">
        <is>
          <t>VETLANDA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21739-2024</t>
        </is>
      </c>
      <c r="B1827" s="1" t="n">
        <v>45442</v>
      </c>
      <c r="C1827" s="1" t="n">
        <v>45587</v>
      </c>
      <c r="D1827" t="inlineStr">
        <is>
          <t>JÖNKÖPINGS LÄN</t>
        </is>
      </c>
      <c r="E1827" t="inlineStr">
        <is>
          <t>VETLANDA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21920-2024</t>
        </is>
      </c>
      <c r="B1828" s="1" t="n">
        <v>45443</v>
      </c>
      <c r="C1828" s="1" t="n">
        <v>45587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21916-2024</t>
        </is>
      </c>
      <c r="B1829" s="1" t="n">
        <v>45443</v>
      </c>
      <c r="C1829" s="1" t="n">
        <v>45587</v>
      </c>
      <c r="D1829" t="inlineStr">
        <is>
          <t>JÖNKÖPINGS LÄN</t>
        </is>
      </c>
      <c r="E1829" t="inlineStr">
        <is>
          <t>VETLANDA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22299-2024</t>
        </is>
      </c>
      <c r="B1830" s="1" t="n">
        <v>45446</v>
      </c>
      <c r="C1830" s="1" t="n">
        <v>45587</v>
      </c>
      <c r="D1830" t="inlineStr">
        <is>
          <t>JÖNKÖPINGS LÄN</t>
        </is>
      </c>
      <c r="E1830" t="inlineStr">
        <is>
          <t>VETLANDA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22254-2024</t>
        </is>
      </c>
      <c r="B1831" s="1" t="n">
        <v>45446</v>
      </c>
      <c r="C1831" s="1" t="n">
        <v>45587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22567-2024</t>
        </is>
      </c>
      <c r="B1832" s="1" t="n">
        <v>45447</v>
      </c>
      <c r="C1832" s="1" t="n">
        <v>45587</v>
      </c>
      <c r="D1832" t="inlineStr">
        <is>
          <t>JÖNKÖPINGS LÄN</t>
        </is>
      </c>
      <c r="E1832" t="inlineStr">
        <is>
          <t>VETLANDA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22689-2024</t>
        </is>
      </c>
      <c r="B1833" s="1" t="n">
        <v>45448</v>
      </c>
      <c r="C1833" s="1" t="n">
        <v>45587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22721-2024</t>
        </is>
      </c>
      <c r="B1834" s="1" t="n">
        <v>45448</v>
      </c>
      <c r="C1834" s="1" t="n">
        <v>45587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22917-2024</t>
        </is>
      </c>
      <c r="B1835" s="1" t="n">
        <v>45448</v>
      </c>
      <c r="C1835" s="1" t="n">
        <v>45587</v>
      </c>
      <c r="D1835" t="inlineStr">
        <is>
          <t>JÖNKÖPINGS LÄN</t>
        </is>
      </c>
      <c r="E1835" t="inlineStr">
        <is>
          <t>VETLANDA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22710-2024</t>
        </is>
      </c>
      <c r="B1836" s="1" t="n">
        <v>45448</v>
      </c>
      <c r="C1836" s="1" t="n">
        <v>45587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22715-2024</t>
        </is>
      </c>
      <c r="B1837" s="1" t="n">
        <v>45448</v>
      </c>
      <c r="C1837" s="1" t="n">
        <v>45587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22956-2024</t>
        </is>
      </c>
      <c r="B1838" s="1" t="n">
        <v>45449</v>
      </c>
      <c r="C1838" s="1" t="n">
        <v>45587</v>
      </c>
      <c r="D1838" t="inlineStr">
        <is>
          <t>JÖNKÖPINGS LÄN</t>
        </is>
      </c>
      <c r="E1838" t="inlineStr">
        <is>
          <t>VETLANDA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22954-2024</t>
        </is>
      </c>
      <c r="B1839" s="1" t="n">
        <v>45449</v>
      </c>
      <c r="C1839" s="1" t="n">
        <v>45587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23100-2024</t>
        </is>
      </c>
      <c r="B1840" s="1" t="n">
        <v>45450</v>
      </c>
      <c r="C1840" s="1" t="n">
        <v>45587</v>
      </c>
      <c r="D1840" t="inlineStr">
        <is>
          <t>JÖNKÖPINGS LÄN</t>
        </is>
      </c>
      <c r="E1840" t="inlineStr">
        <is>
          <t>VETLANDA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23477-2024</t>
        </is>
      </c>
      <c r="B1841" s="1" t="n">
        <v>45453</v>
      </c>
      <c r="C1841" s="1" t="n">
        <v>45587</v>
      </c>
      <c r="D1841" t="inlineStr">
        <is>
          <t>JÖNKÖPINGS LÄN</t>
        </is>
      </c>
      <c r="E1841" t="inlineStr">
        <is>
          <t>VETLANDA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23854-2024</t>
        </is>
      </c>
      <c r="B1842" s="1" t="n">
        <v>45455</v>
      </c>
      <c r="C1842" s="1" t="n">
        <v>45587</v>
      </c>
      <c r="D1842" t="inlineStr">
        <is>
          <t>JÖNKÖPINGS LÄN</t>
        </is>
      </c>
      <c r="E1842" t="inlineStr">
        <is>
          <t>VETLANDA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23858-2024</t>
        </is>
      </c>
      <c r="B1843" s="1" t="n">
        <v>45455</v>
      </c>
      <c r="C1843" s="1" t="n">
        <v>45587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23856-2024</t>
        </is>
      </c>
      <c r="B1844" s="1" t="n">
        <v>45455</v>
      </c>
      <c r="C1844" s="1" t="n">
        <v>45587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24058-2024</t>
        </is>
      </c>
      <c r="B1845" s="1" t="n">
        <v>45456</v>
      </c>
      <c r="C1845" s="1" t="n">
        <v>45587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24181-2024</t>
        </is>
      </c>
      <c r="B1846" s="1" t="n">
        <v>45456</v>
      </c>
      <c r="C1846" s="1" t="n">
        <v>45587</v>
      </c>
      <c r="D1846" t="inlineStr">
        <is>
          <t>JÖNKÖPINGS LÄN</t>
        </is>
      </c>
      <c r="E1846" t="inlineStr">
        <is>
          <t>VETLANDA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24515-2024</t>
        </is>
      </c>
      <c r="B1847" s="1" t="n">
        <v>45460</v>
      </c>
      <c r="C1847" s="1" t="n">
        <v>45587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24885-2024</t>
        </is>
      </c>
      <c r="B1848" s="1" t="n">
        <v>45461</v>
      </c>
      <c r="C1848" s="1" t="n">
        <v>45587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24880-2024</t>
        </is>
      </c>
      <c r="B1849" s="1" t="n">
        <v>45461</v>
      </c>
      <c r="C1849" s="1" t="n">
        <v>45587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24891-2024</t>
        </is>
      </c>
      <c r="B1850" s="1" t="n">
        <v>45461</v>
      </c>
      <c r="C1850" s="1" t="n">
        <v>45587</v>
      </c>
      <c r="D1850" t="inlineStr">
        <is>
          <t>JÖNKÖPINGS LÄN</t>
        </is>
      </c>
      <c r="E1850" t="inlineStr">
        <is>
          <t>VETLANDA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25241-2024</t>
        </is>
      </c>
      <c r="B1851" s="1" t="n">
        <v>45462</v>
      </c>
      <c r="C1851" s="1" t="n">
        <v>45587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25229-2024</t>
        </is>
      </c>
      <c r="B1852" s="1" t="n">
        <v>45462</v>
      </c>
      <c r="C1852" s="1" t="n">
        <v>45587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25244-2024</t>
        </is>
      </c>
      <c r="B1853" s="1" t="n">
        <v>45462</v>
      </c>
      <c r="C1853" s="1" t="n">
        <v>45587</v>
      </c>
      <c r="D1853" t="inlineStr">
        <is>
          <t>JÖNKÖPINGS LÄN</t>
        </is>
      </c>
      <c r="E1853" t="inlineStr">
        <is>
          <t>VETLANDA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25228-2024</t>
        </is>
      </c>
      <c r="B1854" s="1" t="n">
        <v>45462</v>
      </c>
      <c r="C1854" s="1" t="n">
        <v>45587</v>
      </c>
      <c r="D1854" t="inlineStr">
        <is>
          <t>JÖNKÖPINGS LÄN</t>
        </is>
      </c>
      <c r="E1854" t="inlineStr">
        <is>
          <t>VETLANDA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25224-2024</t>
        </is>
      </c>
      <c r="B1855" s="1" t="n">
        <v>45462</v>
      </c>
      <c r="C1855" s="1" t="n">
        <v>45587</v>
      </c>
      <c r="D1855" t="inlineStr">
        <is>
          <t>JÖNKÖPINGS LÄN</t>
        </is>
      </c>
      <c r="E1855" t="inlineStr">
        <is>
          <t>VETLANDA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25216-2024</t>
        </is>
      </c>
      <c r="B1856" s="1" t="n">
        <v>45462</v>
      </c>
      <c r="C1856" s="1" t="n">
        <v>45587</v>
      </c>
      <c r="D1856" t="inlineStr">
        <is>
          <t>JÖNKÖPINGS LÄN</t>
        </is>
      </c>
      <c r="E1856" t="inlineStr">
        <is>
          <t>VETLANDA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25124-2024</t>
        </is>
      </c>
      <c r="B1857" s="1" t="n">
        <v>45462</v>
      </c>
      <c r="C1857" s="1" t="n">
        <v>45587</v>
      </c>
      <c r="D1857" t="inlineStr">
        <is>
          <t>JÖNKÖPINGS LÄN</t>
        </is>
      </c>
      <c r="E1857" t="inlineStr">
        <is>
          <t>VETLANDA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25238-2024</t>
        </is>
      </c>
      <c r="B1858" s="1" t="n">
        <v>45462</v>
      </c>
      <c r="C1858" s="1" t="n">
        <v>45587</v>
      </c>
      <c r="D1858" t="inlineStr">
        <is>
          <t>JÖNKÖPINGS LÄN</t>
        </is>
      </c>
      <c r="E1858" t="inlineStr">
        <is>
          <t>VETLANDA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25234-2024</t>
        </is>
      </c>
      <c r="B1859" s="1" t="n">
        <v>45462</v>
      </c>
      <c r="C1859" s="1" t="n">
        <v>45587</v>
      </c>
      <c r="D1859" t="inlineStr">
        <is>
          <t>JÖNKÖPINGS LÄN</t>
        </is>
      </c>
      <c r="E1859" t="inlineStr">
        <is>
          <t>VETLANDA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25226-2024</t>
        </is>
      </c>
      <c r="B1860" s="1" t="n">
        <v>45462</v>
      </c>
      <c r="C1860" s="1" t="n">
        <v>45587</v>
      </c>
      <c r="D1860" t="inlineStr">
        <is>
          <t>JÖNKÖPINGS LÄN</t>
        </is>
      </c>
      <c r="E1860" t="inlineStr">
        <is>
          <t>VETLANDA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25198-2024</t>
        </is>
      </c>
      <c r="B1861" s="1" t="n">
        <v>45462</v>
      </c>
      <c r="C1861" s="1" t="n">
        <v>45587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25243-2024</t>
        </is>
      </c>
      <c r="B1862" s="1" t="n">
        <v>45462</v>
      </c>
      <c r="C1862" s="1" t="n">
        <v>45587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25231-2024</t>
        </is>
      </c>
      <c r="B1863" s="1" t="n">
        <v>45462</v>
      </c>
      <c r="C1863" s="1" t="n">
        <v>45587</v>
      </c>
      <c r="D1863" t="inlineStr">
        <is>
          <t>JÖNKÖPINGS LÄN</t>
        </is>
      </c>
      <c r="E1863" t="inlineStr">
        <is>
          <t>VETLANDA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25884-2024</t>
        </is>
      </c>
      <c r="B1864" s="1" t="n">
        <v>45467</v>
      </c>
      <c r="C1864" s="1" t="n">
        <v>45587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26188-2024</t>
        </is>
      </c>
      <c r="B1865" s="1" t="n">
        <v>45468</v>
      </c>
      <c r="C1865" s="1" t="n">
        <v>45587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26364-2024</t>
        </is>
      </c>
      <c r="B1866" s="1" t="n">
        <v>45469</v>
      </c>
      <c r="C1866" s="1" t="n">
        <v>45587</v>
      </c>
      <c r="D1866" t="inlineStr">
        <is>
          <t>JÖNKÖPINGS LÄN</t>
        </is>
      </c>
      <c r="E1866" t="inlineStr">
        <is>
          <t>VETLANDA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26358-2024</t>
        </is>
      </c>
      <c r="B1867" s="1" t="n">
        <v>45469</v>
      </c>
      <c r="C1867" s="1" t="n">
        <v>45587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26800-2024</t>
        </is>
      </c>
      <c r="B1868" s="1" t="n">
        <v>45470</v>
      </c>
      <c r="C1868" s="1" t="n">
        <v>45587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26791-2024</t>
        </is>
      </c>
      <c r="B1869" s="1" t="n">
        <v>45470</v>
      </c>
      <c r="C1869" s="1" t="n">
        <v>45587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27193-2024</t>
        </is>
      </c>
      <c r="B1870" s="1" t="n">
        <v>45471</v>
      </c>
      <c r="C1870" s="1" t="n">
        <v>45587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27258-2024</t>
        </is>
      </c>
      <c r="B1871" s="1" t="n">
        <v>45471</v>
      </c>
      <c r="C1871" s="1" t="n">
        <v>45587</v>
      </c>
      <c r="D1871" t="inlineStr">
        <is>
          <t>JÖNKÖPINGS LÄN</t>
        </is>
      </c>
      <c r="E1871" t="inlineStr">
        <is>
          <t>VETLANDA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27257-2024</t>
        </is>
      </c>
      <c r="B1872" s="1" t="n">
        <v>45471</v>
      </c>
      <c r="C1872" s="1" t="n">
        <v>45587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27699-2024</t>
        </is>
      </c>
      <c r="B1873" s="1" t="n">
        <v>45475</v>
      </c>
      <c r="C1873" s="1" t="n">
        <v>45587</v>
      </c>
      <c r="D1873" t="inlineStr">
        <is>
          <t>JÖNKÖPINGS LÄN</t>
        </is>
      </c>
      <c r="E1873" t="inlineStr">
        <is>
          <t>VETLANDA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27711-2024</t>
        </is>
      </c>
      <c r="B1874" s="1" t="n">
        <v>45475</v>
      </c>
      <c r="C1874" s="1" t="n">
        <v>45587</v>
      </c>
      <c r="D1874" t="inlineStr">
        <is>
          <t>JÖNKÖPINGS LÄN</t>
        </is>
      </c>
      <c r="E1874" t="inlineStr">
        <is>
          <t>VETLANDA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27702-2024</t>
        </is>
      </c>
      <c r="B1875" s="1" t="n">
        <v>45475</v>
      </c>
      <c r="C1875" s="1" t="n">
        <v>45587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27687-2024</t>
        </is>
      </c>
      <c r="B1876" s="1" t="n">
        <v>45475</v>
      </c>
      <c r="C1876" s="1" t="n">
        <v>45587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27704-2024</t>
        </is>
      </c>
      <c r="B1877" s="1" t="n">
        <v>45475</v>
      </c>
      <c r="C1877" s="1" t="n">
        <v>45587</v>
      </c>
      <c r="D1877" t="inlineStr">
        <is>
          <t>JÖNKÖPINGS LÄN</t>
        </is>
      </c>
      <c r="E1877" t="inlineStr">
        <is>
          <t>VETLANDA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28300-2024</t>
        </is>
      </c>
      <c r="B1878" s="1" t="n">
        <v>45477</v>
      </c>
      <c r="C1878" s="1" t="n">
        <v>45587</v>
      </c>
      <c r="D1878" t="inlineStr">
        <is>
          <t>JÖNKÖPINGS LÄN</t>
        </is>
      </c>
      <c r="E1878" t="inlineStr">
        <is>
          <t>VETLANDA</t>
        </is>
      </c>
      <c r="G1878" t="n">
        <v>7.9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28655-2024</t>
        </is>
      </c>
      <c r="B1879" s="1" t="n">
        <v>45478</v>
      </c>
      <c r="C1879" s="1" t="n">
        <v>45587</v>
      </c>
      <c r="D1879" t="inlineStr">
        <is>
          <t>JÖNKÖPINGS LÄN</t>
        </is>
      </c>
      <c r="E1879" t="inlineStr">
        <is>
          <t>VETLANDA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28664-2024</t>
        </is>
      </c>
      <c r="B1880" s="1" t="n">
        <v>45478</v>
      </c>
      <c r="C1880" s="1" t="n">
        <v>45587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28774-2024</t>
        </is>
      </c>
      <c r="B1881" s="1" t="n">
        <v>45478</v>
      </c>
      <c r="C1881" s="1" t="n">
        <v>45587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28786-2024</t>
        </is>
      </c>
      <c r="B1882" s="1" t="n">
        <v>45478</v>
      </c>
      <c r="C1882" s="1" t="n">
        <v>45587</v>
      </c>
      <c r="D1882" t="inlineStr">
        <is>
          <t>JÖNKÖPINGS LÄN</t>
        </is>
      </c>
      <c r="E1882" t="inlineStr">
        <is>
          <t>VETLANDA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28976-2024</t>
        </is>
      </c>
      <c r="B1883" s="1" t="n">
        <v>45481</v>
      </c>
      <c r="C1883" s="1" t="n">
        <v>45587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29485-2024</t>
        </is>
      </c>
      <c r="B1884" s="1" t="n">
        <v>45484</v>
      </c>
      <c r="C1884" s="1" t="n">
        <v>45587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29480-2024</t>
        </is>
      </c>
      <c r="B1885" s="1" t="n">
        <v>45484</v>
      </c>
      <c r="C1885" s="1" t="n">
        <v>45587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30191-2024</t>
        </is>
      </c>
      <c r="B1886" s="1" t="n">
        <v>45490</v>
      </c>
      <c r="C1886" s="1" t="n">
        <v>45587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30195-2024</t>
        </is>
      </c>
      <c r="B1887" s="1" t="n">
        <v>45490</v>
      </c>
      <c r="C1887" s="1" t="n">
        <v>45587</v>
      </c>
      <c r="D1887" t="inlineStr">
        <is>
          <t>JÖNKÖPINGS LÄN</t>
        </is>
      </c>
      <c r="E1887" t="inlineStr">
        <is>
          <t>VETLANDA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30193-2024</t>
        </is>
      </c>
      <c r="B1888" s="1" t="n">
        <v>45490</v>
      </c>
      <c r="C1888" s="1" t="n">
        <v>45587</v>
      </c>
      <c r="D1888" t="inlineStr">
        <is>
          <t>JÖNKÖPINGS LÄN</t>
        </is>
      </c>
      <c r="E1888" t="inlineStr">
        <is>
          <t>VETLANDA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30522-2024</t>
        </is>
      </c>
      <c r="B1889" s="1" t="n">
        <v>45492</v>
      </c>
      <c r="C1889" s="1" t="n">
        <v>45587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30797-2024</t>
        </is>
      </c>
      <c r="B1890" s="1" t="n">
        <v>45497</v>
      </c>
      <c r="C1890" s="1" t="n">
        <v>45587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30795-2024</t>
        </is>
      </c>
      <c r="B1891" s="1" t="n">
        <v>45497</v>
      </c>
      <c r="C1891" s="1" t="n">
        <v>45587</v>
      </c>
      <c r="D1891" t="inlineStr">
        <is>
          <t>JÖNKÖPINGS LÄN</t>
        </is>
      </c>
      <c r="E1891" t="inlineStr">
        <is>
          <t>VETLANDA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31304-2024</t>
        </is>
      </c>
      <c r="B1892" s="1" t="n">
        <v>45504</v>
      </c>
      <c r="C1892" s="1" t="n">
        <v>45587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31412-2024</t>
        </is>
      </c>
      <c r="B1893" s="1" t="n">
        <v>45505</v>
      </c>
      <c r="C1893" s="1" t="n">
        <v>45587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31853-2024</t>
        </is>
      </c>
      <c r="B1894" s="1" t="n">
        <v>45509</v>
      </c>
      <c r="C1894" s="1" t="n">
        <v>45587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32020-2024</t>
        </is>
      </c>
      <c r="B1895" s="1" t="n">
        <v>45510</v>
      </c>
      <c r="C1895" s="1" t="n">
        <v>45587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32312-2024</t>
        </is>
      </c>
      <c r="B1896" s="1" t="n">
        <v>45512</v>
      </c>
      <c r="C1896" s="1" t="n">
        <v>45587</v>
      </c>
      <c r="D1896" t="inlineStr">
        <is>
          <t>JÖNKÖPINGS LÄN</t>
        </is>
      </c>
      <c r="E1896" t="inlineStr">
        <is>
          <t>VETLANDA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32309-2024</t>
        </is>
      </c>
      <c r="B1897" s="1" t="n">
        <v>45512</v>
      </c>
      <c r="C1897" s="1" t="n">
        <v>45587</v>
      </c>
      <c r="D1897" t="inlineStr">
        <is>
          <t>JÖNKÖPINGS LÄN</t>
        </is>
      </c>
      <c r="E1897" t="inlineStr">
        <is>
          <t>VETLANDA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32379-2024</t>
        </is>
      </c>
      <c r="B1898" s="1" t="n">
        <v>45512</v>
      </c>
      <c r="C1898" s="1" t="n">
        <v>45587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32311-2024</t>
        </is>
      </c>
      <c r="B1899" s="1" t="n">
        <v>45512</v>
      </c>
      <c r="C1899" s="1" t="n">
        <v>45587</v>
      </c>
      <c r="D1899" t="inlineStr">
        <is>
          <t>JÖNKÖPINGS LÄN</t>
        </is>
      </c>
      <c r="E1899" t="inlineStr">
        <is>
          <t>VETLANDA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32530-2024</t>
        </is>
      </c>
      <c r="B1900" s="1" t="n">
        <v>45513</v>
      </c>
      <c r="C1900" s="1" t="n">
        <v>45587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32565-2024</t>
        </is>
      </c>
      <c r="B1901" s="1" t="n">
        <v>45513</v>
      </c>
      <c r="C1901" s="1" t="n">
        <v>45587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33236-2024</t>
        </is>
      </c>
      <c r="B1902" s="1" t="n">
        <v>45518</v>
      </c>
      <c r="C1902" s="1" t="n">
        <v>45587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33200-2024</t>
        </is>
      </c>
      <c r="B1903" s="1" t="n">
        <v>45518</v>
      </c>
      <c r="C1903" s="1" t="n">
        <v>45587</v>
      </c>
      <c r="D1903" t="inlineStr">
        <is>
          <t>JÖNKÖPINGS LÄN</t>
        </is>
      </c>
      <c r="E1903" t="inlineStr">
        <is>
          <t>VETLANDA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33348-2024</t>
        </is>
      </c>
      <c r="B1904" s="1" t="n">
        <v>45519</v>
      </c>
      <c r="C1904" s="1" t="n">
        <v>45587</v>
      </c>
      <c r="D1904" t="inlineStr">
        <is>
          <t>JÖNKÖPINGS LÄN</t>
        </is>
      </c>
      <c r="E1904" t="inlineStr">
        <is>
          <t>VETLANDA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33416-2024</t>
        </is>
      </c>
      <c r="B1905" s="1" t="n">
        <v>45519</v>
      </c>
      <c r="C1905" s="1" t="n">
        <v>45587</v>
      </c>
      <c r="D1905" t="inlineStr">
        <is>
          <t>JÖNKÖPINGS LÄN</t>
        </is>
      </c>
      <c r="E1905" t="inlineStr">
        <is>
          <t>VETLANDA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33687-2024</t>
        </is>
      </c>
      <c r="B1906" s="1" t="n">
        <v>45520</v>
      </c>
      <c r="C1906" s="1" t="n">
        <v>45587</v>
      </c>
      <c r="D1906" t="inlineStr">
        <is>
          <t>JÖNKÖPINGS LÄN</t>
        </is>
      </c>
      <c r="E1906" t="inlineStr">
        <is>
          <t>VETLANDA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33697-2024</t>
        </is>
      </c>
      <c r="B1907" s="1" t="n">
        <v>45520</v>
      </c>
      <c r="C1907" s="1" t="n">
        <v>45587</v>
      </c>
      <c r="D1907" t="inlineStr">
        <is>
          <t>JÖNKÖPINGS LÄN</t>
        </is>
      </c>
      <c r="E1907" t="inlineStr">
        <is>
          <t>VETLANDA</t>
        </is>
      </c>
      <c r="G1907" t="n">
        <v>5.2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33817-2024</t>
        </is>
      </c>
      <c r="B1908" s="1" t="n">
        <v>45520</v>
      </c>
      <c r="C1908" s="1" t="n">
        <v>45587</v>
      </c>
      <c r="D1908" t="inlineStr">
        <is>
          <t>JÖNKÖPINGS LÄN</t>
        </is>
      </c>
      <c r="E1908" t="inlineStr">
        <is>
          <t>VETLANDA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34088-2024</t>
        </is>
      </c>
      <c r="B1909" s="1" t="n">
        <v>45523</v>
      </c>
      <c r="C1909" s="1" t="n">
        <v>45587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34199-2024</t>
        </is>
      </c>
      <c r="B1910" s="1" t="n">
        <v>45524</v>
      </c>
      <c r="C1910" s="1" t="n">
        <v>45587</v>
      </c>
      <c r="D1910" t="inlineStr">
        <is>
          <t>JÖNKÖPINGS LÄN</t>
        </is>
      </c>
      <c r="E1910" t="inlineStr">
        <is>
          <t>VETLANDA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34237-2024</t>
        </is>
      </c>
      <c r="B1911" s="1" t="n">
        <v>45524</v>
      </c>
      <c r="C1911" s="1" t="n">
        <v>45587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34205-2024</t>
        </is>
      </c>
      <c r="B1912" s="1" t="n">
        <v>45524</v>
      </c>
      <c r="C1912" s="1" t="n">
        <v>45587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34259-2024</t>
        </is>
      </c>
      <c r="B1913" s="1" t="n">
        <v>45524</v>
      </c>
      <c r="C1913" s="1" t="n">
        <v>45587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34213-2024</t>
        </is>
      </c>
      <c r="B1914" s="1" t="n">
        <v>45524</v>
      </c>
      <c r="C1914" s="1" t="n">
        <v>45587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34459-2024</t>
        </is>
      </c>
      <c r="B1915" s="1" t="n">
        <v>45525</v>
      </c>
      <c r="C1915" s="1" t="n">
        <v>45587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34483-2024</t>
        </is>
      </c>
      <c r="B1916" s="1" t="n">
        <v>45525</v>
      </c>
      <c r="C1916" s="1" t="n">
        <v>45587</v>
      </c>
      <c r="D1916" t="inlineStr">
        <is>
          <t>JÖNKÖPINGS LÄN</t>
        </is>
      </c>
      <c r="E1916" t="inlineStr">
        <is>
          <t>VETLANDA</t>
        </is>
      </c>
      <c r="G1916" t="n">
        <v>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34493-2024</t>
        </is>
      </c>
      <c r="B1917" s="1" t="n">
        <v>45525</v>
      </c>
      <c r="C1917" s="1" t="n">
        <v>45587</v>
      </c>
      <c r="D1917" t="inlineStr">
        <is>
          <t>JÖNKÖPINGS LÄN</t>
        </is>
      </c>
      <c r="E1917" t="inlineStr">
        <is>
          <t>VETLANDA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34498-2024</t>
        </is>
      </c>
      <c r="B1918" s="1" t="n">
        <v>45525</v>
      </c>
      <c r="C1918" s="1" t="n">
        <v>45587</v>
      </c>
      <c r="D1918" t="inlineStr">
        <is>
          <t>JÖNKÖPINGS LÄN</t>
        </is>
      </c>
      <c r="E1918" t="inlineStr">
        <is>
          <t>VETLANDA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34794-2024</t>
        </is>
      </c>
      <c r="B1919" s="1" t="n">
        <v>45526</v>
      </c>
      <c r="C1919" s="1" t="n">
        <v>45587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34802-2024</t>
        </is>
      </c>
      <c r="B1920" s="1" t="n">
        <v>45526</v>
      </c>
      <c r="C1920" s="1" t="n">
        <v>45587</v>
      </c>
      <c r="D1920" t="inlineStr">
        <is>
          <t>JÖNKÖPINGS LÄN</t>
        </is>
      </c>
      <c r="E1920" t="inlineStr">
        <is>
          <t>VETLANDA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34564-2024</t>
        </is>
      </c>
      <c r="B1921" s="1" t="n">
        <v>45526</v>
      </c>
      <c r="C1921" s="1" t="n">
        <v>45587</v>
      </c>
      <c r="D1921" t="inlineStr">
        <is>
          <t>JÖNKÖPINGS LÄN</t>
        </is>
      </c>
      <c r="E1921" t="inlineStr">
        <is>
          <t>VETLANDA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34799-2024</t>
        </is>
      </c>
      <c r="B1922" s="1" t="n">
        <v>45526</v>
      </c>
      <c r="C1922" s="1" t="n">
        <v>45587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34793-2024</t>
        </is>
      </c>
      <c r="B1923" s="1" t="n">
        <v>45526</v>
      </c>
      <c r="C1923" s="1" t="n">
        <v>45587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35138-2024</t>
        </is>
      </c>
      <c r="B1924" s="1" t="n">
        <v>45530</v>
      </c>
      <c r="C1924" s="1" t="n">
        <v>45587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35756-2024</t>
        </is>
      </c>
      <c r="B1925" s="1" t="n">
        <v>45532</v>
      </c>
      <c r="C1925" s="1" t="n">
        <v>45587</v>
      </c>
      <c r="D1925" t="inlineStr">
        <is>
          <t>JÖNKÖPINGS LÄN</t>
        </is>
      </c>
      <c r="E1925" t="inlineStr">
        <is>
          <t>VETLANDA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35809-2024</t>
        </is>
      </c>
      <c r="B1926" s="1" t="n">
        <v>45532</v>
      </c>
      <c r="C1926" s="1" t="n">
        <v>45587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35968-2024</t>
        </is>
      </c>
      <c r="B1927" s="1" t="n">
        <v>45533</v>
      </c>
      <c r="C1927" s="1" t="n">
        <v>45587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36486-2024</t>
        </is>
      </c>
      <c r="B1928" s="1" t="n">
        <v>45537</v>
      </c>
      <c r="C1928" s="1" t="n">
        <v>45587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36584-2024</t>
        </is>
      </c>
      <c r="B1929" s="1" t="n">
        <v>45537</v>
      </c>
      <c r="C1929" s="1" t="n">
        <v>45587</v>
      </c>
      <c r="D1929" t="inlineStr">
        <is>
          <t>JÖNKÖPINGS LÄN</t>
        </is>
      </c>
      <c r="E1929" t="inlineStr">
        <is>
          <t>VETLANDA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36762-2024</t>
        </is>
      </c>
      <c r="B1930" s="1" t="n">
        <v>45538</v>
      </c>
      <c r="C1930" s="1" t="n">
        <v>45587</v>
      </c>
      <c r="D1930" t="inlineStr">
        <is>
          <t>JÖNKÖPINGS LÄN</t>
        </is>
      </c>
      <c r="E1930" t="inlineStr">
        <is>
          <t>VETLANDA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36768-2024</t>
        </is>
      </c>
      <c r="B1931" s="1" t="n">
        <v>45538</v>
      </c>
      <c r="C1931" s="1" t="n">
        <v>45587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36845-2024</t>
        </is>
      </c>
      <c r="B1932" s="1" t="n">
        <v>45538</v>
      </c>
      <c r="C1932" s="1" t="n">
        <v>45587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37420-2024</t>
        </is>
      </c>
      <c r="B1933" s="1" t="n">
        <v>45540</v>
      </c>
      <c r="C1933" s="1" t="n">
        <v>45587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37255-2024</t>
        </is>
      </c>
      <c r="B1934" s="1" t="n">
        <v>45540</v>
      </c>
      <c r="C1934" s="1" t="n">
        <v>45587</v>
      </c>
      <c r="D1934" t="inlineStr">
        <is>
          <t>JÖNKÖPINGS LÄN</t>
        </is>
      </c>
      <c r="E1934" t="inlineStr">
        <is>
          <t>VETLANDA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37288-2024</t>
        </is>
      </c>
      <c r="B1935" s="1" t="n">
        <v>45540</v>
      </c>
      <c r="C1935" s="1" t="n">
        <v>45587</v>
      </c>
      <c r="D1935" t="inlineStr">
        <is>
          <t>JÖNKÖPINGS LÄN</t>
        </is>
      </c>
      <c r="E1935" t="inlineStr">
        <is>
          <t>VETLANDA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37426-2024</t>
        </is>
      </c>
      <c r="B1936" s="1" t="n">
        <v>45540</v>
      </c>
      <c r="C1936" s="1" t="n">
        <v>45587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37417-2024</t>
        </is>
      </c>
      <c r="B1937" s="1" t="n">
        <v>45540</v>
      </c>
      <c r="C1937" s="1" t="n">
        <v>45587</v>
      </c>
      <c r="D1937" t="inlineStr">
        <is>
          <t>JÖNKÖPINGS LÄN</t>
        </is>
      </c>
      <c r="E1937" t="inlineStr">
        <is>
          <t>VETLANDA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37645-2024</t>
        </is>
      </c>
      <c r="B1938" s="1" t="n">
        <v>45541</v>
      </c>
      <c r="C1938" s="1" t="n">
        <v>45587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37646-2024</t>
        </is>
      </c>
      <c r="B1939" s="1" t="n">
        <v>45541</v>
      </c>
      <c r="C1939" s="1" t="n">
        <v>45587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37829-2024</t>
        </is>
      </c>
      <c r="B1940" s="1" t="n">
        <v>45544</v>
      </c>
      <c r="C1940" s="1" t="n">
        <v>45587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37941-2024</t>
        </is>
      </c>
      <c r="B1941" s="1" t="n">
        <v>45544</v>
      </c>
      <c r="C1941" s="1" t="n">
        <v>45587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37846-2024</t>
        </is>
      </c>
      <c r="B1942" s="1" t="n">
        <v>45544</v>
      </c>
      <c r="C1942" s="1" t="n">
        <v>45587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38029-2024</t>
        </is>
      </c>
      <c r="B1943" s="1" t="n">
        <v>45544</v>
      </c>
      <c r="C1943" s="1" t="n">
        <v>45587</v>
      </c>
      <c r="D1943" t="inlineStr">
        <is>
          <t>JÖNKÖPINGS LÄN</t>
        </is>
      </c>
      <c r="E1943" t="inlineStr">
        <is>
          <t>VETLANDA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38047-2024</t>
        </is>
      </c>
      <c r="B1944" s="1" t="n">
        <v>45544</v>
      </c>
      <c r="C1944" s="1" t="n">
        <v>45587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38151-2024</t>
        </is>
      </c>
      <c r="B1945" s="1" t="n">
        <v>45545</v>
      </c>
      <c r="C1945" s="1" t="n">
        <v>45587</v>
      </c>
      <c r="D1945" t="inlineStr">
        <is>
          <t>JÖNKÖPINGS LÄN</t>
        </is>
      </c>
      <c r="E1945" t="inlineStr">
        <is>
          <t>VETLANDA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38155-2024</t>
        </is>
      </c>
      <c r="B1946" s="1" t="n">
        <v>45545</v>
      </c>
      <c r="C1946" s="1" t="n">
        <v>45587</v>
      </c>
      <c r="D1946" t="inlineStr">
        <is>
          <t>JÖNKÖPINGS LÄN</t>
        </is>
      </c>
      <c r="E1946" t="inlineStr">
        <is>
          <t>VETLANDA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38373-2024</t>
        </is>
      </c>
      <c r="B1947" s="1" t="n">
        <v>45545</v>
      </c>
      <c r="C1947" s="1" t="n">
        <v>45587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38448-2024</t>
        </is>
      </c>
      <c r="B1948" s="1" t="n">
        <v>45546</v>
      </c>
      <c r="C1948" s="1" t="n">
        <v>45587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38397-2024</t>
        </is>
      </c>
      <c r="B1949" s="1" t="n">
        <v>45546</v>
      </c>
      <c r="C1949" s="1" t="n">
        <v>45587</v>
      </c>
      <c r="D1949" t="inlineStr">
        <is>
          <t>JÖNKÖPINGS LÄN</t>
        </is>
      </c>
      <c r="E1949" t="inlineStr">
        <is>
          <t>VETLANDA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38449-2024</t>
        </is>
      </c>
      <c r="B1950" s="1" t="n">
        <v>45546</v>
      </c>
      <c r="C1950" s="1" t="n">
        <v>45587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38632-2024</t>
        </is>
      </c>
      <c r="B1951" s="1" t="n">
        <v>45546</v>
      </c>
      <c r="C1951" s="1" t="n">
        <v>45587</v>
      </c>
      <c r="D1951" t="inlineStr">
        <is>
          <t>JÖNKÖPINGS LÄN</t>
        </is>
      </c>
      <c r="E1951" t="inlineStr">
        <is>
          <t>VETLANDA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38633-2024</t>
        </is>
      </c>
      <c r="B1952" s="1" t="n">
        <v>45546</v>
      </c>
      <c r="C1952" s="1" t="n">
        <v>45587</v>
      </c>
      <c r="D1952" t="inlineStr">
        <is>
          <t>JÖNKÖPINGS LÄN</t>
        </is>
      </c>
      <c r="E1952" t="inlineStr">
        <is>
          <t>VETLANDA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38527-2024</t>
        </is>
      </c>
      <c r="B1953" s="1" t="n">
        <v>45546</v>
      </c>
      <c r="C1953" s="1" t="n">
        <v>45587</v>
      </c>
      <c r="D1953" t="inlineStr">
        <is>
          <t>JÖNKÖPINGS LÄN</t>
        </is>
      </c>
      <c r="E1953" t="inlineStr">
        <is>
          <t>VETLANDA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39197-2024</t>
        </is>
      </c>
      <c r="B1954" s="1" t="n">
        <v>45548</v>
      </c>
      <c r="C1954" s="1" t="n">
        <v>45587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39198-2024</t>
        </is>
      </c>
      <c r="B1955" s="1" t="n">
        <v>45548</v>
      </c>
      <c r="C1955" s="1" t="n">
        <v>45587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Kyrkan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39200-2024</t>
        </is>
      </c>
      <c r="B1956" s="1" t="n">
        <v>45548</v>
      </c>
      <c r="C1956" s="1" t="n">
        <v>45587</v>
      </c>
      <c r="D1956" t="inlineStr">
        <is>
          <t>JÖNKÖPINGS LÄN</t>
        </is>
      </c>
      <c r="E1956" t="inlineStr">
        <is>
          <t>VETLANDA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39303-2024</t>
        </is>
      </c>
      <c r="B1957" s="1" t="n">
        <v>45551</v>
      </c>
      <c r="C1957" s="1" t="n">
        <v>45587</v>
      </c>
      <c r="D1957" t="inlineStr">
        <is>
          <t>JÖNKÖPINGS LÄN</t>
        </is>
      </c>
      <c r="E1957" t="inlineStr">
        <is>
          <t>VETLANDA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39305-2024</t>
        </is>
      </c>
      <c r="B1958" s="1" t="n">
        <v>45551</v>
      </c>
      <c r="C1958" s="1" t="n">
        <v>45587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39590-2024</t>
        </is>
      </c>
      <c r="B1959" s="1" t="n">
        <v>45552</v>
      </c>
      <c r="C1959" s="1" t="n">
        <v>45587</v>
      </c>
      <c r="D1959" t="inlineStr">
        <is>
          <t>JÖNKÖPINGS LÄN</t>
        </is>
      </c>
      <c r="E1959" t="inlineStr">
        <is>
          <t>VETLANDA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40456-2024</t>
        </is>
      </c>
      <c r="B1960" s="1" t="n">
        <v>45555</v>
      </c>
      <c r="C1960" s="1" t="n">
        <v>45587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40630-2024</t>
        </is>
      </c>
      <c r="B1961" s="1" t="n">
        <v>45557</v>
      </c>
      <c r="C1961" s="1" t="n">
        <v>45587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40669-2024</t>
        </is>
      </c>
      <c r="B1962" s="1" t="n">
        <v>45558</v>
      </c>
      <c r="C1962" s="1" t="n">
        <v>45587</v>
      </c>
      <c r="D1962" t="inlineStr">
        <is>
          <t>JÖNKÖPINGS LÄN</t>
        </is>
      </c>
      <c r="E1962" t="inlineStr">
        <is>
          <t>VETLANDA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40906-2024</t>
        </is>
      </c>
      <c r="B1963" s="1" t="n">
        <v>45558</v>
      </c>
      <c r="C1963" s="1" t="n">
        <v>45587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41146-2024</t>
        </is>
      </c>
      <c r="B1964" s="1" t="n">
        <v>45559</v>
      </c>
      <c r="C1964" s="1" t="n">
        <v>45587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41152-2024</t>
        </is>
      </c>
      <c r="B1965" s="1" t="n">
        <v>45559</v>
      </c>
      <c r="C1965" s="1" t="n">
        <v>45587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41386-2024</t>
        </is>
      </c>
      <c r="B1966" s="1" t="n">
        <v>45560</v>
      </c>
      <c r="C1966" s="1" t="n">
        <v>45587</v>
      </c>
      <c r="D1966" t="inlineStr">
        <is>
          <t>JÖNKÖPINGS LÄN</t>
        </is>
      </c>
      <c r="E1966" t="inlineStr">
        <is>
          <t>VETLANDA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41387-2024</t>
        </is>
      </c>
      <c r="B1967" s="1" t="n">
        <v>45560</v>
      </c>
      <c r="C1967" s="1" t="n">
        <v>45587</v>
      </c>
      <c r="D1967" t="inlineStr">
        <is>
          <t>JÖNKÖPINGS LÄN</t>
        </is>
      </c>
      <c r="E1967" t="inlineStr">
        <is>
          <t>VETLANDA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41687-2024</t>
        </is>
      </c>
      <c r="B1968" s="1" t="n">
        <v>45560</v>
      </c>
      <c r="C1968" s="1" t="n">
        <v>45587</v>
      </c>
      <c r="D1968" t="inlineStr">
        <is>
          <t>JÖNKÖPINGS LÄN</t>
        </is>
      </c>
      <c r="E1968" t="inlineStr">
        <is>
          <t>VETLANDA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45587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41876-2024</t>
        </is>
      </c>
      <c r="B1970" s="1" t="n">
        <v>45561</v>
      </c>
      <c r="C1970" s="1" t="n">
        <v>45587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41877-2024</t>
        </is>
      </c>
      <c r="B1971" s="1" t="n">
        <v>45561</v>
      </c>
      <c r="C1971" s="1" t="n">
        <v>45587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42328-2024</t>
        </is>
      </c>
      <c r="B1972" s="1" t="n">
        <v>45562</v>
      </c>
      <c r="C1972" s="1" t="n">
        <v>45587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42323-2024</t>
        </is>
      </c>
      <c r="B1973" s="1" t="n">
        <v>45562</v>
      </c>
      <c r="C1973" s="1" t="n">
        <v>45587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42431-2024</t>
        </is>
      </c>
      <c r="B1974" s="1" t="n">
        <v>45563</v>
      </c>
      <c r="C1974" s="1" t="n">
        <v>45587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42413-2024</t>
        </is>
      </c>
      <c r="B1975" s="1" t="n">
        <v>45563</v>
      </c>
      <c r="C1975" s="1" t="n">
        <v>45587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42594-2024</t>
        </is>
      </c>
      <c r="B1976" s="1" t="n">
        <v>45565</v>
      </c>
      <c r="C1976" s="1" t="n">
        <v>45587</v>
      </c>
      <c r="D1976" t="inlineStr">
        <is>
          <t>JÖNKÖPINGS LÄN</t>
        </is>
      </c>
      <c r="E1976" t="inlineStr">
        <is>
          <t>VETLANDA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42927-2024</t>
        </is>
      </c>
      <c r="B1977" s="1" t="n">
        <v>45567</v>
      </c>
      <c r="C1977" s="1" t="n">
        <v>45587</v>
      </c>
      <c r="D1977" t="inlineStr">
        <is>
          <t>JÖNKÖPINGS LÄN</t>
        </is>
      </c>
      <c r="E1977" t="inlineStr">
        <is>
          <t>VETLANDA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43046-2024</t>
        </is>
      </c>
      <c r="B1978" s="1" t="n">
        <v>45567</v>
      </c>
      <c r="C1978" s="1" t="n">
        <v>45587</v>
      </c>
      <c r="D1978" t="inlineStr">
        <is>
          <t>JÖNKÖPINGS LÄN</t>
        </is>
      </c>
      <c r="E1978" t="inlineStr">
        <is>
          <t>VETLANDA</t>
        </is>
      </c>
      <c r="G1978" t="n">
        <v>5.8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45587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43437-2024</t>
        </is>
      </c>
      <c r="B1980" s="1" t="n">
        <v>45568</v>
      </c>
      <c r="C1980" s="1" t="n">
        <v>45587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43440-2024</t>
        </is>
      </c>
      <c r="B1981" s="1" t="n">
        <v>45568</v>
      </c>
      <c r="C1981" s="1" t="n">
        <v>45587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43505-2024</t>
        </is>
      </c>
      <c r="B1982" s="1" t="n">
        <v>45569</v>
      </c>
      <c r="C1982" s="1" t="n">
        <v>45587</v>
      </c>
      <c r="D1982" t="inlineStr">
        <is>
          <t>JÖNKÖPINGS LÄN</t>
        </is>
      </c>
      <c r="E1982" t="inlineStr">
        <is>
          <t>VETLANDA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45587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43698-2024</t>
        </is>
      </c>
      <c r="B1984" s="1" t="n">
        <v>45569</v>
      </c>
      <c r="C1984" s="1" t="n">
        <v>45587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45587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44126-2024</t>
        </is>
      </c>
      <c r="B1986" s="1" t="n">
        <v>45572</v>
      </c>
      <c r="C1986" s="1" t="n">
        <v>45587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44021-2024</t>
        </is>
      </c>
      <c r="B1987" s="1" t="n">
        <v>45572</v>
      </c>
      <c r="C1987" s="1" t="n">
        <v>45587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44083-2024</t>
        </is>
      </c>
      <c r="B1988" s="1" t="n">
        <v>45572</v>
      </c>
      <c r="C1988" s="1" t="n">
        <v>45587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44125-2024</t>
        </is>
      </c>
      <c r="B1989" s="1" t="n">
        <v>45572</v>
      </c>
      <c r="C1989" s="1" t="n">
        <v>45587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44019-2024</t>
        </is>
      </c>
      <c r="B1990" s="1" t="n">
        <v>45572</v>
      </c>
      <c r="C1990" s="1" t="n">
        <v>45587</v>
      </c>
      <c r="D1990" t="inlineStr">
        <is>
          <t>JÖNKÖPINGS LÄN</t>
        </is>
      </c>
      <c r="E1990" t="inlineStr">
        <is>
          <t>VETLANDA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44016-2024</t>
        </is>
      </c>
      <c r="B1991" s="1" t="n">
        <v>45572</v>
      </c>
      <c r="C1991" s="1" t="n">
        <v>45587</v>
      </c>
      <c r="D1991" t="inlineStr">
        <is>
          <t>JÖNKÖPINGS LÄN</t>
        </is>
      </c>
      <c r="E1991" t="inlineStr">
        <is>
          <t>VETLANDA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44186-2024</t>
        </is>
      </c>
      <c r="B1992" s="1" t="n">
        <v>45573</v>
      </c>
      <c r="C1992" s="1" t="n">
        <v>45587</v>
      </c>
      <c r="D1992" t="inlineStr">
        <is>
          <t>JÖNKÖPINGS LÄN</t>
        </is>
      </c>
      <c r="E1992" t="inlineStr">
        <is>
          <t>VETLANDA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44300-2024</t>
        </is>
      </c>
      <c r="B1993" s="1" t="n">
        <v>45573</v>
      </c>
      <c r="C1993" s="1" t="n">
        <v>45587</v>
      </c>
      <c r="D1993" t="inlineStr">
        <is>
          <t>JÖNKÖPINGS LÄN</t>
        </is>
      </c>
      <c r="E1993" t="inlineStr">
        <is>
          <t>VETLANDA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44283-2024</t>
        </is>
      </c>
      <c r="B1994" s="1" t="n">
        <v>45573</v>
      </c>
      <c r="C1994" s="1" t="n">
        <v>45587</v>
      </c>
      <c r="D1994" t="inlineStr">
        <is>
          <t>JÖNKÖPINGS LÄN</t>
        </is>
      </c>
      <c r="E1994" t="inlineStr">
        <is>
          <t>VETLANDA</t>
        </is>
      </c>
      <c r="G1994" t="n">
        <v>8.1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44502-2024</t>
        </is>
      </c>
      <c r="B1995" s="1" t="n">
        <v>45574</v>
      </c>
      <c r="C1995" s="1" t="n">
        <v>45587</v>
      </c>
      <c r="D1995" t="inlineStr">
        <is>
          <t>JÖNKÖPINGS LÄN</t>
        </is>
      </c>
      <c r="E1995" t="inlineStr">
        <is>
          <t>VETLANDA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44608-2024</t>
        </is>
      </c>
      <c r="B1996" s="1" t="n">
        <v>45574</v>
      </c>
      <c r="C1996" s="1" t="n">
        <v>45587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44587-2024</t>
        </is>
      </c>
      <c r="B1997" s="1" t="n">
        <v>45574</v>
      </c>
      <c r="C1997" s="1" t="n">
        <v>45587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44647-2024</t>
        </is>
      </c>
      <c r="B1998" s="1" t="n">
        <v>45574</v>
      </c>
      <c r="C1998" s="1" t="n">
        <v>45587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44830-2024</t>
        </is>
      </c>
      <c r="B1999" s="1" t="n">
        <v>45574</v>
      </c>
      <c r="C1999" s="1" t="n">
        <v>45587</v>
      </c>
      <c r="D1999" t="inlineStr">
        <is>
          <t>JÖNKÖPINGS LÄN</t>
        </is>
      </c>
      <c r="E1999" t="inlineStr">
        <is>
          <t>VETLANDA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44994-2024</t>
        </is>
      </c>
      <c r="B2000" s="1" t="n">
        <v>45575</v>
      </c>
      <c r="C2000" s="1" t="n">
        <v>45587</v>
      </c>
      <c r="D2000" t="inlineStr">
        <is>
          <t>JÖNKÖPINGS LÄN</t>
        </is>
      </c>
      <c r="E2000" t="inlineStr">
        <is>
          <t>VETLANDA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45010-2024</t>
        </is>
      </c>
      <c r="B2001" s="1" t="n">
        <v>45575</v>
      </c>
      <c r="C2001" s="1" t="n">
        <v>45587</v>
      </c>
      <c r="D2001" t="inlineStr">
        <is>
          <t>JÖNKÖPINGS LÄN</t>
        </is>
      </c>
      <c r="E2001" t="inlineStr">
        <is>
          <t>VETLANDA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45023-2024</t>
        </is>
      </c>
      <c r="B2002" s="1" t="n">
        <v>45575</v>
      </c>
      <c r="C2002" s="1" t="n">
        <v>45587</v>
      </c>
      <c r="D2002" t="inlineStr">
        <is>
          <t>JÖNKÖPINGS LÄN</t>
        </is>
      </c>
      <c r="E2002" t="inlineStr">
        <is>
          <t>VETLANDA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45089-2024</t>
        </is>
      </c>
      <c r="B2003" s="1" t="n">
        <v>45575</v>
      </c>
      <c r="C2003" s="1" t="n">
        <v>45587</v>
      </c>
      <c r="D2003" t="inlineStr">
        <is>
          <t>JÖNKÖPINGS LÄN</t>
        </is>
      </c>
      <c r="E2003" t="inlineStr">
        <is>
          <t>VETLANDA</t>
        </is>
      </c>
      <c r="G2003" t="n">
        <v>7.5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45050-2024</t>
        </is>
      </c>
      <c r="B2004" s="1" t="n">
        <v>45575</v>
      </c>
      <c r="C2004" s="1" t="n">
        <v>45587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45572-2024</t>
        </is>
      </c>
      <c r="B2005" s="1" t="n">
        <v>45579</v>
      </c>
      <c r="C2005" s="1" t="n">
        <v>45587</v>
      </c>
      <c r="D2005" t="inlineStr">
        <is>
          <t>JÖNKÖPINGS LÄN</t>
        </is>
      </c>
      <c r="E2005" t="inlineStr">
        <is>
          <t>VETLANDA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45589-2024</t>
        </is>
      </c>
      <c r="B2006" s="1" t="n">
        <v>45579</v>
      </c>
      <c r="C2006" s="1" t="n">
        <v>45587</v>
      </c>
      <c r="D2006" t="inlineStr">
        <is>
          <t>JÖNKÖPINGS LÄN</t>
        </is>
      </c>
      <c r="E2006" t="inlineStr">
        <is>
          <t>VETLANDA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45947-2024</t>
        </is>
      </c>
      <c r="B2007" s="1" t="n">
        <v>45580</v>
      </c>
      <c r="C2007" s="1" t="n">
        <v>45587</v>
      </c>
      <c r="D2007" t="inlineStr">
        <is>
          <t>JÖNKÖPINGS LÄN</t>
        </is>
      </c>
      <c r="E2007" t="inlineStr">
        <is>
          <t>VETLANDA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45979-2024</t>
        </is>
      </c>
      <c r="B2008" s="1" t="n">
        <v>45580</v>
      </c>
      <c r="C2008" s="1" t="n">
        <v>45587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45964-2024</t>
        </is>
      </c>
      <c r="B2009" s="1" t="n">
        <v>45580</v>
      </c>
      <c r="C2009" s="1" t="n">
        <v>45587</v>
      </c>
      <c r="D2009" t="inlineStr">
        <is>
          <t>JÖNKÖPINGS LÄN</t>
        </is>
      </c>
      <c r="E2009" t="inlineStr">
        <is>
          <t>VETLANDA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45968-2024</t>
        </is>
      </c>
      <c r="B2010" s="1" t="n">
        <v>45580</v>
      </c>
      <c r="C2010" s="1" t="n">
        <v>45587</v>
      </c>
      <c r="D2010" t="inlineStr">
        <is>
          <t>JÖNKÖPINGS LÄN</t>
        </is>
      </c>
      <c r="E2010" t="inlineStr">
        <is>
          <t>VETLANDA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45972-2024</t>
        </is>
      </c>
      <c r="B2011" s="1" t="n">
        <v>45580</v>
      </c>
      <c r="C2011" s="1" t="n">
        <v>45587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45945-2024</t>
        </is>
      </c>
      <c r="B2012" s="1" t="n">
        <v>45580</v>
      </c>
      <c r="C2012" s="1" t="n">
        <v>45587</v>
      </c>
      <c r="D2012" t="inlineStr">
        <is>
          <t>JÖNKÖPINGS LÄN</t>
        </is>
      </c>
      <c r="E2012" t="inlineStr">
        <is>
          <t>VETLANDA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45950-2024</t>
        </is>
      </c>
      <c r="B2013" s="1" t="n">
        <v>45580</v>
      </c>
      <c r="C2013" s="1" t="n">
        <v>45587</v>
      </c>
      <c r="D2013" t="inlineStr">
        <is>
          <t>JÖNKÖPINGS LÄN</t>
        </is>
      </c>
      <c r="E2013" t="inlineStr">
        <is>
          <t>VETLANDA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46284-2024</t>
        </is>
      </c>
      <c r="B2014" s="1" t="n">
        <v>45581</v>
      </c>
      <c r="C2014" s="1" t="n">
        <v>45587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46309-2024</t>
        </is>
      </c>
      <c r="B2015" s="1" t="n">
        <v>45581</v>
      </c>
      <c r="C2015" s="1" t="n">
        <v>45587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46313-2024</t>
        </is>
      </c>
      <c r="B2016" s="1" t="n">
        <v>45581</v>
      </c>
      <c r="C2016" s="1" t="n">
        <v>45587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46277-2024</t>
        </is>
      </c>
      <c r="B2017" s="1" t="n">
        <v>45581</v>
      </c>
      <c r="C2017" s="1" t="n">
        <v>45587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46310-2024</t>
        </is>
      </c>
      <c r="B2018" s="1" t="n">
        <v>45581</v>
      </c>
      <c r="C2018" s="1" t="n">
        <v>45587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46283-2024</t>
        </is>
      </c>
      <c r="B2019" s="1" t="n">
        <v>45581</v>
      </c>
      <c r="C2019" s="1" t="n">
        <v>45587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46274-2024</t>
        </is>
      </c>
      <c r="B2020" s="1" t="n">
        <v>45581</v>
      </c>
      <c r="C2020" s="1" t="n">
        <v>45587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46311-2024</t>
        </is>
      </c>
      <c r="B2021" s="1" t="n">
        <v>45581</v>
      </c>
      <c r="C2021" s="1" t="n">
        <v>45587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46531-2024</t>
        </is>
      </c>
      <c r="B2022" s="1" t="n">
        <v>45582</v>
      </c>
      <c r="C2022" s="1" t="n">
        <v>45587</v>
      </c>
      <c r="D2022" t="inlineStr">
        <is>
          <t>JÖNKÖPINGS LÄN</t>
        </is>
      </c>
      <c r="E2022" t="inlineStr">
        <is>
          <t>VETLANDA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46539-2024</t>
        </is>
      </c>
      <c r="B2023" s="1" t="n">
        <v>45582</v>
      </c>
      <c r="C2023" s="1" t="n">
        <v>45587</v>
      </c>
      <c r="D2023" t="inlineStr">
        <is>
          <t>JÖNKÖPINGS LÄN</t>
        </is>
      </c>
      <c r="E2023" t="inlineStr">
        <is>
          <t>VETLANDA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46884-2024</t>
        </is>
      </c>
      <c r="B2024" s="1" t="n">
        <v>45583</v>
      </c>
      <c r="C2024" s="1" t="n">
        <v>45587</v>
      </c>
      <c r="D2024" t="inlineStr">
        <is>
          <t>JÖNKÖPINGS LÄN</t>
        </is>
      </c>
      <c r="E2024" t="inlineStr">
        <is>
          <t>VETLANDA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46886-2024</t>
        </is>
      </c>
      <c r="B2025" s="1" t="n">
        <v>45583</v>
      </c>
      <c r="C2025" s="1" t="n">
        <v>45587</v>
      </c>
      <c r="D2025" t="inlineStr">
        <is>
          <t>JÖNKÖPINGS LÄN</t>
        </is>
      </c>
      <c r="E2025" t="inlineStr">
        <is>
          <t>VETLANDA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47124-2024</t>
        </is>
      </c>
      <c r="B2026" s="1" t="n">
        <v>45586</v>
      </c>
      <c r="C2026" s="1" t="n">
        <v>45587</v>
      </c>
      <c r="D2026" t="inlineStr">
        <is>
          <t>JÖNKÖPINGS LÄN</t>
        </is>
      </c>
      <c r="E2026" t="inlineStr">
        <is>
          <t>VETLANDA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>
      <c r="A2027" t="inlineStr">
        <is>
          <t>A 47276-2024</t>
        </is>
      </c>
      <c r="B2027" s="1" t="n">
        <v>45586</v>
      </c>
      <c r="C2027" s="1" t="n">
        <v>45587</v>
      </c>
      <c r="D2027" t="inlineStr">
        <is>
          <t>JÖNKÖPINGS LÄN</t>
        </is>
      </c>
      <c r="E2027" t="inlineStr">
        <is>
          <t>VETLANDA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2024-10-22T12:59:37Z</dcterms:created>
  <dcterms:modified xmlns:dcterms="http://purl.org/dc/terms/" xmlns:xsi="http://www.w3.org/2001/XMLSchema-instance" xsi:type="dcterms:W3CDTF">2024-10-22T12:59:39Z</dcterms:modified>
</cp:coreProperties>
</file>