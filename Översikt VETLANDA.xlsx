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45762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45762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45762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45762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45762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45762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45762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45762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45762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45762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45762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45762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45762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45762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45762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45762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45762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45762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45762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45762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45762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45762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45762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45762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45762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45762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45762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45762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45762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45762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45762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45762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45762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45762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45762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45762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45762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45762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45762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45762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45762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45762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45762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45762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45762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45762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45762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45762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45762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45762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45762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45762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45762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45762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45762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45762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45762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45762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45762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45762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45762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45762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45762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45762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45762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45762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45762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45762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45762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45762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45762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45762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45762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45762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45762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45762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45762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45762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45762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45762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45762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45762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45762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45762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45762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45762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45762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45762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45762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45762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45762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45762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45762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45762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45762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45762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45762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45762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45762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45762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45762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45762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45762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45762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45762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45762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45762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45762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45762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45762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45762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45762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45762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45762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45762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45762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45762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45762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45762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45762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45762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45762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45762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45762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45762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45762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45762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45762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45762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45762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45762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45762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45762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45762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45762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45762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45762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45762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45762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45762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45762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45762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45762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45762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45762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45762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45762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45762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45762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45762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45762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45762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45762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45762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45762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45762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45762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45762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45762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45762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45762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45762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45762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45762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45762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45762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45762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45762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45762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45762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45762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45762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45762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45762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45762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45762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45762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45762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45762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45762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45762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45762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45762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45762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45762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45762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45762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45762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45762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45762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45762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45762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45762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45762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45762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45762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45762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45762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45762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45762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45762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45762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45762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45762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45762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45762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45762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45762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45762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45762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45762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45762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45762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45762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45762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45762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45762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45762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45762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45762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45762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45762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45762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45762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45762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45762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45762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45762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45762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45762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45762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45762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45762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45762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45762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45762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45762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45762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45762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45762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45762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45762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45762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45762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45762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45762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45762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45762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45762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45762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45762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45762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45762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45762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45762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45762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45762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45762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45762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45762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45762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45762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45762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45762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45762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45762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45762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45762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45762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45762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45762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45762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45762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45762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45762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45762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45762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45762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45762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45762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45762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45762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45762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45762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45762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45762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45762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45762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45762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45762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45762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45762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45762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45762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45762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45762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45762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45762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45762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45762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45762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45762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45762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45762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45762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45762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45762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45762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45762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45762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45762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45762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45762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45762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45762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45762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45762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45762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45762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45762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45762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45762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45762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45762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45762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45762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45762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45762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45762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45762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45762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45762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45762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45762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45762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45762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45762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45762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45762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45762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45762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45762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45762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45762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45762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45762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45762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45762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45762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45762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45762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45762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45762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45762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45762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45762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45762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45762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45762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45762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45762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45762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45762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45762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45762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45762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45762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45762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45762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45762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45762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45762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45762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45762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45762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45762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45762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45762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45762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45762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45762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45762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45762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45762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45762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45762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45762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45762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45762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45762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45762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45762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45762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45762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45762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45762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45762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45762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45762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45762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45762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45762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45762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45762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45762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45762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45762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45762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45762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45762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45762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45762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45762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45762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45762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45762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45762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45762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45762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45762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45762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45762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45762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45762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45762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45762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45762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45762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45762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45762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45762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45762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45762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45762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45762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45762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45762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45762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45762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45762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45762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45762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45762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45762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45762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45762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45762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45762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45762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45762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45762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45762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45762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45762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45762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45762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45762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45762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45762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45762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45762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45762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45762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45762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45762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45762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45762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45762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45762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45762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45762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45762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45762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45762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45762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45762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45762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45762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45762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45762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45762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45762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45762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45762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45762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45762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45762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45762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45762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45762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45762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45762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45762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45762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45762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45762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45762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45762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45762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45762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45762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45762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45762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45762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45762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45762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45762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45762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45762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45762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45762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45762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45762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45762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45762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45762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45762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45762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45762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45762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45762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45762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45762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45762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45762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45762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45762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45762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45762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45762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45762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45762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45762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45762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45762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45762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45762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45762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45762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45762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45762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45762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45762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45762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45762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45762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45762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45762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45762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45762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45762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45762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45762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45762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45762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45762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45762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45762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45762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45762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45762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45762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45762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45762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45762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45762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45762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45762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45762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45762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45762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45762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45762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45762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45762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45762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45762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45762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45762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45762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45762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45762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45762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45762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45762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45762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45762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45762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45762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45762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45762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45762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45762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45762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45762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45762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45762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45762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45762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45762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45762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45762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45762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45762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45762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45762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45762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45762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45762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45762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45762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45762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45762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45762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45762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45762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45762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45762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45762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45762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45762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45762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45762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45762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45762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45762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45762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45762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45762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45762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45762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45762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45762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45762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45762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45762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45762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45762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45762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45762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45762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45762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45762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45762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45762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45762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45762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45762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45762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45762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45762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45762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45762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45762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45762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45762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45762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45762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45762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45762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45762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45762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45762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45762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45762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45762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45762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45762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45762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45762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45762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45762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45762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45762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45762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45762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45762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45762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45762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45762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45762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45762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45762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45762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45762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45762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45762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45762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45762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45762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45762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45762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45762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45762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45762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45762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45762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45762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45762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45762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45762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45762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45762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45762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45762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45762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45762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45762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45762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45762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45762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45762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45762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45762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45762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45762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45762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45762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45762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45762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45762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45762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45762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45762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45762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45762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45762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45762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45762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45762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45762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45762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45762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45762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45762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45762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45762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45762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45762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45762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45762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45762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45762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45762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45762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45762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45762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45762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45762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45762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45762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45762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45762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45762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45762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45762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45762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45762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45762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45762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45762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45762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45762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45762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45762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45762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45762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45762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45762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45762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45762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45762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45762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45762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45762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45762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45762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45762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45762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45762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45762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45762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45762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45762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45762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45762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45762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45762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45762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45762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45762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45762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45762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45762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45762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45762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45762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45762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45762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45762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45762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45762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45762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45762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45762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45762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45762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45762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45762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45762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45762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45762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45762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45762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45762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45762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45762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45762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45762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45762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45762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45762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45762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45762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45762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45762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45762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45762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45762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45762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45762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45762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45762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45762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45762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45762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45762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45762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45762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45762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45762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45762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45762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45762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45762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45762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45762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45762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45762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45762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45762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45762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45762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45762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45762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45762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45762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45762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45762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45762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45762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45762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45762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45762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45762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45762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45762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45762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45762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45762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45762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45762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45762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45762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45762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45762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45762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45762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45762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45762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45762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45762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45762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45762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45762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45762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45762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45762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45762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45762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45762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45762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45762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45762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45762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45762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45762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45762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45762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45762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45762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45762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45762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45762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45762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45762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45762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45762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45762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45762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45762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45762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45762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45762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45762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45762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45762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45762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45762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45762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45762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45762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45762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45762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45762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45762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45762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45762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45762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45762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45762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45762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45762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45762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45762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45762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45762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45762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45762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45762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45762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45762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45762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45762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45762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45762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45762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45762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45762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45762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45762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45762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45762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45762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45762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45762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45762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45762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45762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45762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45762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45762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45762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45762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45762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45762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45762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45762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45762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45762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45762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45762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45762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45762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45762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45762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45762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45762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45762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45762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45762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45762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45762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45762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45762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45762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45762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45762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45762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45762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45762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45762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45762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45762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45762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45762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45762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45762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45762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45762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45762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45762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45762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45762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45762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45762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45762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45762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45762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45762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45762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45762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45762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45762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45762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45762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45762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45762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45762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45762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45762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45762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45762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45762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45762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45762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45762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45762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45762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45762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45762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45762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45762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45762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45762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45762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45762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45762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45762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45762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45762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45762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45762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45762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45762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45762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45762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45762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45762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45762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45762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45762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45762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45762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45762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45762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45762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45762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45762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45762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45762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45762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45762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45762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45762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45762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45762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45762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45762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45762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45762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45762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45762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45762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45762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45762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45762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45762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45762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45762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45762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45762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45762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45762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45762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45762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45762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45762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45762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45762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45762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45762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45762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45762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45762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45762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45762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45762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45762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45762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45762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45762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45762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45762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45762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45762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45762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45762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45762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45762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45762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45762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45762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45762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45762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45762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45762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45762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45762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45762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45762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45762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45762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45762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45762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45762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45762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45762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45762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45762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45762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45762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45762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45762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45762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45762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45762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45762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45762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45762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45762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45762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45762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45762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45762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45762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45762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45762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45762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45762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45762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45762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45762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45762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45762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45762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45762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45762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45762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45762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45762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45762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45762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45762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45762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45762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45762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45762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45762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45762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45762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45762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45762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45762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45762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45762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45762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45762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45762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45762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45762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45762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45762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45762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45762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45762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45762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45762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45762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45762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45762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45762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45762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45762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45762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45762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45762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45762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45762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45762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45762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45762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45762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45762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45762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45762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45762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45762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45762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45762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45762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45762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45762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45762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45762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45762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45762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45762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45762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45762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45762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45762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45762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45762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45762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45762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45762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45762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45762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45762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45762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45762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45762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45762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45762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45762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45762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45762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45762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45762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45762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45762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45762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45762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45762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45762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45762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45762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45762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45762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45762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45762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45762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45762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45762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45762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45762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45762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45762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45762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45762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45762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45762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45762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45762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45762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45762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45762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45762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45762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45762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45762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45762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45762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45762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45762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45762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45762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45762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45762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45762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45762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45762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45762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45762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45762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45762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45762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45762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45762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45762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45762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45762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45762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45762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45762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45762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45762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45762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45762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45762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45762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45762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45762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45762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45762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45762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45762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45762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45762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45762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45762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45762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45762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45762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45762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45762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45762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45762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45762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45762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45762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45762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45762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45762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45762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45762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45762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45762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45762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45762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45762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45762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45762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45762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45762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45762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45762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45762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45762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45762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45762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45762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45762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45762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45762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45762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45762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45762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45762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45762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45762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45762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45762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45762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45762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45762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45762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45762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45762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45762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45762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45762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45762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45762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45762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45762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45762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45762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45762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45762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45762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45762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45762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45762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45762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45762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45762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45762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45762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45762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45762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45762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45762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45762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45762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45762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45762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45762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45762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45762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45762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45762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45762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45762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45762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45762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45762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45762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45762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45762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45762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45762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45762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45762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45762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45762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45762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45762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45762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45762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45762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45762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45762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45762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45762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45762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45762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45762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45762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45762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45762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45762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45762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45762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45762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45762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45762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45762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45762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45762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45762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45762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45762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45762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45762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45762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45762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45762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45762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45762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45762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45762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45762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45762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45762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45762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45762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45762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45762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45762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45762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45762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45762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45762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45762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45762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45762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45762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45762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45762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45762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45762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45762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45762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45762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45762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45762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45762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45762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45762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45762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45762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45762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45762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45762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45762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45762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45762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45762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45762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45762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45762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45762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45762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45762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45762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45762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45762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45762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45762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45762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45762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45762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45762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45762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45762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45762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45762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45762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45762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45762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45762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45762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45762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45762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45762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45762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45762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45762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45762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45762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45762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45762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45762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45762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45762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45762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45762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45762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45762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45762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45762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45762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45762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45762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45762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45762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45762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45762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45762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45762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45762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45762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45762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45762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45762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45762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45762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45762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45762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45762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45762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45762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45762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45762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45762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45762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45762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45762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45762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45762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45762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45762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45762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45762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45762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45762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45762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45762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45762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45762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45762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45762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45762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45762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45762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45762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45762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45762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45762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45762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45762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45762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45762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45762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45762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45762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45762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45762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45762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45762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45762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45762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45762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45762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45762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45762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45762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45762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45762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45762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45762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45762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45762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45762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45762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45762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45762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45762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45762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45762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45762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45762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45762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45762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45762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45762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45762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45762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45762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45762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45762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45762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45762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45762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45762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45762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45762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45762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45762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45762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45762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45762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45762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45762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45762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45762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45762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45762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45762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45762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45762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45762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45762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45762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45762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45762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45762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45762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45762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45762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45762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45762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45762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45762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45762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45762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45762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45762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45762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45762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45762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45762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45762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45762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45762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45762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45762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45762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45762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45762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45762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45762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45762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45762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45762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45762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45762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45762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45762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45762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45762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45762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45762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45762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45762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45762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45762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45762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45762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45762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45762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45762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45762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45762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45762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45762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45762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45762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45762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45762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45762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45762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45762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45762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45762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45762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45762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45762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45762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45762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45762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45762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45762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45762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45762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45762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45762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45762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45762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45762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45762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45762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45762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45762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45762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45762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45762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45762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45762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45762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45762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45762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45762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45762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45762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45762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45762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45762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45762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45762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45762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45762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45762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45762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45762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45762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45762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45762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45762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45762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45762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45762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45762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45762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45762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45762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45762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45762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45762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45762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45762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45762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45762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45762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45762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45762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45762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45762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45762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45762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45762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45762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45762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45762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45762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45762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45762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45762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45762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45762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45762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45762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45762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45762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45762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45762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45762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45762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45762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45762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45762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45762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45762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45762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45762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45762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45762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45762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45762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45762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45762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45762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45762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45762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45762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45762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45762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45762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45762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45762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45762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45762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45762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45762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45762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45762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45762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45762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45762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45762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45762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45762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45762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45762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45762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45762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45762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45762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45762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45762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45762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45762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45762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45762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45762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45762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45762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45762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45762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45762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45762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45762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45762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45762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45762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45762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45762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45762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45762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45762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45762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45762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45762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45762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45762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45762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45762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45762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45762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45762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45762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45762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45762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45762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45762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45762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45762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45762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45762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45762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45762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45762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45762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45762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45762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45762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45762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45762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45762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45762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45762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45762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45762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45762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45762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45762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45762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45762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45762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45762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45762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45762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45762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45762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45762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45762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45762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45762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45762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45762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45762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45762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45762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45762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45762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45762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45762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45762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45762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45762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45762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45762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45762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45762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45762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45762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45762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45762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45762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45762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45762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45762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45762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45762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45762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45762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45762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45762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45762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45762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45762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45762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45762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45762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45762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45762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45762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45762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45762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45762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45762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45762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45762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45762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45762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45762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45762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45762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45762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45762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45762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45762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45762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45762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45762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45762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45762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45762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45762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45762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45762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45762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45762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45762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45762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45762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45762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45762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45762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45762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45762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45762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45762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45762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45762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45762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45762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45762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45762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45762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45762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45762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45762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45762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45762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45762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45762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45762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45762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45762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45762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45762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45762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45762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45762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45762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45762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45762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45762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45762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45762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45762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45762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45762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45762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45762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45762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45762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45762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45762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45762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45762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45762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45762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45762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45762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45762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45762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45762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45762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45762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45762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45762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45762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45762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45762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45762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45762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45762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45762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45762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45762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45762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45762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45762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45762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45762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45762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45762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45762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45762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45762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45762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45762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45762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45762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45762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45762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45762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45762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45762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45762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45762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45762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45762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45762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45762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45762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45762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45762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45762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45762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45762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45762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45762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45762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45762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45762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45762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45762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45762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45762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45762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45762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45762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45762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45762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45762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45762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45762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45762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45762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45762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45762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45762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45762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45762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45762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45762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45762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45762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45762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45762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45762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45762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45762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45762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45762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45762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45762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45762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45762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45762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45762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45762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45762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45762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45762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45762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45762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45762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45762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45762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45762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45762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45762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45762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45762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45762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45762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45762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45762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45762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45762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45762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45762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45762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45762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45762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45762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45762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45762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45762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45762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45762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45762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45762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45762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45762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45762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45762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45762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45762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45762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45762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45762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45762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45762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45762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45762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45762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45762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45762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45762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45762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45762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45762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45762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45762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45762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45762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45762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45762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45762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45762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45762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45762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45762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45762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45762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45762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45762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45762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45762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45762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45762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45762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45762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45762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45762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45762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45762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45762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45762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45762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45762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45762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45762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45762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45762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45762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45762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45762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45762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45762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45762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45762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45762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45762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45762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45762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45762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45762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45762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45762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45762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45762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45762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45762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45762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45762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45762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45762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45762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45762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45762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45762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45762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45762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45762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45762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45762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45762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45762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45762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45762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45762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45762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45762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45762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45762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45762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45762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45762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45762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45762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45762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45762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45762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45762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45762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45762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45762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45762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45762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45762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45762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45762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45762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45762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45762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45762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45762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45762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45762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45762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45762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45762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45762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45762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45762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45762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45762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45762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45762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45762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45762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45762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45762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45762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45762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45762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45762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45762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45762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45762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45762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45762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45762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45762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45762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45762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45762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45762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45762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45762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45762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45762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45762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45762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45762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45762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45762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45762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45762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45762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45762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45762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45762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45762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45762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45762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45762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45762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45762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45762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45762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45762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13593-2025</t>
        </is>
      </c>
      <c r="B2302" s="1" t="n">
        <v>45736</v>
      </c>
      <c r="C2302" s="1" t="n">
        <v>45762</v>
      </c>
      <c r="D2302" t="inlineStr">
        <is>
          <t>JÖNKÖPINGS LÄN</t>
        </is>
      </c>
      <c r="E2302" t="inlineStr">
        <is>
          <t>VETLANDA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45762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HYPERLINK("https://klasma.github.io/Logging_060685/knärot/A 13587-2025 karta knärot.png", "A 13587-2025")</f>
        <v/>
      </c>
      <c r="V2303">
        <f>HYPERLINK("https://klasma.github.io/Logging_060685/klagomål/A 13587-2025 FSC-klagomål.docx", "A 13587-2025")</f>
        <v/>
      </c>
      <c r="W2303">
        <f>HYPERLINK("https://klasma.github.io/Logging_060685/klagomålsmail/A 13587-2025 FSC-klagomål mail.docx", "A 13587-2025")</f>
        <v/>
      </c>
      <c r="X2303">
        <f>HYPERLINK("https://klasma.github.io/Logging_060685/tillsyn/A 13587-2025 tillsynsbegäran.docx", "A 13587-2025")</f>
        <v/>
      </c>
      <c r="Y2303">
        <f>HYPERLINK("https://klasma.github.io/Logging_060685/tillsynsmail/A 13587-2025 tillsynsbegäran mail.docx", "A 13587-2025")</f>
        <v/>
      </c>
    </row>
    <row r="2304" ht="15" customHeight="1">
      <c r="A2304" t="inlineStr">
        <is>
          <t>A 13811-2025</t>
        </is>
      </c>
      <c r="B2304" s="1" t="n">
        <v>45737</v>
      </c>
      <c r="C2304" s="1" t="n">
        <v>45762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45762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45762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45762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13816-2025</t>
        </is>
      </c>
      <c r="B2308" s="1" t="n">
        <v>45737</v>
      </c>
      <c r="C2308" s="1" t="n">
        <v>45762</v>
      </c>
      <c r="D2308" t="inlineStr">
        <is>
          <t>JÖNKÖPINGS LÄN</t>
        </is>
      </c>
      <c r="E2308" t="inlineStr">
        <is>
          <t>VETLANDA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13786-2025</t>
        </is>
      </c>
      <c r="B2309" s="1" t="n">
        <v>45737</v>
      </c>
      <c r="C2309" s="1" t="n">
        <v>45762</v>
      </c>
      <c r="D2309" t="inlineStr">
        <is>
          <t>JÖNKÖPINGS LÄN</t>
        </is>
      </c>
      <c r="E2309" t="inlineStr">
        <is>
          <t>VETLANDA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13812-2025</t>
        </is>
      </c>
      <c r="B2310" s="1" t="n">
        <v>45737</v>
      </c>
      <c r="C2310" s="1" t="n">
        <v>45762</v>
      </c>
      <c r="D2310" t="inlineStr">
        <is>
          <t>JÖNKÖPINGS LÄN</t>
        </is>
      </c>
      <c r="E2310" t="inlineStr">
        <is>
          <t>VETLANDA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45762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45762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45762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45762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45762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45762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45762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45762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45762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45762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45762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45762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45762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45762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45762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45762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45762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45762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14941-2025</t>
        </is>
      </c>
      <c r="B2329" s="1" t="n">
        <v>45743</v>
      </c>
      <c r="C2329" s="1" t="n">
        <v>45762</v>
      </c>
      <c r="D2329" t="inlineStr">
        <is>
          <t>JÖNKÖPINGS LÄN</t>
        </is>
      </c>
      <c r="E2329" t="inlineStr">
        <is>
          <t>VETLANDA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45762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45762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15498-2025</t>
        </is>
      </c>
      <c r="B2332" s="1" t="n">
        <v>45747</v>
      </c>
      <c r="C2332" s="1" t="n">
        <v>45762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15369-2025</t>
        </is>
      </c>
      <c r="B2333" s="1" t="n">
        <v>45747</v>
      </c>
      <c r="C2333" s="1" t="n">
        <v>45762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15492-2025</t>
        </is>
      </c>
      <c r="B2334" s="1" t="n">
        <v>45747</v>
      </c>
      <c r="C2334" s="1" t="n">
        <v>45762</v>
      </c>
      <c r="D2334" t="inlineStr">
        <is>
          <t>JÖNKÖPINGS LÄN</t>
        </is>
      </c>
      <c r="E2334" t="inlineStr">
        <is>
          <t>VETLANDA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15343-2025</t>
        </is>
      </c>
      <c r="B2335" s="1" t="n">
        <v>45747</v>
      </c>
      <c r="C2335" s="1" t="n">
        <v>45762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15350-2025</t>
        </is>
      </c>
      <c r="B2336" s="1" t="n">
        <v>45747</v>
      </c>
      <c r="C2336" s="1" t="n">
        <v>45762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45762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45762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16039-2025</t>
        </is>
      </c>
      <c r="B2339" s="1" t="n">
        <v>45748</v>
      </c>
      <c r="C2339" s="1" t="n">
        <v>45762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45762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15830-2025</t>
        </is>
      </c>
      <c r="B2341" s="1" t="n">
        <v>45748</v>
      </c>
      <c r="C2341" s="1" t="n">
        <v>45762</v>
      </c>
      <c r="D2341" t="inlineStr">
        <is>
          <t>JÖNKÖPINGS LÄN</t>
        </is>
      </c>
      <c r="E2341" t="inlineStr">
        <is>
          <t>VETLANDA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45762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45762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45762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16808-2025</t>
        </is>
      </c>
      <c r="B2345" s="1" t="n">
        <v>45754</v>
      </c>
      <c r="C2345" s="1" t="n">
        <v>45762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16801-2025</t>
        </is>
      </c>
      <c r="B2346" s="1" t="n">
        <v>45754</v>
      </c>
      <c r="C2346" s="1" t="n">
        <v>45762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Sveaskog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16805-2025</t>
        </is>
      </c>
      <c r="B2347" s="1" t="n">
        <v>45754</v>
      </c>
      <c r="C2347" s="1" t="n">
        <v>45762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16810-2025</t>
        </is>
      </c>
      <c r="B2348" s="1" t="n">
        <v>45754</v>
      </c>
      <c r="C2348" s="1" t="n">
        <v>45762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16701-2025</t>
        </is>
      </c>
      <c r="B2349" s="1" t="n">
        <v>45754</v>
      </c>
      <c r="C2349" s="1" t="n">
        <v>45762</v>
      </c>
      <c r="D2349" t="inlineStr">
        <is>
          <t>JÖNKÖPINGS LÄN</t>
        </is>
      </c>
      <c r="E2349" t="inlineStr">
        <is>
          <t>VETLANDA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17078-2025</t>
        </is>
      </c>
      <c r="B2350" s="1" t="n">
        <v>45755</v>
      </c>
      <c r="C2350" s="1" t="n">
        <v>45762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17100-2025</t>
        </is>
      </c>
      <c r="B2351" s="1" t="n">
        <v>45755</v>
      </c>
      <c r="C2351" s="1" t="n">
        <v>45762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17106-2025</t>
        </is>
      </c>
      <c r="B2352" s="1" t="n">
        <v>45755</v>
      </c>
      <c r="C2352" s="1" t="n">
        <v>45762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17356-2025</t>
        </is>
      </c>
      <c r="B2353" s="1" t="n">
        <v>45756</v>
      </c>
      <c r="C2353" s="1" t="n">
        <v>45762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18075-2025</t>
        </is>
      </c>
      <c r="B2354" s="1" t="n">
        <v>45761</v>
      </c>
      <c r="C2354" s="1" t="n">
        <v>45762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18044-2025</t>
        </is>
      </c>
      <c r="B2355" s="1" t="n">
        <v>45761</v>
      </c>
      <c r="C2355" s="1" t="n">
        <v>45762</v>
      </c>
      <c r="D2355" t="inlineStr">
        <is>
          <t>JÖNKÖPINGS LÄN</t>
        </is>
      </c>
      <c r="E2355" t="inlineStr">
        <is>
          <t>VETLANDA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18071-2025</t>
        </is>
      </c>
      <c r="B2356" s="1" t="n">
        <v>45761</v>
      </c>
      <c r="C2356" s="1" t="n">
        <v>45762</v>
      </c>
      <c r="D2356" t="inlineStr">
        <is>
          <t>JÖNKÖPINGS LÄN</t>
        </is>
      </c>
      <c r="E2356" t="inlineStr">
        <is>
          <t>VETLANDA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18076-2025</t>
        </is>
      </c>
      <c r="B2357" s="1" t="n">
        <v>45761</v>
      </c>
      <c r="C2357" s="1" t="n">
        <v>45762</v>
      </c>
      <c r="D2357" t="inlineStr">
        <is>
          <t>JÖNKÖPINGS LÄN</t>
        </is>
      </c>
      <c r="E2357" t="inlineStr">
        <is>
          <t>VETLANDA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18073-2025</t>
        </is>
      </c>
      <c r="B2358" s="1" t="n">
        <v>45761</v>
      </c>
      <c r="C2358" s="1" t="n">
        <v>45762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18074-2025</t>
        </is>
      </c>
      <c r="B2359" s="1" t="n">
        <v>45761</v>
      </c>
      <c r="C2359" s="1" t="n">
        <v>45762</v>
      </c>
      <c r="D2359" t="inlineStr">
        <is>
          <t>JÖNKÖPINGS LÄN</t>
        </is>
      </c>
      <c r="E2359" t="inlineStr">
        <is>
          <t>VETLANDA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>
      <c r="A2360" t="inlineStr">
        <is>
          <t>A 18072-2025</t>
        </is>
      </c>
      <c r="B2360" s="1" t="n">
        <v>45761</v>
      </c>
      <c r="C2360" s="1" t="n">
        <v>45762</v>
      </c>
      <c r="D2360" t="inlineStr">
        <is>
          <t>JÖNKÖPINGS LÄN</t>
        </is>
      </c>
      <c r="E2360" t="inlineStr">
        <is>
          <t>VETLANDA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2025-04-15T16:12:02Z</dcterms:created>
  <dcterms:modified xmlns:dcterms="http://purl.org/dc/terms/" xmlns:xsi="http://www.w3.org/2001/XMLSchema-instance" xsi:type="dcterms:W3CDTF">2025-04-15T16:12:04Z</dcterms:modified>
</cp:coreProperties>
</file>