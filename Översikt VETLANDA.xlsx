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46019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46019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46019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46019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46019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46019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46019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46019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46019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46019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46019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46019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46019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46019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46019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46019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46019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46019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46019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46019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46019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46019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46019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46019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46019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46019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46019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46019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46019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46019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46019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46019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46019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46019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46019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46019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46019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46019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46019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46019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46019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46019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46019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46019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46019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46019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46019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46019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46019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46019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33041-2025</t>
        </is>
      </c>
      <c r="B52" s="1" t="n">
        <v>45840.40599537037</v>
      </c>
      <c r="C52" s="1" t="n">
        <v>46019</v>
      </c>
      <c r="D52" t="inlineStr">
        <is>
          <t>JÖNKÖPINGS LÄN</t>
        </is>
      </c>
      <c r="E52" t="inlineStr">
        <is>
          <t>VETLANDA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Dvärgpipistrell</t>
        </is>
      </c>
      <c r="S52">
        <f>HYPERLINK("https://klasma.github.io/Logging_0685/artfynd/A 33041-2025 artfynd.xlsx", "A 33041-2025")</f>
        <v/>
      </c>
      <c r="T52">
        <f>HYPERLINK("https://klasma.github.io/Logging_0685/kartor/A 33041-2025 karta.png", "A 33041-2025")</f>
        <v/>
      </c>
      <c r="V52">
        <f>HYPERLINK("https://klasma.github.io/Logging_0685/klagomål/A 33041-2025 FSC-klagomål.docx", "A 33041-2025")</f>
        <v/>
      </c>
      <c r="W52">
        <f>HYPERLINK("https://klasma.github.io/Logging_0685/klagomålsmail/A 33041-2025 FSC-klagomål mail.docx", "A 33041-2025")</f>
        <v/>
      </c>
      <c r="X52">
        <f>HYPERLINK("https://klasma.github.io/Logging_0685/tillsyn/A 33041-2025 tillsynsbegäran.docx", "A 33041-2025")</f>
        <v/>
      </c>
      <c r="Y52">
        <f>HYPERLINK("https://klasma.github.io/Logging_0685/tillsynsmail/A 33041-2025 tillsynsbegäran mail.docx", "A 33041-2025")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46019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46019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46019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46019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46019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46019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60970-2025</t>
        </is>
      </c>
      <c r="B59" s="1" t="n">
        <v>45999.68829861111</v>
      </c>
      <c r="C59" s="1" t="n">
        <v>46019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HYPERLINK("https://klasma.github.io/Logging_0685/artfynd/A 60970-2025 artfynd.xlsx", "A 60970-2025")</f>
        <v/>
      </c>
      <c r="T59">
        <f>HYPERLINK("https://klasma.github.io/Logging_0685/kartor/A 60970-2025 karta.png", "A 60970-2025")</f>
        <v/>
      </c>
      <c r="V59">
        <f>HYPERLINK("https://klasma.github.io/Logging_0685/klagomål/A 60970-2025 FSC-klagomål.docx", "A 60970-2025")</f>
        <v/>
      </c>
      <c r="W59">
        <f>HYPERLINK("https://klasma.github.io/Logging_0685/klagomålsmail/A 60970-2025 FSC-klagomål mail.docx", "A 60970-2025")</f>
        <v/>
      </c>
      <c r="X59">
        <f>HYPERLINK("https://klasma.github.io/Logging_0685/tillsyn/A 60970-2025 tillsynsbegäran.docx", "A 60970-2025")</f>
        <v/>
      </c>
      <c r="Y59">
        <f>HYPERLINK("https://klasma.github.io/Logging_0685/tillsynsmail/A 60970-2025 tillsynsbegäran mail.docx", "A 60970-2025")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46019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59894-2022</t>
        </is>
      </c>
      <c r="B61" s="1" t="n">
        <v>44908</v>
      </c>
      <c r="C61" s="1" t="n">
        <v>46019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HYPERLINK("https://klasma.github.io/Logging_0685/artfynd/A 59894-2022 artfynd.xlsx", "A 59894-2022")</f>
        <v/>
      </c>
      <c r="T61">
        <f>HYPERLINK("https://klasma.github.io/Logging_0685/kartor/A 59894-2022 karta.png", "A 59894-2022")</f>
        <v/>
      </c>
      <c r="V61">
        <f>HYPERLINK("https://klasma.github.io/Logging_0685/klagomål/A 59894-2022 FSC-klagomål.docx", "A 59894-2022")</f>
        <v/>
      </c>
      <c r="W61">
        <f>HYPERLINK("https://klasma.github.io/Logging_0685/klagomålsmail/A 59894-2022 FSC-klagomål mail.docx", "A 59894-2022")</f>
        <v/>
      </c>
      <c r="X61">
        <f>HYPERLINK("https://klasma.github.io/Logging_0685/tillsyn/A 59894-2022 tillsynsbegäran.docx", "A 59894-2022")</f>
        <v/>
      </c>
      <c r="Y61">
        <f>HYPERLINK("https://klasma.github.io/Logging_0685/tillsynsmail/A 59894-2022 tillsynsbegäran mail.docx", "A 59894-2022")</f>
        <v/>
      </c>
    </row>
    <row r="62" ht="15" customHeight="1">
      <c r="A62" t="inlineStr">
        <is>
          <t>A 10694-2025</t>
        </is>
      </c>
      <c r="B62" s="1" t="n">
        <v>45722.30744212963</v>
      </c>
      <c r="C62" s="1" t="n">
        <v>46019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HYPERLINK("https://klasma.github.io/Logging_0685/artfynd/A 10694-2025 artfynd.xlsx", "A 10694-2025")</f>
        <v/>
      </c>
      <c r="T62">
        <f>HYPERLINK("https://klasma.github.io/Logging_0685/kartor/A 10694-2025 karta.png", "A 10694-2025")</f>
        <v/>
      </c>
      <c r="V62">
        <f>HYPERLINK("https://klasma.github.io/Logging_0685/klagomål/A 10694-2025 FSC-klagomål.docx", "A 10694-2025")</f>
        <v/>
      </c>
      <c r="W62">
        <f>HYPERLINK("https://klasma.github.io/Logging_0685/klagomålsmail/A 10694-2025 FSC-klagomål mail.docx", "A 10694-2025")</f>
        <v/>
      </c>
      <c r="X62">
        <f>HYPERLINK("https://klasma.github.io/Logging_0685/tillsyn/A 10694-2025 tillsynsbegäran.docx", "A 10694-2025")</f>
        <v/>
      </c>
      <c r="Y62">
        <f>HYPERLINK("https://klasma.github.io/Logging_0685/tillsynsmail/A 10694-2025 tillsynsbegäran mail.docx", "A 10694-2025")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46019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47327-2025</t>
        </is>
      </c>
      <c r="B64" s="1" t="n">
        <v>45930</v>
      </c>
      <c r="C64" s="1" t="n">
        <v>46019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47327-2025 artfynd.xlsx", "A 47327-2025")</f>
        <v/>
      </c>
      <c r="T64">
        <f>HYPERLINK("https://klasma.github.io/Logging_0685/kartor/A 47327-2025 karta.png", "A 47327-2025")</f>
        <v/>
      </c>
      <c r="U64">
        <f>HYPERLINK("https://klasma.github.io/Logging_0685/knärot/A 47327-2025 karta knärot.png", "A 47327-2025")</f>
        <v/>
      </c>
      <c r="V64">
        <f>HYPERLINK("https://klasma.github.io/Logging_0685/klagomål/A 47327-2025 FSC-klagomål.docx", "A 47327-2025")</f>
        <v/>
      </c>
      <c r="W64">
        <f>HYPERLINK("https://klasma.github.io/Logging_0685/klagomålsmail/A 47327-2025 FSC-klagomål mail.docx", "A 47327-2025")</f>
        <v/>
      </c>
      <c r="X64">
        <f>HYPERLINK("https://klasma.github.io/Logging_0685/tillsyn/A 47327-2025 tillsynsbegäran.docx", "A 47327-2025")</f>
        <v/>
      </c>
      <c r="Y64">
        <f>HYPERLINK("https://klasma.github.io/Logging_0685/tillsynsmail/A 47327-2025 tillsynsbegäran mail.docx", "A 47327-2025")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46019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46019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46019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46019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46019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46019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8976-2024</t>
        </is>
      </c>
      <c r="B71" s="1" t="n">
        <v>45357.50277777778</v>
      </c>
      <c r="C71" s="1" t="n">
        <v>46019</v>
      </c>
      <c r="D71" t="inlineStr">
        <is>
          <t>JÖNKÖPINGS LÄN</t>
        </is>
      </c>
      <c r="E71" t="inlineStr">
        <is>
          <t>VETLANDA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HYPERLINK("https://klasma.github.io/Logging_0685/artfynd/A 8976-2024 artfynd.xlsx", "A 8976-2024")</f>
        <v/>
      </c>
      <c r="T71">
        <f>HYPERLINK("https://klasma.github.io/Logging_0685/kartor/A 8976-2024 karta.png", "A 8976-2024")</f>
        <v/>
      </c>
      <c r="V71">
        <f>HYPERLINK("https://klasma.github.io/Logging_0685/klagomål/A 8976-2024 FSC-klagomål.docx", "A 8976-2024")</f>
        <v/>
      </c>
      <c r="W71">
        <f>HYPERLINK("https://klasma.github.io/Logging_0685/klagomålsmail/A 8976-2024 FSC-klagomål mail.docx", "A 8976-2024")</f>
        <v/>
      </c>
      <c r="X71">
        <f>HYPERLINK("https://klasma.github.io/Logging_0685/tillsyn/A 8976-2024 tillsynsbegäran.docx", "A 8976-2024")</f>
        <v/>
      </c>
      <c r="Y71">
        <f>HYPERLINK("https://klasma.github.io/Logging_0685/tillsynsmail/A 8976-2024 tillsynsbegäran mail.docx", "A 8976-2024")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46019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46019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46019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46019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46019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46019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46019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46019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8677-2024</t>
        </is>
      </c>
      <c r="B80" s="1" t="n">
        <v>45352</v>
      </c>
      <c r="C80" s="1" t="n">
        <v>46019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8677-2024 artfynd.xlsx", "A 8677-2024")</f>
        <v/>
      </c>
      <c r="T80">
        <f>HYPERLINK("https://klasma.github.io/Logging_0685/kartor/A 8677-2024 karta.png", "A 8677-2024")</f>
        <v/>
      </c>
      <c r="V80">
        <f>HYPERLINK("https://klasma.github.io/Logging_0685/klagomål/A 8677-2024 FSC-klagomål.docx", "A 8677-2024")</f>
        <v/>
      </c>
      <c r="W80">
        <f>HYPERLINK("https://klasma.github.io/Logging_0685/klagomålsmail/A 8677-2024 FSC-klagomål mail.docx", "A 8677-2024")</f>
        <v/>
      </c>
      <c r="X80">
        <f>HYPERLINK("https://klasma.github.io/Logging_0685/tillsyn/A 8677-2024 tillsynsbegäran.docx", "A 8677-2024")</f>
        <v/>
      </c>
      <c r="Y80">
        <f>HYPERLINK("https://klasma.github.io/Logging_0685/tillsynsmail/A 8677-2024 tillsynsbegäran mail.docx", "A 8677-2024")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46019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46019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46019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46019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46019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46019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46019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42058-2021</t>
        </is>
      </c>
      <c r="B88" s="1" t="n">
        <v>44426</v>
      </c>
      <c r="C88" s="1" t="n">
        <v>46019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46019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46019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46019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46019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46019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46019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46019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46019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25073-2021</t>
        </is>
      </c>
      <c r="B97" s="1" t="n">
        <v>44341</v>
      </c>
      <c r="C97" s="1" t="n">
        <v>46019</v>
      </c>
      <c r="D97" t="inlineStr">
        <is>
          <t>JÖNKÖPINGS LÄN</t>
        </is>
      </c>
      <c r="E97" t="inlineStr">
        <is>
          <t>VETLANDA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46019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60373-2021</t>
        </is>
      </c>
      <c r="B99" s="1" t="n">
        <v>44496.35259259259</v>
      </c>
      <c r="C99" s="1" t="n">
        <v>46019</v>
      </c>
      <c r="D99" t="inlineStr">
        <is>
          <t>JÖNKÖPINGS LÄN</t>
        </is>
      </c>
      <c r="E99" t="inlineStr">
        <is>
          <t>VETLANDA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46019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46019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46019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46019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56004-2022</t>
        </is>
      </c>
      <c r="B104" s="1" t="n">
        <v>44889.49348379629</v>
      </c>
      <c r="C104" s="1" t="n">
        <v>46019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3531-2021</t>
        </is>
      </c>
      <c r="B105" s="1" t="n">
        <v>44218</v>
      </c>
      <c r="C105" s="1" t="n">
        <v>46019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46019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46019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46019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46019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46019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46019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46019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46019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46019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46019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46019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46019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46019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50690-2021</t>
        </is>
      </c>
      <c r="B119" s="1" t="n">
        <v>44459</v>
      </c>
      <c r="C119" s="1" t="n">
        <v>46019</v>
      </c>
      <c r="D119" t="inlineStr">
        <is>
          <t>JÖNKÖPINGS LÄN</t>
        </is>
      </c>
      <c r="E119" t="inlineStr">
        <is>
          <t>VETLANDA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46019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46019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46019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46019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46019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46019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46019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46019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46019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46019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46019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46019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46019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20614-2021</t>
        </is>
      </c>
      <c r="B133" s="1" t="n">
        <v>44316</v>
      </c>
      <c r="C133" s="1" t="n">
        <v>46019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46019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46019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46019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46019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46019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46019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46019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46019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46019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46019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46019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46019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46019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46019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46019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46019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46019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46019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46019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46019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46019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46019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46019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46019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46019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46019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46019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46019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46019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46019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46019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46019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46019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46019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46019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46019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46019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46019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46019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46019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46019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46019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46019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46019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46019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46019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46019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46019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46019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46019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46019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46019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46019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46019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46019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32859-2021</t>
        </is>
      </c>
      <c r="B189" s="1" t="n">
        <v>44375.66003472222</v>
      </c>
      <c r="C189" s="1" t="n">
        <v>46019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46019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46019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21040-2021</t>
        </is>
      </c>
      <c r="B192" s="1" t="n">
        <v>44319.64083333333</v>
      </c>
      <c r="C192" s="1" t="n">
        <v>46019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46019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46019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46019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46019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38916-2022</t>
        </is>
      </c>
      <c r="B197" s="1" t="n">
        <v>44816</v>
      </c>
      <c r="C197" s="1" t="n">
        <v>46019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46019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46019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46019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46019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46019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46019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46019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46019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46019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46019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46019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46019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46019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46019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46019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46019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46019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46019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46019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46019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45498-2021</t>
        </is>
      </c>
      <c r="B218" s="1" t="n">
        <v>44440</v>
      </c>
      <c r="C218" s="1" t="n">
        <v>46019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46019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46019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46019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46019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46019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46019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46019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46019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46019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29763-2021</t>
        </is>
      </c>
      <c r="B228" s="1" t="n">
        <v>44362.50704861111</v>
      </c>
      <c r="C228" s="1" t="n">
        <v>46019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46019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46019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46019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46019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46019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46019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46019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46019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46019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46019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46019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46019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46019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46019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46019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46019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46019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46019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46019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46019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46019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46019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46019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46019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46019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46019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46019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46019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9304-2021</t>
        </is>
      </c>
      <c r="B257" s="1" t="n">
        <v>44250.57805555555</v>
      </c>
      <c r="C257" s="1" t="n">
        <v>46019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49318-2021</t>
        </is>
      </c>
      <c r="B258" s="1" t="n">
        <v>44454</v>
      </c>
      <c r="C258" s="1" t="n">
        <v>46019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46019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46019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46019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28211-2021</t>
        </is>
      </c>
      <c r="B262" s="1" t="n">
        <v>44355</v>
      </c>
      <c r="C262" s="1" t="n">
        <v>46019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46019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4842-2022</t>
        </is>
      </c>
      <c r="B264" s="1" t="n">
        <v>44592</v>
      </c>
      <c r="C264" s="1" t="n">
        <v>46019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10802-2021</t>
        </is>
      </c>
      <c r="B265" s="1" t="n">
        <v>44258</v>
      </c>
      <c r="C265" s="1" t="n">
        <v>46019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46019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4620-2021</t>
        </is>
      </c>
      <c r="B267" s="1" t="n">
        <v>44224</v>
      </c>
      <c r="C267" s="1" t="n">
        <v>46019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46019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30772-2021</t>
        </is>
      </c>
      <c r="B269" s="1" t="n">
        <v>44365</v>
      </c>
      <c r="C269" s="1" t="n">
        <v>46019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46019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46019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37468-2021</t>
        </is>
      </c>
      <c r="B272" s="1" t="n">
        <v>44398.715</v>
      </c>
      <c r="C272" s="1" t="n">
        <v>46019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52047-2021</t>
        </is>
      </c>
      <c r="B273" s="1" t="n">
        <v>44462</v>
      </c>
      <c r="C273" s="1" t="n">
        <v>46019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46019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46019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46019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46019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46019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46019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46019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46019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46019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46019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46019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46019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6884-2022</t>
        </is>
      </c>
      <c r="B286" s="1" t="n">
        <v>44602</v>
      </c>
      <c r="C286" s="1" t="n">
        <v>46019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52278-2021</t>
        </is>
      </c>
      <c r="B287" s="1" t="n">
        <v>44463</v>
      </c>
      <c r="C287" s="1" t="n">
        <v>46019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14990-2022</t>
        </is>
      </c>
      <c r="B288" s="1" t="n">
        <v>44657</v>
      </c>
      <c r="C288" s="1" t="n">
        <v>46019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2930-2021</t>
        </is>
      </c>
      <c r="B289" s="1" t="n">
        <v>44215</v>
      </c>
      <c r="C289" s="1" t="n">
        <v>46019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41667-2022</t>
        </is>
      </c>
      <c r="B290" s="1" t="n">
        <v>44827</v>
      </c>
      <c r="C290" s="1" t="n">
        <v>46019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34395-2022</t>
        </is>
      </c>
      <c r="B291" s="1" t="n">
        <v>44792.50780092592</v>
      </c>
      <c r="C291" s="1" t="n">
        <v>46019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41877-2024</t>
        </is>
      </c>
      <c r="B292" s="1" t="n">
        <v>45561</v>
      </c>
      <c r="C292" s="1" t="n">
        <v>46019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58542-2022</t>
        </is>
      </c>
      <c r="B293" s="1" t="n">
        <v>44902.45950231481</v>
      </c>
      <c r="C293" s="1" t="n">
        <v>46019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58511-2021</t>
        </is>
      </c>
      <c r="B294" s="1" t="n">
        <v>44488</v>
      </c>
      <c r="C294" s="1" t="n">
        <v>46019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49575-2024</t>
        </is>
      </c>
      <c r="B295" s="1" t="n">
        <v>45596.51546296296</v>
      </c>
      <c r="C295" s="1" t="n">
        <v>46019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58572-2023</t>
        </is>
      </c>
      <c r="B296" s="1" t="n">
        <v>45251.44596064815</v>
      </c>
      <c r="C296" s="1" t="n">
        <v>46019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55944-2021</t>
        </is>
      </c>
      <c r="B297" s="1" t="n">
        <v>44477.29997685185</v>
      </c>
      <c r="C297" s="1" t="n">
        <v>46019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8207-2024</t>
        </is>
      </c>
      <c r="B298" s="1" t="n">
        <v>45351.72865740741</v>
      </c>
      <c r="C298" s="1" t="n">
        <v>46019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50878-2024</t>
        </is>
      </c>
      <c r="B299" s="1" t="n">
        <v>45602</v>
      </c>
      <c r="C299" s="1" t="n">
        <v>46019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44994-2024</t>
        </is>
      </c>
      <c r="B300" s="1" t="n">
        <v>45575.48229166667</v>
      </c>
      <c r="C300" s="1" t="n">
        <v>46019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49945-2024</t>
        </is>
      </c>
      <c r="B301" s="1" t="n">
        <v>45597.60236111111</v>
      </c>
      <c r="C301" s="1" t="n">
        <v>46019</v>
      </c>
      <c r="D301" t="inlineStr">
        <is>
          <t>JÖNKÖPINGS LÄN</t>
        </is>
      </c>
      <c r="E301" t="inlineStr">
        <is>
          <t>VETLANDA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62056-2023</t>
        </is>
      </c>
      <c r="B302" s="1" t="n">
        <v>45265</v>
      </c>
      <c r="C302" s="1" t="n">
        <v>46019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62234-2023</t>
        </is>
      </c>
      <c r="B303" s="1" t="n">
        <v>45267.5896412037</v>
      </c>
      <c r="C303" s="1" t="n">
        <v>46019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53796-2022</t>
        </is>
      </c>
      <c r="B304" s="1" t="n">
        <v>44880.50373842593</v>
      </c>
      <c r="C304" s="1" t="n">
        <v>46019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43698-2024</t>
        </is>
      </c>
      <c r="B305" s="1" t="n">
        <v>45569</v>
      </c>
      <c r="C305" s="1" t="n">
        <v>46019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5499-2025</t>
        </is>
      </c>
      <c r="B306" s="1" t="n">
        <v>45693.38452546296</v>
      </c>
      <c r="C306" s="1" t="n">
        <v>46019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45945-2024</t>
        </is>
      </c>
      <c r="B307" s="1" t="n">
        <v>45580.55204861111</v>
      </c>
      <c r="C307" s="1" t="n">
        <v>46019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58768-2022</t>
        </is>
      </c>
      <c r="B308" s="1" t="n">
        <v>44903</v>
      </c>
      <c r="C308" s="1" t="n">
        <v>46019</v>
      </c>
      <c r="D308" t="inlineStr">
        <is>
          <t>JÖNKÖPINGS LÄN</t>
        </is>
      </c>
      <c r="E308" t="inlineStr">
        <is>
          <t>VETLANDA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2465-2025</t>
        </is>
      </c>
      <c r="B309" s="1" t="n">
        <v>45674.46950231482</v>
      </c>
      <c r="C309" s="1" t="n">
        <v>46019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404-2025</t>
        </is>
      </c>
      <c r="B310" s="1" t="n">
        <v>45663.61690972222</v>
      </c>
      <c r="C310" s="1" t="n">
        <v>46019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12270-2023</t>
        </is>
      </c>
      <c r="B311" s="1" t="n">
        <v>44998.67371527778</v>
      </c>
      <c r="C311" s="1" t="n">
        <v>46019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41421-2023</t>
        </is>
      </c>
      <c r="B312" s="1" t="n">
        <v>45175.33553240741</v>
      </c>
      <c r="C312" s="1" t="n">
        <v>46019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48217-2023</t>
        </is>
      </c>
      <c r="B313" s="1" t="n">
        <v>45205</v>
      </c>
      <c r="C313" s="1" t="n">
        <v>46019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19844-2025</t>
        </is>
      </c>
      <c r="B314" s="1" t="n">
        <v>45771.48474537037</v>
      </c>
      <c r="C314" s="1" t="n">
        <v>46019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19845-2025</t>
        </is>
      </c>
      <c r="B315" s="1" t="n">
        <v>45771.48600694445</v>
      </c>
      <c r="C315" s="1" t="n">
        <v>46019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63789-2023</t>
        </is>
      </c>
      <c r="B316" s="1" t="n">
        <v>45278</v>
      </c>
      <c r="C316" s="1" t="n">
        <v>46019</v>
      </c>
      <c r="D316" t="inlineStr">
        <is>
          <t>JÖNKÖPINGS LÄN</t>
        </is>
      </c>
      <c r="E316" t="inlineStr">
        <is>
          <t>VETLANDA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6896-2023</t>
        </is>
      </c>
      <c r="B317" s="1" t="n">
        <v>44967.50171296296</v>
      </c>
      <c r="C317" s="1" t="n">
        <v>46019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6897-2023</t>
        </is>
      </c>
      <c r="B318" s="1" t="n">
        <v>44967.50269675926</v>
      </c>
      <c r="C318" s="1" t="n">
        <v>46019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20537-2023</t>
        </is>
      </c>
      <c r="B319" s="1" t="n">
        <v>45057</v>
      </c>
      <c r="C319" s="1" t="n">
        <v>46019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60536-2023</t>
        </is>
      </c>
      <c r="B320" s="1" t="n">
        <v>45259.69310185185</v>
      </c>
      <c r="C320" s="1" t="n">
        <v>46019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20420-2025</t>
        </is>
      </c>
      <c r="B321" s="1" t="n">
        <v>45775.46554398148</v>
      </c>
      <c r="C321" s="1" t="n">
        <v>46019</v>
      </c>
      <c r="D321" t="inlineStr">
        <is>
          <t>JÖNKÖPINGS LÄN</t>
        </is>
      </c>
      <c r="E321" t="inlineStr">
        <is>
          <t>VETLANDA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3183-2022</t>
        </is>
      </c>
      <c r="B322" s="1" t="n">
        <v>44582.62581018519</v>
      </c>
      <c r="C322" s="1" t="n">
        <v>46019</v>
      </c>
      <c r="D322" t="inlineStr">
        <is>
          <t>JÖNKÖPINGS LÄN</t>
        </is>
      </c>
      <c r="E322" t="inlineStr">
        <is>
          <t>VETLANDA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1363-2023</t>
        </is>
      </c>
      <c r="B323" s="1" t="n">
        <v>44936</v>
      </c>
      <c r="C323" s="1" t="n">
        <v>46019</v>
      </c>
      <c r="D323" t="inlineStr">
        <is>
          <t>JÖNKÖPINGS LÄN</t>
        </is>
      </c>
      <c r="E323" t="inlineStr">
        <is>
          <t>VETLANDA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34394-2022</t>
        </is>
      </c>
      <c r="B324" s="1" t="n">
        <v>44792.50753472222</v>
      </c>
      <c r="C324" s="1" t="n">
        <v>46019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4706-2022</t>
        </is>
      </c>
      <c r="B325" s="1" t="n">
        <v>44592.50039351852</v>
      </c>
      <c r="C325" s="1" t="n">
        <v>46019</v>
      </c>
      <c r="D325" t="inlineStr">
        <is>
          <t>JÖNKÖPINGS LÄN</t>
        </is>
      </c>
      <c r="E325" t="inlineStr">
        <is>
          <t>VETLANDA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61391-2023</t>
        </is>
      </c>
      <c r="B326" s="1" t="n">
        <v>45264.64685185185</v>
      </c>
      <c r="C326" s="1" t="n">
        <v>46019</v>
      </c>
      <c r="D326" t="inlineStr">
        <is>
          <t>JÖNKÖPINGS LÄN</t>
        </is>
      </c>
      <c r="E326" t="inlineStr">
        <is>
          <t>VETLANDA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42439-2022</t>
        </is>
      </c>
      <c r="B327" s="1" t="n">
        <v>44831.47726851852</v>
      </c>
      <c r="C327" s="1" t="n">
        <v>46019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44351-2023</t>
        </is>
      </c>
      <c r="B328" s="1" t="n">
        <v>45188</v>
      </c>
      <c r="C328" s="1" t="n">
        <v>46019</v>
      </c>
      <c r="D328" t="inlineStr">
        <is>
          <t>JÖNKÖPINGS LÄN</t>
        </is>
      </c>
      <c r="E328" t="inlineStr">
        <is>
          <t>VETLANDA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1704-2024</t>
        </is>
      </c>
      <c r="B329" s="1" t="n">
        <v>45307.38616898148</v>
      </c>
      <c r="C329" s="1" t="n">
        <v>46019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26223-2023</t>
        </is>
      </c>
      <c r="B330" s="1" t="n">
        <v>45091.56835648148</v>
      </c>
      <c r="C330" s="1" t="n">
        <v>46019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69203-2021</t>
        </is>
      </c>
      <c r="B331" s="1" t="n">
        <v>44530</v>
      </c>
      <c r="C331" s="1" t="n">
        <v>46019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7938-2024</t>
        </is>
      </c>
      <c r="B332" s="1" t="n">
        <v>45350.51460648148</v>
      </c>
      <c r="C332" s="1" t="n">
        <v>46019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22536-2023</t>
        </is>
      </c>
      <c r="B333" s="1" t="n">
        <v>45071.42814814814</v>
      </c>
      <c r="C333" s="1" t="n">
        <v>46019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32581-2021</t>
        </is>
      </c>
      <c r="B334" s="1" t="n">
        <v>44371</v>
      </c>
      <c r="C334" s="1" t="n">
        <v>46019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497-2025</t>
        </is>
      </c>
      <c r="B335" s="1" t="n">
        <v>45664.46604166667</v>
      </c>
      <c r="C335" s="1" t="n">
        <v>46019</v>
      </c>
      <c r="D335" t="inlineStr">
        <is>
          <t>JÖNKÖPINGS LÄN</t>
        </is>
      </c>
      <c r="E335" t="inlineStr">
        <is>
          <t>VETLANDA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53209-2023</t>
        </is>
      </c>
      <c r="B336" s="1" t="n">
        <v>45229.46152777778</v>
      </c>
      <c r="C336" s="1" t="n">
        <v>46019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20193-2023</t>
        </is>
      </c>
      <c r="B337" s="1" t="n">
        <v>45055</v>
      </c>
      <c r="C337" s="1" t="n">
        <v>46019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47065-2022</t>
        </is>
      </c>
      <c r="B338" s="1" t="n">
        <v>44851</v>
      </c>
      <c r="C338" s="1" t="n">
        <v>46019</v>
      </c>
      <c r="D338" t="inlineStr">
        <is>
          <t>JÖNKÖPINGS LÄN</t>
        </is>
      </c>
      <c r="E338" t="inlineStr">
        <is>
          <t>VETLANDA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6240-2022</t>
        </is>
      </c>
      <c r="B339" s="1" t="n">
        <v>44600</v>
      </c>
      <c r="C339" s="1" t="n">
        <v>46019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16082-2024</t>
        </is>
      </c>
      <c r="B340" s="1" t="n">
        <v>45406.36346064815</v>
      </c>
      <c r="C340" s="1" t="n">
        <v>46019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29432-2021</t>
        </is>
      </c>
      <c r="B341" s="1" t="n">
        <v>44361</v>
      </c>
      <c r="C341" s="1" t="n">
        <v>46019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34069-2023</t>
        </is>
      </c>
      <c r="B342" s="1" t="n">
        <v>45135.48232638889</v>
      </c>
      <c r="C342" s="1" t="n">
        <v>46019</v>
      </c>
      <c r="D342" t="inlineStr">
        <is>
          <t>JÖNKÖPINGS LÄN</t>
        </is>
      </c>
      <c r="E342" t="inlineStr">
        <is>
          <t>VETLANDA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30501-2022</t>
        </is>
      </c>
      <c r="B343" s="1" t="n">
        <v>44762.36475694444</v>
      </c>
      <c r="C343" s="1" t="n">
        <v>46019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21824-2022</t>
        </is>
      </c>
      <c r="B344" s="1" t="n">
        <v>44710.46695601852</v>
      </c>
      <c r="C344" s="1" t="n">
        <v>46019</v>
      </c>
      <c r="D344" t="inlineStr">
        <is>
          <t>JÖNKÖPINGS LÄN</t>
        </is>
      </c>
      <c r="E344" t="inlineStr">
        <is>
          <t>VETLANDA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45261-2021</t>
        </is>
      </c>
      <c r="B345" s="1" t="n">
        <v>44439</v>
      </c>
      <c r="C345" s="1" t="n">
        <v>46019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12666-2024</t>
        </is>
      </c>
      <c r="B346" s="1" t="n">
        <v>45384</v>
      </c>
      <c r="C346" s="1" t="n">
        <v>46019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10175-2023</t>
        </is>
      </c>
      <c r="B347" s="1" t="n">
        <v>44986.47112268519</v>
      </c>
      <c r="C347" s="1" t="n">
        <v>46019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20154-2024</t>
        </is>
      </c>
      <c r="B348" s="1" t="n">
        <v>45434.5815625</v>
      </c>
      <c r="C348" s="1" t="n">
        <v>46019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47124-2024</t>
        </is>
      </c>
      <c r="B349" s="1" t="n">
        <v>45586.56929398148</v>
      </c>
      <c r="C349" s="1" t="n">
        <v>46019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28404-2022</t>
        </is>
      </c>
      <c r="B350" s="1" t="n">
        <v>44747.59320601852</v>
      </c>
      <c r="C350" s="1" t="n">
        <v>46019</v>
      </c>
      <c r="D350" t="inlineStr">
        <is>
          <t>JÖNKÖPINGS LÄN</t>
        </is>
      </c>
      <c r="E350" t="inlineStr">
        <is>
          <t>VETLANDA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16774-2023</t>
        </is>
      </c>
      <c r="B351" s="1" t="n">
        <v>45031.40950231482</v>
      </c>
      <c r="C351" s="1" t="n">
        <v>46019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20827-2024</t>
        </is>
      </c>
      <c r="B352" s="1" t="n">
        <v>45439.3877662037</v>
      </c>
      <c r="C352" s="1" t="n">
        <v>46019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6239-2021</t>
        </is>
      </c>
      <c r="B353" s="1" t="n">
        <v>44235</v>
      </c>
      <c r="C353" s="1" t="n">
        <v>46019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27406-2023</t>
        </is>
      </c>
      <c r="B354" s="1" t="n">
        <v>45097.31440972222</v>
      </c>
      <c r="C354" s="1" t="n">
        <v>46019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27449-2023</t>
        </is>
      </c>
      <c r="B355" s="1" t="n">
        <v>45097.42025462963</v>
      </c>
      <c r="C355" s="1" t="n">
        <v>46019</v>
      </c>
      <c r="D355" t="inlineStr">
        <is>
          <t>JÖNKÖPINGS LÄN</t>
        </is>
      </c>
      <c r="E355" t="inlineStr">
        <is>
          <t>VETLANDA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18044-2025</t>
        </is>
      </c>
      <c r="B356" s="1" t="n">
        <v>45761.46267361111</v>
      </c>
      <c r="C356" s="1" t="n">
        <v>46019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5804-2024</t>
        </is>
      </c>
      <c r="B357" s="1" t="n">
        <v>45335</v>
      </c>
      <c r="C357" s="1" t="n">
        <v>46019</v>
      </c>
      <c r="D357" t="inlineStr">
        <is>
          <t>JÖNKÖPINGS LÄN</t>
        </is>
      </c>
      <c r="E357" t="inlineStr">
        <is>
          <t>VETLANDA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18071-2025</t>
        </is>
      </c>
      <c r="B358" s="1" t="n">
        <v>45761.49452546296</v>
      </c>
      <c r="C358" s="1" t="n">
        <v>46019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61076-2024</t>
        </is>
      </c>
      <c r="B359" s="1" t="n">
        <v>45645.50914351852</v>
      </c>
      <c r="C359" s="1" t="n">
        <v>46019</v>
      </c>
      <c r="D359" t="inlineStr">
        <is>
          <t>JÖNKÖPINGS LÄN</t>
        </is>
      </c>
      <c r="E359" t="inlineStr">
        <is>
          <t>VETLANDA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28907-2023</t>
        </is>
      </c>
      <c r="B360" s="1" t="n">
        <v>45104.51045138889</v>
      </c>
      <c r="C360" s="1" t="n">
        <v>46019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23330-2025</t>
        </is>
      </c>
      <c r="B361" s="1" t="n">
        <v>45791.64484953704</v>
      </c>
      <c r="C361" s="1" t="n">
        <v>46019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8501-2025</t>
        </is>
      </c>
      <c r="B362" s="1" t="n">
        <v>45709.52268518518</v>
      </c>
      <c r="C362" s="1" t="n">
        <v>46019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61095-2024</t>
        </is>
      </c>
      <c r="B363" s="1" t="n">
        <v>45645.54453703704</v>
      </c>
      <c r="C363" s="1" t="n">
        <v>46019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47387-2024</t>
        </is>
      </c>
      <c r="B364" s="1" t="n">
        <v>45587.46800925926</v>
      </c>
      <c r="C364" s="1" t="n">
        <v>46019</v>
      </c>
      <c r="D364" t="inlineStr">
        <is>
          <t>JÖNKÖPINGS LÄN</t>
        </is>
      </c>
      <c r="E364" t="inlineStr">
        <is>
          <t>VETLANDA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712-2024</t>
        </is>
      </c>
      <c r="B365" s="1" t="n">
        <v>45300</v>
      </c>
      <c r="C365" s="1" t="n">
        <v>46019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6594-2024</t>
        </is>
      </c>
      <c r="B366" s="1" t="n">
        <v>45341.54001157408</v>
      </c>
      <c r="C366" s="1" t="n">
        <v>46019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28330-2023</t>
        </is>
      </c>
      <c r="B367" s="1" t="n">
        <v>45099</v>
      </c>
      <c r="C367" s="1" t="n">
        <v>46019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26791-2024</t>
        </is>
      </c>
      <c r="B368" s="1" t="n">
        <v>45470.49353009259</v>
      </c>
      <c r="C368" s="1" t="n">
        <v>46019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32864-2025</t>
        </is>
      </c>
      <c r="B369" s="1" t="n">
        <v>45839.58662037037</v>
      </c>
      <c r="C369" s="1" t="n">
        <v>46019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47113-2023</t>
        </is>
      </c>
      <c r="B370" s="1" t="n">
        <v>45201.67354166666</v>
      </c>
      <c r="C370" s="1" t="n">
        <v>46019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2070-2024</t>
        </is>
      </c>
      <c r="B371" s="1" t="n">
        <v>45309</v>
      </c>
      <c r="C371" s="1" t="n">
        <v>46019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2156-2024</t>
        </is>
      </c>
      <c r="B372" s="1" t="n">
        <v>45309.59212962963</v>
      </c>
      <c r="C372" s="1" t="n">
        <v>46019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23581-2025</t>
        </is>
      </c>
      <c r="B373" s="1" t="n">
        <v>45792.62685185186</v>
      </c>
      <c r="C373" s="1" t="n">
        <v>46019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27445-2023</t>
        </is>
      </c>
      <c r="B374" s="1" t="n">
        <v>45097.40740740741</v>
      </c>
      <c r="C374" s="1" t="n">
        <v>46019</v>
      </c>
      <c r="D374" t="inlineStr">
        <is>
          <t>JÖNKÖPINGS LÄN</t>
        </is>
      </c>
      <c r="E374" t="inlineStr">
        <is>
          <t>VETLANDA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62953-2023</t>
        </is>
      </c>
      <c r="B375" s="1" t="n">
        <v>45272</v>
      </c>
      <c r="C375" s="1" t="n">
        <v>46019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9868-2024</t>
        </is>
      </c>
      <c r="B376" s="1" t="n">
        <v>45363</v>
      </c>
      <c r="C376" s="1" t="n">
        <v>46019</v>
      </c>
      <c r="D376" t="inlineStr">
        <is>
          <t>JÖNKÖPINGS LÄN</t>
        </is>
      </c>
      <c r="E376" t="inlineStr">
        <is>
          <t>VETLANDA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2549-2024</t>
        </is>
      </c>
      <c r="B377" s="1" t="n">
        <v>45313</v>
      </c>
      <c r="C377" s="1" t="n">
        <v>46019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32193-2025</t>
        </is>
      </c>
      <c r="B378" s="1" t="n">
        <v>45835.57190972222</v>
      </c>
      <c r="C378" s="1" t="n">
        <v>46019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38475-2025</t>
        </is>
      </c>
      <c r="B379" s="1" t="n">
        <v>45884.31612268519</v>
      </c>
      <c r="C379" s="1" t="n">
        <v>46019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55844-2024</t>
        </is>
      </c>
      <c r="B380" s="1" t="n">
        <v>45623.50226851852</v>
      </c>
      <c r="C380" s="1" t="n">
        <v>46019</v>
      </c>
      <c r="D380" t="inlineStr">
        <is>
          <t>JÖNKÖPINGS LÄN</t>
        </is>
      </c>
      <c r="E380" t="inlineStr">
        <is>
          <t>VETLANDA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12379-2021</t>
        </is>
      </c>
      <c r="B381" s="1" t="n">
        <v>44267</v>
      </c>
      <c r="C381" s="1" t="n">
        <v>46019</v>
      </c>
      <c r="D381" t="inlineStr">
        <is>
          <t>JÖNKÖPINGS LÄN</t>
        </is>
      </c>
      <c r="E381" t="inlineStr">
        <is>
          <t>VETLANDA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31010-2023</t>
        </is>
      </c>
      <c r="B382" s="1" t="n">
        <v>45113.56304398148</v>
      </c>
      <c r="C382" s="1" t="n">
        <v>46019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3310-2023</t>
        </is>
      </c>
      <c r="B383" s="1" t="n">
        <v>44949.40520833333</v>
      </c>
      <c r="C383" s="1" t="n">
        <v>46019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38773-2025</t>
        </is>
      </c>
      <c r="B384" s="1" t="n">
        <v>45887.42351851852</v>
      </c>
      <c r="C384" s="1" t="n">
        <v>46019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51851-2021</t>
        </is>
      </c>
      <c r="B385" s="1" t="n">
        <v>44462.69760416666</v>
      </c>
      <c r="C385" s="1" t="n">
        <v>46019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2162-2024</t>
        </is>
      </c>
      <c r="B386" s="1" t="n">
        <v>45309.60319444445</v>
      </c>
      <c r="C386" s="1" t="n">
        <v>46019</v>
      </c>
      <c r="D386" t="inlineStr">
        <is>
          <t>JÖNKÖPINGS LÄN</t>
        </is>
      </c>
      <c r="E386" t="inlineStr">
        <is>
          <t>VETLANDA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17991-2021</t>
        </is>
      </c>
      <c r="B387" s="1" t="n">
        <v>44301.75015046296</v>
      </c>
      <c r="C387" s="1" t="n">
        <v>46019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58102-2021</t>
        </is>
      </c>
      <c r="B388" s="1" t="n">
        <v>44487</v>
      </c>
      <c r="C388" s="1" t="n">
        <v>46019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46019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30365-2025</t>
        </is>
      </c>
      <c r="B390" s="1" t="n">
        <v>45827</v>
      </c>
      <c r="C390" s="1" t="n">
        <v>46019</v>
      </c>
      <c r="D390" t="inlineStr">
        <is>
          <t>JÖNKÖPINGS LÄN</t>
        </is>
      </c>
      <c r="E390" t="inlineStr">
        <is>
          <t>VETLANDA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13178-2025</t>
        </is>
      </c>
      <c r="B391" s="1" t="n">
        <v>45735.37444444445</v>
      </c>
      <c r="C391" s="1" t="n">
        <v>46019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39013-2025</t>
        </is>
      </c>
      <c r="B392" s="1" t="n">
        <v>45888.35678240741</v>
      </c>
      <c r="C392" s="1" t="n">
        <v>46019</v>
      </c>
      <c r="D392" t="inlineStr">
        <is>
          <t>JÖNKÖPINGS LÄN</t>
        </is>
      </c>
      <c r="E392" t="inlineStr">
        <is>
          <t>VETLANDA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39017-2025</t>
        </is>
      </c>
      <c r="B393" s="1" t="n">
        <v>45888.36869212963</v>
      </c>
      <c r="C393" s="1" t="n">
        <v>46019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14653-2025</t>
        </is>
      </c>
      <c r="B394" s="1" t="n">
        <v>45742.49528935185</v>
      </c>
      <c r="C394" s="1" t="n">
        <v>46019</v>
      </c>
      <c r="D394" t="inlineStr">
        <is>
          <t>JÖNKÖPINGS LÄN</t>
        </is>
      </c>
      <c r="E394" t="inlineStr">
        <is>
          <t>VETLANDA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38196-2023</t>
        </is>
      </c>
      <c r="B395" s="1" t="n">
        <v>45161.49346064815</v>
      </c>
      <c r="C395" s="1" t="n">
        <v>46019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37645-2024</t>
        </is>
      </c>
      <c r="B396" s="1" t="n">
        <v>45541.54959490741</v>
      </c>
      <c r="C396" s="1" t="n">
        <v>46019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13587-2025</t>
        </is>
      </c>
      <c r="B397" s="1" t="n">
        <v>45736.59446759259</v>
      </c>
      <c r="C397" s="1" t="n">
        <v>46019</v>
      </c>
      <c r="D397" t="inlineStr">
        <is>
          <t>JÖNKÖPINGS LÄN</t>
        </is>
      </c>
      <c r="E397" t="inlineStr">
        <is>
          <t>VETLANDA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HYPERLINK("https://klasma.github.io/Logging_0685/knärot/A 13587-2025 karta knärot.png", "A 13587-2025")</f>
        <v/>
      </c>
      <c r="V397">
        <f>HYPERLINK("https://klasma.github.io/Logging_0685/klagomål/A 13587-2025 FSC-klagomål.docx", "A 13587-2025")</f>
        <v/>
      </c>
      <c r="W397">
        <f>HYPERLINK("https://klasma.github.io/Logging_0685/klagomålsmail/A 13587-2025 FSC-klagomål mail.docx", "A 13587-2025")</f>
        <v/>
      </c>
      <c r="X397">
        <f>HYPERLINK("https://klasma.github.io/Logging_0685/tillsyn/A 13587-2025 tillsynsbegäran.docx", "A 13587-2025")</f>
        <v/>
      </c>
      <c r="Y397">
        <f>HYPERLINK("https://klasma.github.io/Logging_0685/tillsynsmail/A 13587-2025 tillsynsbegäran mail.docx", "A 13587-2025")</f>
        <v/>
      </c>
    </row>
    <row r="398" ht="15" customHeight="1">
      <c r="A398" t="inlineStr">
        <is>
          <t>A 31810-2023</t>
        </is>
      </c>
      <c r="B398" s="1" t="n">
        <v>45118.47174768519</v>
      </c>
      <c r="C398" s="1" t="n">
        <v>46019</v>
      </c>
      <c r="D398" t="inlineStr">
        <is>
          <t>JÖNKÖPINGS LÄN</t>
        </is>
      </c>
      <c r="E398" t="inlineStr">
        <is>
          <t>VETLANDA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14439-2025</t>
        </is>
      </c>
      <c r="B399" s="1" t="n">
        <v>45741.51402777778</v>
      </c>
      <c r="C399" s="1" t="n">
        <v>46019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14750-2025</t>
        </is>
      </c>
      <c r="B400" s="1" t="n">
        <v>45742</v>
      </c>
      <c r="C400" s="1" t="n">
        <v>46019</v>
      </c>
      <c r="D400" t="inlineStr">
        <is>
          <t>JÖNKÖPINGS LÄN</t>
        </is>
      </c>
      <c r="E400" t="inlineStr">
        <is>
          <t>VETLANDA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2810-2025</t>
        </is>
      </c>
      <c r="B401" s="1" t="n">
        <v>45677.5952662037</v>
      </c>
      <c r="C401" s="1" t="n">
        <v>46019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14440-2025</t>
        </is>
      </c>
      <c r="B402" s="1" t="n">
        <v>45741.51513888889</v>
      </c>
      <c r="C402" s="1" t="n">
        <v>46019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14561-2025</t>
        </is>
      </c>
      <c r="B403" s="1" t="n">
        <v>45741.78167824074</v>
      </c>
      <c r="C403" s="1" t="n">
        <v>46019</v>
      </c>
      <c r="D403" t="inlineStr">
        <is>
          <t>JÖNKÖPINGS LÄN</t>
        </is>
      </c>
      <c r="E403" t="inlineStr">
        <is>
          <t>VETLANDA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12049-2025</t>
        </is>
      </c>
      <c r="B404" s="1" t="n">
        <v>45728.66796296297</v>
      </c>
      <c r="C404" s="1" t="n">
        <v>46019</v>
      </c>
      <c r="D404" t="inlineStr">
        <is>
          <t>JÖNKÖPINGS LÄN</t>
        </is>
      </c>
      <c r="E404" t="inlineStr">
        <is>
          <t>VETLANDA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60395-2023</t>
        </is>
      </c>
      <c r="B405" s="1" t="n">
        <v>45259</v>
      </c>
      <c r="C405" s="1" t="n">
        <v>46019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39301-2025</t>
        </is>
      </c>
      <c r="B406" s="1" t="n">
        <v>45888</v>
      </c>
      <c r="C406" s="1" t="n">
        <v>46019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39340-2025</t>
        </is>
      </c>
      <c r="B407" s="1" t="n">
        <v>45889</v>
      </c>
      <c r="C407" s="1" t="n">
        <v>46019</v>
      </c>
      <c r="D407" t="inlineStr">
        <is>
          <t>JÖNKÖPINGS LÄN</t>
        </is>
      </c>
      <c r="E407" t="inlineStr">
        <is>
          <t>VETLANDA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22308-2025</t>
        </is>
      </c>
      <c r="B408" s="1" t="n">
        <v>45786.36444444444</v>
      </c>
      <c r="C408" s="1" t="n">
        <v>46019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52776-2024</t>
        </is>
      </c>
      <c r="B409" s="1" t="n">
        <v>45610</v>
      </c>
      <c r="C409" s="1" t="n">
        <v>46019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14923-2025</t>
        </is>
      </c>
      <c r="B410" s="1" t="n">
        <v>45743</v>
      </c>
      <c r="C410" s="1" t="n">
        <v>46019</v>
      </c>
      <c r="D410" t="inlineStr">
        <is>
          <t>JÖNKÖPINGS LÄN</t>
        </is>
      </c>
      <c r="E410" t="inlineStr">
        <is>
          <t>VETLANDA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13789-2025</t>
        </is>
      </c>
      <c r="B411" s="1" t="n">
        <v>45737.45528935185</v>
      </c>
      <c r="C411" s="1" t="n">
        <v>46019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13812-2025</t>
        </is>
      </c>
      <c r="B412" s="1" t="n">
        <v>45737</v>
      </c>
      <c r="C412" s="1" t="n">
        <v>46019</v>
      </c>
      <c r="D412" t="inlineStr">
        <is>
          <t>JÖNKÖPINGS LÄN</t>
        </is>
      </c>
      <c r="E412" t="inlineStr">
        <is>
          <t>VETLANDA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24991-2025</t>
        </is>
      </c>
      <c r="B413" s="1" t="n">
        <v>45799.61232638889</v>
      </c>
      <c r="C413" s="1" t="n">
        <v>46019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12910-2025</t>
        </is>
      </c>
      <c r="B414" s="1" t="n">
        <v>45733.83012731482</v>
      </c>
      <c r="C414" s="1" t="n">
        <v>46019</v>
      </c>
      <c r="D414" t="inlineStr">
        <is>
          <t>JÖNKÖPINGS LÄN</t>
        </is>
      </c>
      <c r="E414" t="inlineStr">
        <is>
          <t>VETLANDA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44502-2024</t>
        </is>
      </c>
      <c r="B415" s="1" t="n">
        <v>45574.40569444445</v>
      </c>
      <c r="C415" s="1" t="n">
        <v>46019</v>
      </c>
      <c r="D415" t="inlineStr">
        <is>
          <t>JÖNKÖPINGS LÄN</t>
        </is>
      </c>
      <c r="E415" t="inlineStr">
        <is>
          <t>VETLANDA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6051-2024</t>
        </is>
      </c>
      <c r="B416" s="1" t="n">
        <v>45336.70538194444</v>
      </c>
      <c r="C416" s="1" t="n">
        <v>46019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39387-2025</t>
        </is>
      </c>
      <c r="B417" s="1" t="n">
        <v>45889.6171875</v>
      </c>
      <c r="C417" s="1" t="n">
        <v>46019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39330-2025</t>
        </is>
      </c>
      <c r="B418" s="1" t="n">
        <v>45888</v>
      </c>
      <c r="C418" s="1" t="n">
        <v>46019</v>
      </c>
      <c r="D418" t="inlineStr">
        <is>
          <t>JÖNKÖPINGS LÄN</t>
        </is>
      </c>
      <c r="E418" t="inlineStr">
        <is>
          <t>VETLANDA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39352-2025</t>
        </is>
      </c>
      <c r="B419" s="1" t="n">
        <v>45889.54539351852</v>
      </c>
      <c r="C419" s="1" t="n">
        <v>46019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14610-2025</t>
        </is>
      </c>
      <c r="B420" s="1" t="n">
        <v>45742.3846412037</v>
      </c>
      <c r="C420" s="1" t="n">
        <v>46019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39264-2025</t>
        </is>
      </c>
      <c r="B421" s="1" t="n">
        <v>45889.37385416667</v>
      </c>
      <c r="C421" s="1" t="n">
        <v>46019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39313-2025</t>
        </is>
      </c>
      <c r="B422" s="1" t="n">
        <v>45888</v>
      </c>
      <c r="C422" s="1" t="n">
        <v>46019</v>
      </c>
      <c r="D422" t="inlineStr">
        <is>
          <t>JÖNKÖPINGS LÄN</t>
        </is>
      </c>
      <c r="E422" t="inlineStr">
        <is>
          <t>VETLANDA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39316-2025</t>
        </is>
      </c>
      <c r="B423" s="1" t="n">
        <v>45888</v>
      </c>
      <c r="C423" s="1" t="n">
        <v>46019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13991-2025</t>
        </is>
      </c>
      <c r="B424" s="1" t="n">
        <v>45739.65790509259</v>
      </c>
      <c r="C424" s="1" t="n">
        <v>46019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14749-2025</t>
        </is>
      </c>
      <c r="B425" s="1" t="n">
        <v>45742</v>
      </c>
      <c r="C425" s="1" t="n">
        <v>46019</v>
      </c>
      <c r="D425" t="inlineStr">
        <is>
          <t>JÖNKÖPINGS LÄN</t>
        </is>
      </c>
      <c r="E425" t="inlineStr">
        <is>
          <t>VETLANDA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13791-2025</t>
        </is>
      </c>
      <c r="B426" s="1" t="n">
        <v>45737.46738425926</v>
      </c>
      <c r="C426" s="1" t="n">
        <v>46019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39011-2025</t>
        </is>
      </c>
      <c r="B427" s="1" t="n">
        <v>45888.35375</v>
      </c>
      <c r="C427" s="1" t="n">
        <v>46019</v>
      </c>
      <c r="D427" t="inlineStr">
        <is>
          <t>JÖNKÖPINGS LÄN</t>
        </is>
      </c>
      <c r="E427" t="inlineStr">
        <is>
          <t>VETLANDA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39275-2025</t>
        </is>
      </c>
      <c r="B428" s="1" t="n">
        <v>45888</v>
      </c>
      <c r="C428" s="1" t="n">
        <v>46019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39193-2023</t>
        </is>
      </c>
      <c r="B429" s="1" t="n">
        <v>45162</v>
      </c>
      <c r="C429" s="1" t="n">
        <v>46019</v>
      </c>
      <c r="D429" t="inlineStr">
        <is>
          <t>JÖNKÖPINGS LÄN</t>
        </is>
      </c>
      <c r="E429" t="inlineStr">
        <is>
          <t>VETLANDA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39026-2025</t>
        </is>
      </c>
      <c r="B430" s="1" t="n">
        <v>45888.39927083333</v>
      </c>
      <c r="C430" s="1" t="n">
        <v>46019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30042-2025</t>
        </is>
      </c>
      <c r="B431" s="1" t="n">
        <v>45826.57552083334</v>
      </c>
      <c r="C431" s="1" t="n">
        <v>46019</v>
      </c>
      <c r="D431" t="inlineStr">
        <is>
          <t>JÖNKÖPINGS LÄN</t>
        </is>
      </c>
      <c r="E431" t="inlineStr">
        <is>
          <t>VETLANDA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39045-2025</t>
        </is>
      </c>
      <c r="B432" s="1" t="n">
        <v>45888.43959490741</v>
      </c>
      <c r="C432" s="1" t="n">
        <v>46019</v>
      </c>
      <c r="D432" t="inlineStr">
        <is>
          <t>JÖNKÖPINGS LÄN</t>
        </is>
      </c>
      <c r="E432" t="inlineStr">
        <is>
          <t>VETLANDA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39046-2025</t>
        </is>
      </c>
      <c r="B433" s="1" t="n">
        <v>45888.44050925926</v>
      </c>
      <c r="C433" s="1" t="n">
        <v>46019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39398-2025</t>
        </is>
      </c>
      <c r="B434" s="1" t="n">
        <v>45889.63392361111</v>
      </c>
      <c r="C434" s="1" t="n">
        <v>46019</v>
      </c>
      <c r="D434" t="inlineStr">
        <is>
          <t>JÖNKÖPINGS LÄN</t>
        </is>
      </c>
      <c r="E434" t="inlineStr">
        <is>
          <t>VETLANDA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14609-2025</t>
        </is>
      </c>
      <c r="B435" s="1" t="n">
        <v>45742.38137731481</v>
      </c>
      <c r="C435" s="1" t="n">
        <v>46019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13164-2025</t>
        </is>
      </c>
      <c r="B436" s="1" t="n">
        <v>45735.36429398148</v>
      </c>
      <c r="C436" s="1" t="n">
        <v>46019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13255-2025</t>
        </is>
      </c>
      <c r="B437" s="1" t="n">
        <v>45735</v>
      </c>
      <c r="C437" s="1" t="n">
        <v>46019</v>
      </c>
      <c r="D437" t="inlineStr">
        <is>
          <t>JÖNKÖPINGS LÄN</t>
        </is>
      </c>
      <c r="E437" t="inlineStr">
        <is>
          <t>VETLANDA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12404-2025</t>
        </is>
      </c>
      <c r="B438" s="1" t="n">
        <v>45730.42434027778</v>
      </c>
      <c r="C438" s="1" t="n">
        <v>46019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39268-2025</t>
        </is>
      </c>
      <c r="B439" s="1" t="n">
        <v>45889.37665509259</v>
      </c>
      <c r="C439" s="1" t="n">
        <v>46019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17211-2024</t>
        </is>
      </c>
      <c r="B440" s="1" t="n">
        <v>45414</v>
      </c>
      <c r="C440" s="1" t="n">
        <v>46019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39016-2025</t>
        </is>
      </c>
      <c r="B441" s="1" t="n">
        <v>45888.36689814815</v>
      </c>
      <c r="C441" s="1" t="n">
        <v>46019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39350-2025</t>
        </is>
      </c>
      <c r="B442" s="1" t="n">
        <v>45889.54409722222</v>
      </c>
      <c r="C442" s="1" t="n">
        <v>46019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12742-2025</t>
        </is>
      </c>
      <c r="B443" s="1" t="n">
        <v>45733.54788194445</v>
      </c>
      <c r="C443" s="1" t="n">
        <v>46019</v>
      </c>
      <c r="D443" t="inlineStr">
        <is>
          <t>JÖNKÖPINGS LÄN</t>
        </is>
      </c>
      <c r="E443" t="inlineStr">
        <is>
          <t>VETLANDA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12748-2025</t>
        </is>
      </c>
      <c r="B444" s="1" t="n">
        <v>45733.55436342592</v>
      </c>
      <c r="C444" s="1" t="n">
        <v>46019</v>
      </c>
      <c r="D444" t="inlineStr">
        <is>
          <t>JÖNKÖPINGS LÄN</t>
        </is>
      </c>
      <c r="E444" t="inlineStr">
        <is>
          <t>VETLANDA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25011-2025</t>
        </is>
      </c>
      <c r="B445" s="1" t="n">
        <v>45799</v>
      </c>
      <c r="C445" s="1" t="n">
        <v>46019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34099-2023</t>
        </is>
      </c>
      <c r="B446" s="1" t="n">
        <v>45135.5902662037</v>
      </c>
      <c r="C446" s="1" t="n">
        <v>46019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39990-2025</t>
        </is>
      </c>
      <c r="B447" s="1" t="n">
        <v>45891</v>
      </c>
      <c r="C447" s="1" t="n">
        <v>46019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19557-2025</t>
        </is>
      </c>
      <c r="B448" s="1" t="n">
        <v>45770.51099537037</v>
      </c>
      <c r="C448" s="1" t="n">
        <v>46019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52971-2023</t>
        </is>
      </c>
      <c r="B449" s="1" t="n">
        <v>45226</v>
      </c>
      <c r="C449" s="1" t="n">
        <v>46019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25580-2025</t>
        </is>
      </c>
      <c r="B450" s="1" t="n">
        <v>45803.47989583333</v>
      </c>
      <c r="C450" s="1" t="n">
        <v>46019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44316-2023</t>
        </is>
      </c>
      <c r="B451" s="1" t="n">
        <v>45188.6525</v>
      </c>
      <c r="C451" s="1" t="n">
        <v>46019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14941-2025</t>
        </is>
      </c>
      <c r="B452" s="1" t="n">
        <v>45743</v>
      </c>
      <c r="C452" s="1" t="n">
        <v>46019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21645-2024</t>
        </is>
      </c>
      <c r="B453" s="1" t="n">
        <v>45442</v>
      </c>
      <c r="C453" s="1" t="n">
        <v>46019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8220-2025</t>
        </is>
      </c>
      <c r="B454" s="1" t="n">
        <v>45708.456875</v>
      </c>
      <c r="C454" s="1" t="n">
        <v>46019</v>
      </c>
      <c r="D454" t="inlineStr">
        <is>
          <t>JÖNKÖPINGS LÄN</t>
        </is>
      </c>
      <c r="E454" t="inlineStr">
        <is>
          <t>VETLANDA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54052-2024</t>
        </is>
      </c>
      <c r="B455" s="1" t="n">
        <v>45616.46105324074</v>
      </c>
      <c r="C455" s="1" t="n">
        <v>46019</v>
      </c>
      <c r="D455" t="inlineStr">
        <is>
          <t>JÖNKÖPINGS LÄN</t>
        </is>
      </c>
      <c r="E455" t="inlineStr">
        <is>
          <t>VETLANDA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39732-2025</t>
        </is>
      </c>
      <c r="B456" s="1" t="n">
        <v>45891.36364583333</v>
      </c>
      <c r="C456" s="1" t="n">
        <v>46019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9484-2024</t>
        </is>
      </c>
      <c r="B457" s="1" t="n">
        <v>45359.58304398148</v>
      </c>
      <c r="C457" s="1" t="n">
        <v>46019</v>
      </c>
      <c r="D457" t="inlineStr">
        <is>
          <t>JÖNKÖPINGS LÄN</t>
        </is>
      </c>
      <c r="E457" t="inlineStr">
        <is>
          <t>VETLANDA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61451-2022</t>
        </is>
      </c>
      <c r="B458" s="1" t="n">
        <v>44916.40381944444</v>
      </c>
      <c r="C458" s="1" t="n">
        <v>46019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61452-2022</t>
        </is>
      </c>
      <c r="B459" s="1" t="n">
        <v>44916.40960648148</v>
      </c>
      <c r="C459" s="1" t="n">
        <v>46019</v>
      </c>
      <c r="D459" t="inlineStr">
        <is>
          <t>JÖNKÖPINGS LÄN</t>
        </is>
      </c>
      <c r="E459" t="inlineStr">
        <is>
          <t>VETLANDA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7034-2025</t>
        </is>
      </c>
      <c r="B460" s="1" t="n">
        <v>45701.6352662037</v>
      </c>
      <c r="C460" s="1" t="n">
        <v>46019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39468-2025</t>
        </is>
      </c>
      <c r="B461" s="1" t="n">
        <v>45890.31928240741</v>
      </c>
      <c r="C461" s="1" t="n">
        <v>46019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24537-2023</t>
        </is>
      </c>
      <c r="B462" s="1" t="n">
        <v>45082</v>
      </c>
      <c r="C462" s="1" t="n">
        <v>46019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24891-2024</t>
        </is>
      </c>
      <c r="B463" s="1" t="n">
        <v>45461.56825231481</v>
      </c>
      <c r="C463" s="1" t="n">
        <v>46019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38942-2023</t>
        </is>
      </c>
      <c r="B464" s="1" t="n">
        <v>45163.6054050926</v>
      </c>
      <c r="C464" s="1" t="n">
        <v>46019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44349-2023</t>
        </is>
      </c>
      <c r="B465" s="1" t="n">
        <v>45188.73418981482</v>
      </c>
      <c r="C465" s="1" t="n">
        <v>46019</v>
      </c>
      <c r="D465" t="inlineStr">
        <is>
          <t>JÖNKÖPINGS LÄN</t>
        </is>
      </c>
      <c r="E465" t="inlineStr">
        <is>
          <t>VETLANDA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14607-2022</t>
        </is>
      </c>
      <c r="B466" s="1" t="n">
        <v>44655</v>
      </c>
      <c r="C466" s="1" t="n">
        <v>46019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45968-2024</t>
        </is>
      </c>
      <c r="B467" s="1" t="n">
        <v>45580.5847337963</v>
      </c>
      <c r="C467" s="1" t="n">
        <v>46019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23306-2025</t>
        </is>
      </c>
      <c r="B468" s="1" t="n">
        <v>45791.60128472222</v>
      </c>
      <c r="C468" s="1" t="n">
        <v>46019</v>
      </c>
      <c r="D468" t="inlineStr">
        <is>
          <t>JÖNKÖPINGS LÄN</t>
        </is>
      </c>
      <c r="E468" t="inlineStr">
        <is>
          <t>VETLANDA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45171-2023</t>
        </is>
      </c>
      <c r="B469" s="1" t="n">
        <v>45191</v>
      </c>
      <c r="C469" s="1" t="n">
        <v>46019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32807-2025</t>
        </is>
      </c>
      <c r="B470" s="1" t="n">
        <v>45839.50319444444</v>
      </c>
      <c r="C470" s="1" t="n">
        <v>46019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26067-2025</t>
        </is>
      </c>
      <c r="B471" s="1" t="n">
        <v>45805.30957175926</v>
      </c>
      <c r="C471" s="1" t="n">
        <v>46019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55955-2024</t>
        </is>
      </c>
      <c r="B472" s="1" t="n">
        <v>45623.62873842593</v>
      </c>
      <c r="C472" s="1" t="n">
        <v>46019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3955-2023</t>
        </is>
      </c>
      <c r="B473" s="1" t="n">
        <v>44952.40027777778</v>
      </c>
      <c r="C473" s="1" t="n">
        <v>46019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40257-2025</t>
        </is>
      </c>
      <c r="B474" s="1" t="n">
        <v>45895</v>
      </c>
      <c r="C474" s="1" t="n">
        <v>46019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40098-2025</t>
        </is>
      </c>
      <c r="B475" s="1" t="n">
        <v>45894.48394675926</v>
      </c>
      <c r="C475" s="1" t="n">
        <v>46019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40031-2025</t>
        </is>
      </c>
      <c r="B476" s="1" t="n">
        <v>45894.37439814815</v>
      </c>
      <c r="C476" s="1" t="n">
        <v>46019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48845-2023</t>
        </is>
      </c>
      <c r="B477" s="1" t="n">
        <v>45209.4254050926</v>
      </c>
      <c r="C477" s="1" t="n">
        <v>46019</v>
      </c>
      <c r="D477" t="inlineStr">
        <is>
          <t>JÖNKÖPINGS LÄN</t>
        </is>
      </c>
      <c r="E477" t="inlineStr">
        <is>
          <t>VETLANDA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55753-2022</t>
        </is>
      </c>
      <c r="B478" s="1" t="n">
        <v>44888.59611111111</v>
      </c>
      <c r="C478" s="1" t="n">
        <v>46019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17106-2025</t>
        </is>
      </c>
      <c r="B479" s="1" t="n">
        <v>45755.66511574074</v>
      </c>
      <c r="C479" s="1" t="n">
        <v>46019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16808-2025</t>
        </is>
      </c>
      <c r="B480" s="1" t="n">
        <v>45754.62920138889</v>
      </c>
      <c r="C480" s="1" t="n">
        <v>46019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16810-2025</t>
        </is>
      </c>
      <c r="B481" s="1" t="n">
        <v>45754.63079861111</v>
      </c>
      <c r="C481" s="1" t="n">
        <v>46019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8220-2024</t>
        </is>
      </c>
      <c r="B482" s="1" t="n">
        <v>45351.86930555556</v>
      </c>
      <c r="C482" s="1" t="n">
        <v>46019</v>
      </c>
      <c r="D482" t="inlineStr">
        <is>
          <t>JÖNKÖPINGS LÄN</t>
        </is>
      </c>
      <c r="E482" t="inlineStr">
        <is>
          <t>VETLANDA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56938-2024</t>
        </is>
      </c>
      <c r="B483" s="1" t="n">
        <v>45628.61552083334</v>
      </c>
      <c r="C483" s="1" t="n">
        <v>46019</v>
      </c>
      <c r="D483" t="inlineStr">
        <is>
          <t>JÖNKÖPINGS LÄN</t>
        </is>
      </c>
      <c r="E483" t="inlineStr">
        <is>
          <t>VETLANDA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7626-2023</t>
        </is>
      </c>
      <c r="B484" s="1" t="n">
        <v>44972.54766203704</v>
      </c>
      <c r="C484" s="1" t="n">
        <v>46019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27446-2023</t>
        </is>
      </c>
      <c r="B485" s="1" t="n">
        <v>45097.41377314815</v>
      </c>
      <c r="C485" s="1" t="n">
        <v>46019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20046-2024</t>
        </is>
      </c>
      <c r="B486" s="1" t="n">
        <v>45434.37204861111</v>
      </c>
      <c r="C486" s="1" t="n">
        <v>46019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27050-2025</t>
        </is>
      </c>
      <c r="B487" s="1" t="n">
        <v>45811.6200925926</v>
      </c>
      <c r="C487" s="1" t="n">
        <v>46019</v>
      </c>
      <c r="D487" t="inlineStr">
        <is>
          <t>JÖNKÖPINGS LÄN</t>
        </is>
      </c>
      <c r="E487" t="inlineStr">
        <is>
          <t>VETLANDA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31165-2022</t>
        </is>
      </c>
      <c r="B488" s="1" t="n">
        <v>44770</v>
      </c>
      <c r="C488" s="1" t="n">
        <v>46019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44126-2024</t>
        </is>
      </c>
      <c r="B489" s="1" t="n">
        <v>45572.65032407407</v>
      </c>
      <c r="C489" s="1" t="n">
        <v>46019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53786-2024</t>
        </is>
      </c>
      <c r="B490" s="1" t="n">
        <v>45615.56674768519</v>
      </c>
      <c r="C490" s="1" t="n">
        <v>46019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31412-2024</t>
        </is>
      </c>
      <c r="B491" s="1" t="n">
        <v>45505</v>
      </c>
      <c r="C491" s="1" t="n">
        <v>46019</v>
      </c>
      <c r="D491" t="inlineStr">
        <is>
          <t>JÖNKÖPINGS LÄN</t>
        </is>
      </c>
      <c r="E491" t="inlineStr">
        <is>
          <t>VETLANDA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61471-2022</t>
        </is>
      </c>
      <c r="B492" s="1" t="n">
        <v>44916.44489583333</v>
      </c>
      <c r="C492" s="1" t="n">
        <v>46019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46019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41508-2025</t>
        </is>
      </c>
      <c r="B494" s="1" t="n">
        <v>45901.53131944445</v>
      </c>
      <c r="C494" s="1" t="n">
        <v>46019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41544-2025</t>
        </is>
      </c>
      <c r="B495" s="1" t="n">
        <v>45901</v>
      </c>
      <c r="C495" s="1" t="n">
        <v>46019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41291-2025</t>
        </is>
      </c>
      <c r="B496" s="1" t="n">
        <v>45898.64612268518</v>
      </c>
      <c r="C496" s="1" t="n">
        <v>46019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41266-2025</t>
        </is>
      </c>
      <c r="B497" s="1" t="n">
        <v>45898.61667824074</v>
      </c>
      <c r="C497" s="1" t="n">
        <v>46019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41021-2025</t>
        </is>
      </c>
      <c r="B498" s="1" t="n">
        <v>45898.36572916667</v>
      </c>
      <c r="C498" s="1" t="n">
        <v>46019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46133-2023</t>
        </is>
      </c>
      <c r="B499" s="1" t="n">
        <v>45190</v>
      </c>
      <c r="C499" s="1" t="n">
        <v>46019</v>
      </c>
      <c r="D499" t="inlineStr">
        <is>
          <t>JÖNKÖPINGS LÄN</t>
        </is>
      </c>
      <c r="E499" t="inlineStr">
        <is>
          <t>VETLANDA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41260-2025</t>
        </is>
      </c>
      <c r="B500" s="1" t="n">
        <v>45898.61107638889</v>
      </c>
      <c r="C500" s="1" t="n">
        <v>46019</v>
      </c>
      <c r="D500" t="inlineStr">
        <is>
          <t>JÖNKÖPINGS LÄN</t>
        </is>
      </c>
      <c r="E500" t="inlineStr">
        <is>
          <t>VETLANDA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28587-2025</t>
        </is>
      </c>
      <c r="B501" s="1" t="n">
        <v>45819.5825462963</v>
      </c>
      <c r="C501" s="1" t="n">
        <v>46019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41754-2025</t>
        </is>
      </c>
      <c r="B502" s="1" t="n">
        <v>45902.5015625</v>
      </c>
      <c r="C502" s="1" t="n">
        <v>46019</v>
      </c>
      <c r="D502" t="inlineStr">
        <is>
          <t>JÖNKÖPINGS LÄN</t>
        </is>
      </c>
      <c r="E502" t="inlineStr">
        <is>
          <t>VETLANDA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13815-2025</t>
        </is>
      </c>
      <c r="B503" s="1" t="n">
        <v>45737.51153935185</v>
      </c>
      <c r="C503" s="1" t="n">
        <v>46019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47389-2024</t>
        </is>
      </c>
      <c r="B504" s="1" t="n">
        <v>45587.46966435185</v>
      </c>
      <c r="C504" s="1" t="n">
        <v>46019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4689-2022</t>
        </is>
      </c>
      <c r="B505" s="1" t="n">
        <v>44592.48420138889</v>
      </c>
      <c r="C505" s="1" t="n">
        <v>46019</v>
      </c>
      <c r="D505" t="inlineStr">
        <is>
          <t>JÖNKÖPINGS LÄN</t>
        </is>
      </c>
      <c r="E505" t="inlineStr">
        <is>
          <t>VETLANDA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22721-2024</t>
        </is>
      </c>
      <c r="B506" s="1" t="n">
        <v>45448.36395833334</v>
      </c>
      <c r="C506" s="1" t="n">
        <v>46019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39826-2022</t>
        </is>
      </c>
      <c r="B507" s="1" t="n">
        <v>44819</v>
      </c>
      <c r="C507" s="1" t="n">
        <v>46019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41902-2025</t>
        </is>
      </c>
      <c r="B508" s="1" t="n">
        <v>45903.39982638889</v>
      </c>
      <c r="C508" s="1" t="n">
        <v>46019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41904-2025</t>
        </is>
      </c>
      <c r="B509" s="1" t="n">
        <v>45903.40201388889</v>
      </c>
      <c r="C509" s="1" t="n">
        <v>46019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39165-2023</t>
        </is>
      </c>
      <c r="B510" s="1" t="n">
        <v>45166.36192129629</v>
      </c>
      <c r="C510" s="1" t="n">
        <v>46019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61254-2024</t>
        </is>
      </c>
      <c r="B511" s="1" t="n">
        <v>45645.70311342592</v>
      </c>
      <c r="C511" s="1" t="n">
        <v>46019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41686-2025</t>
        </is>
      </c>
      <c r="B512" s="1" t="n">
        <v>45902.38627314815</v>
      </c>
      <c r="C512" s="1" t="n">
        <v>46019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41689-2025</t>
        </is>
      </c>
      <c r="B513" s="1" t="n">
        <v>45902.40195601852</v>
      </c>
      <c r="C513" s="1" t="n">
        <v>46019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41700-2025</t>
        </is>
      </c>
      <c r="B514" s="1" t="n">
        <v>45902.4108449074</v>
      </c>
      <c r="C514" s="1" t="n">
        <v>46019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46884-2024</t>
        </is>
      </c>
      <c r="B515" s="1" t="n">
        <v>45583.65795138889</v>
      </c>
      <c r="C515" s="1" t="n">
        <v>46019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45947-2024</t>
        </is>
      </c>
      <c r="B516" s="1" t="n">
        <v>45580.5531712963</v>
      </c>
      <c r="C516" s="1" t="n">
        <v>46019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27322-2025</t>
        </is>
      </c>
      <c r="B517" s="1" t="n">
        <v>45812.59789351852</v>
      </c>
      <c r="C517" s="1" t="n">
        <v>46019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27790-2025</t>
        </is>
      </c>
      <c r="B518" s="1" t="n">
        <v>45816.70986111111</v>
      </c>
      <c r="C518" s="1" t="n">
        <v>46019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42148-2025</t>
        </is>
      </c>
      <c r="B519" s="1" t="n">
        <v>45904</v>
      </c>
      <c r="C519" s="1" t="n">
        <v>46019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56403-2024</t>
        </is>
      </c>
      <c r="B520" s="1" t="n">
        <v>45625</v>
      </c>
      <c r="C520" s="1" t="n">
        <v>46019</v>
      </c>
      <c r="D520" t="inlineStr">
        <is>
          <t>JÖNKÖPINGS LÄN</t>
        </is>
      </c>
      <c r="E520" t="inlineStr">
        <is>
          <t>VETLANDA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20143-2023</t>
        </is>
      </c>
      <c r="B521" s="1" t="n">
        <v>45055</v>
      </c>
      <c r="C521" s="1" t="n">
        <v>46019</v>
      </c>
      <c r="D521" t="inlineStr">
        <is>
          <t>JÖNKÖPINGS LÄN</t>
        </is>
      </c>
      <c r="E521" t="inlineStr">
        <is>
          <t>VETLANDA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53537-2021</t>
        </is>
      </c>
      <c r="B522" s="1" t="n">
        <v>44468</v>
      </c>
      <c r="C522" s="1" t="n">
        <v>46019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9730-2024</t>
        </is>
      </c>
      <c r="B523" s="1" t="n">
        <v>45362.56993055555</v>
      </c>
      <c r="C523" s="1" t="n">
        <v>46019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57318-2024</t>
        </is>
      </c>
      <c r="B524" s="1" t="n">
        <v>45629.61628472222</v>
      </c>
      <c r="C524" s="1" t="n">
        <v>46019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42596-2025</t>
        </is>
      </c>
      <c r="B525" s="1" t="n">
        <v>45905.66164351852</v>
      </c>
      <c r="C525" s="1" t="n">
        <v>46019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42087-2025</t>
        </is>
      </c>
      <c r="B526" s="1" t="n">
        <v>45903</v>
      </c>
      <c r="C526" s="1" t="n">
        <v>46019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32318-2022</t>
        </is>
      </c>
      <c r="B527" s="1" t="n">
        <v>44781</v>
      </c>
      <c r="C527" s="1" t="n">
        <v>46019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28199-2025</t>
        </is>
      </c>
      <c r="B528" s="1" t="n">
        <v>45818.43297453703</v>
      </c>
      <c r="C528" s="1" t="n">
        <v>46019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42146-2025</t>
        </is>
      </c>
      <c r="B529" s="1" t="n">
        <v>45904</v>
      </c>
      <c r="C529" s="1" t="n">
        <v>46019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42150-2025</t>
        </is>
      </c>
      <c r="B530" s="1" t="n">
        <v>45904</v>
      </c>
      <c r="C530" s="1" t="n">
        <v>46019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28590-2025</t>
        </is>
      </c>
      <c r="B531" s="1" t="n">
        <v>45819.58771990741</v>
      </c>
      <c r="C531" s="1" t="n">
        <v>46019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15666-2023</t>
        </is>
      </c>
      <c r="B532" s="1" t="n">
        <v>45021</v>
      </c>
      <c r="C532" s="1" t="n">
        <v>46019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8613-2023</t>
        </is>
      </c>
      <c r="B533" s="1" t="n">
        <v>44977</v>
      </c>
      <c r="C533" s="1" t="n">
        <v>46019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28229-2025</t>
        </is>
      </c>
      <c r="B534" s="1" t="n">
        <v>45818.48561342592</v>
      </c>
      <c r="C534" s="1" t="n">
        <v>46019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28233-2025</t>
        </is>
      </c>
      <c r="B535" s="1" t="n">
        <v>45818.49046296296</v>
      </c>
      <c r="C535" s="1" t="n">
        <v>46019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38373-2024</t>
        </is>
      </c>
      <c r="B536" s="1" t="n">
        <v>45545.90186342593</v>
      </c>
      <c r="C536" s="1" t="n">
        <v>46019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42753-2025</t>
        </is>
      </c>
      <c r="B537" s="1" t="n">
        <v>45908</v>
      </c>
      <c r="C537" s="1" t="n">
        <v>46019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28110-2025</t>
        </is>
      </c>
      <c r="B538" s="1" t="n">
        <v>45817.87415509259</v>
      </c>
      <c r="C538" s="1" t="n">
        <v>46019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23540-2025</t>
        </is>
      </c>
      <c r="B539" s="1" t="n">
        <v>45792.55229166667</v>
      </c>
      <c r="C539" s="1" t="n">
        <v>46019</v>
      </c>
      <c r="D539" t="inlineStr">
        <is>
          <t>JÖNKÖPINGS LÄN</t>
        </is>
      </c>
      <c r="E539" t="inlineStr">
        <is>
          <t>VETLANDA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28631-2025</t>
        </is>
      </c>
      <c r="B540" s="1" t="n">
        <v>45819.62290509259</v>
      </c>
      <c r="C540" s="1" t="n">
        <v>46019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6433-2025</t>
        </is>
      </c>
      <c r="B541" s="1" t="n">
        <v>45699.5131712963</v>
      </c>
      <c r="C541" s="1" t="n">
        <v>46019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29031-2023</t>
        </is>
      </c>
      <c r="B542" s="1" t="n">
        <v>45104.73398148148</v>
      </c>
      <c r="C542" s="1" t="n">
        <v>46019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28634-2025</t>
        </is>
      </c>
      <c r="B543" s="1" t="n">
        <v>45819.63070601852</v>
      </c>
      <c r="C543" s="1" t="n">
        <v>46019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46019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61283-2024</t>
        </is>
      </c>
      <c r="B545" s="1" t="n">
        <v>45645</v>
      </c>
      <c r="C545" s="1" t="n">
        <v>46019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28534-2025</t>
        </is>
      </c>
      <c r="B546" s="1" t="n">
        <v>45819.50528935185</v>
      </c>
      <c r="C546" s="1" t="n">
        <v>46019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61287-2024</t>
        </is>
      </c>
      <c r="B547" s="1" t="n">
        <v>45645.81003472222</v>
      </c>
      <c r="C547" s="1" t="n">
        <v>46019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16805-2025</t>
        </is>
      </c>
      <c r="B548" s="1" t="n">
        <v>45754.62659722222</v>
      </c>
      <c r="C548" s="1" t="n">
        <v>46019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43033-2025</t>
        </is>
      </c>
      <c r="B549" s="1" t="n">
        <v>45909.54175925926</v>
      </c>
      <c r="C549" s="1" t="n">
        <v>46019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28094-2025</t>
        </is>
      </c>
      <c r="B550" s="1" t="n">
        <v>45817.79064814815</v>
      </c>
      <c r="C550" s="1" t="n">
        <v>46019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28235-2025</t>
        </is>
      </c>
      <c r="B551" s="1" t="n">
        <v>45818.49392361111</v>
      </c>
      <c r="C551" s="1" t="n">
        <v>46019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34061-2023</t>
        </is>
      </c>
      <c r="B552" s="1" t="n">
        <v>45135</v>
      </c>
      <c r="C552" s="1" t="n">
        <v>46019</v>
      </c>
      <c r="D552" t="inlineStr">
        <is>
          <t>JÖNKÖPINGS LÄN</t>
        </is>
      </c>
      <c r="E552" t="inlineStr">
        <is>
          <t>VETLANDA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34068-2023</t>
        </is>
      </c>
      <c r="B553" s="1" t="n">
        <v>45135</v>
      </c>
      <c r="C553" s="1" t="n">
        <v>46019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34072-2023</t>
        </is>
      </c>
      <c r="B554" s="1" t="n">
        <v>45135</v>
      </c>
      <c r="C554" s="1" t="n">
        <v>46019</v>
      </c>
      <c r="D554" t="inlineStr">
        <is>
          <t>JÖNKÖPINGS LÄN</t>
        </is>
      </c>
      <c r="E554" t="inlineStr">
        <is>
          <t>VETLANDA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28526-2025</t>
        </is>
      </c>
      <c r="B555" s="1" t="n">
        <v>45819.49506944444</v>
      </c>
      <c r="C555" s="1" t="n">
        <v>46019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42744-2025</t>
        </is>
      </c>
      <c r="B556" s="1" t="n">
        <v>45908.43222222223</v>
      </c>
      <c r="C556" s="1" t="n">
        <v>46019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42750-2025</t>
        </is>
      </c>
      <c r="B557" s="1" t="n">
        <v>45908</v>
      </c>
      <c r="C557" s="1" t="n">
        <v>46019</v>
      </c>
      <c r="D557" t="inlineStr">
        <is>
          <t>JÖNKÖPINGS LÄN</t>
        </is>
      </c>
      <c r="E557" t="inlineStr">
        <is>
          <t>VETLANDA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12665-2022</t>
        </is>
      </c>
      <c r="B558" s="1" t="n">
        <v>44641</v>
      </c>
      <c r="C558" s="1" t="n">
        <v>46019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56994-2021</t>
        </is>
      </c>
      <c r="B559" s="1" t="n">
        <v>44482.45895833334</v>
      </c>
      <c r="C559" s="1" t="n">
        <v>46019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28747-2025</t>
        </is>
      </c>
      <c r="B560" s="1" t="n">
        <v>45820.39466435185</v>
      </c>
      <c r="C560" s="1" t="n">
        <v>46019</v>
      </c>
      <c r="D560" t="inlineStr">
        <is>
          <t>JÖNKÖPINGS LÄN</t>
        </is>
      </c>
      <c r="E560" t="inlineStr">
        <is>
          <t>VETLANDA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43558-2025</t>
        </is>
      </c>
      <c r="B561" s="1" t="n">
        <v>45911.62592592592</v>
      </c>
      <c r="C561" s="1" t="n">
        <v>46019</v>
      </c>
      <c r="D561" t="inlineStr">
        <is>
          <t>JÖNKÖPINGS LÄN</t>
        </is>
      </c>
      <c r="E561" t="inlineStr">
        <is>
          <t>VETLANDA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53727-2024</t>
        </is>
      </c>
      <c r="B562" s="1" t="n">
        <v>45615.45342592592</v>
      </c>
      <c r="C562" s="1" t="n">
        <v>46019</v>
      </c>
      <c r="D562" t="inlineStr">
        <is>
          <t>JÖNKÖPINGS LÄN</t>
        </is>
      </c>
      <c r="E562" t="inlineStr">
        <is>
          <t>VETLANDA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18799-2023</t>
        </is>
      </c>
      <c r="B563" s="1" t="n">
        <v>45042</v>
      </c>
      <c r="C563" s="1" t="n">
        <v>46019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4905-2024</t>
        </is>
      </c>
      <c r="B564" s="1" t="n">
        <v>45329</v>
      </c>
      <c r="C564" s="1" t="n">
        <v>46019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47276-2024</t>
        </is>
      </c>
      <c r="B565" s="1" t="n">
        <v>45586.90974537037</v>
      </c>
      <c r="C565" s="1" t="n">
        <v>46019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4944-2024</t>
        </is>
      </c>
      <c r="B566" s="1" t="n">
        <v>45329</v>
      </c>
      <c r="C566" s="1" t="n">
        <v>46019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43554-2025</t>
        </is>
      </c>
      <c r="B567" s="1" t="n">
        <v>45911.62172453704</v>
      </c>
      <c r="C567" s="1" t="n">
        <v>46019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31621-2023</t>
        </is>
      </c>
      <c r="B568" s="1" t="n">
        <v>45117</v>
      </c>
      <c r="C568" s="1" t="n">
        <v>46019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22749-2021</t>
        </is>
      </c>
      <c r="B569" s="1" t="n">
        <v>44327</v>
      </c>
      <c r="C569" s="1" t="n">
        <v>46019</v>
      </c>
      <c r="D569" t="inlineStr">
        <is>
          <t>JÖNKÖPINGS LÄN</t>
        </is>
      </c>
      <c r="E569" t="inlineStr">
        <is>
          <t>VETLANDA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43351-2025</t>
        </is>
      </c>
      <c r="B570" s="1" t="n">
        <v>45911.29017361111</v>
      </c>
      <c r="C570" s="1" t="n">
        <v>46019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43352-2025</t>
        </is>
      </c>
      <c r="B571" s="1" t="n">
        <v>45911.29265046296</v>
      </c>
      <c r="C571" s="1" t="n">
        <v>46019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29487-2025</t>
        </is>
      </c>
      <c r="B572" s="1" t="n">
        <v>45824.75822916667</v>
      </c>
      <c r="C572" s="1" t="n">
        <v>46019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5492-2025</t>
        </is>
      </c>
      <c r="B573" s="1" t="n">
        <v>45693.37408564815</v>
      </c>
      <c r="C573" s="1" t="n">
        <v>46019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29453-2025</t>
        </is>
      </c>
      <c r="B574" s="1" t="n">
        <v>45824.68076388889</v>
      </c>
      <c r="C574" s="1" t="n">
        <v>46019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29751-2025</t>
        </is>
      </c>
      <c r="B575" s="1" t="n">
        <v>45825.60899305555</v>
      </c>
      <c r="C575" s="1" t="n">
        <v>46019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55747-2022</t>
        </is>
      </c>
      <c r="B576" s="1" t="n">
        <v>44888.59313657408</v>
      </c>
      <c r="C576" s="1" t="n">
        <v>46019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29270-2025</t>
        </is>
      </c>
      <c r="B577" s="1" t="n">
        <v>45824.40824074074</v>
      </c>
      <c r="C577" s="1" t="n">
        <v>46019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28130-2023</t>
        </is>
      </c>
      <c r="B578" s="1" t="n">
        <v>45099.47626157408</v>
      </c>
      <c r="C578" s="1" t="n">
        <v>46019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52948-2024</t>
        </is>
      </c>
      <c r="B579" s="1" t="n">
        <v>45610.86952546296</v>
      </c>
      <c r="C579" s="1" t="n">
        <v>46019</v>
      </c>
      <c r="D579" t="inlineStr">
        <is>
          <t>JÖNKÖPINGS LÄN</t>
        </is>
      </c>
      <c r="E579" t="inlineStr">
        <is>
          <t>VETLANDA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14639-2025</t>
        </is>
      </c>
      <c r="B580" s="1" t="n">
        <v>45742.45594907407</v>
      </c>
      <c r="C580" s="1" t="n">
        <v>46019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43406-2024</t>
        </is>
      </c>
      <c r="B581" s="1" t="n">
        <v>45568</v>
      </c>
      <c r="C581" s="1" t="n">
        <v>46019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44254-2025</t>
        </is>
      </c>
      <c r="B582" s="1" t="n">
        <v>45915.7137962963</v>
      </c>
      <c r="C582" s="1" t="n">
        <v>46019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43854-2025</t>
        </is>
      </c>
      <c r="B583" s="1" t="n">
        <v>45912.6409375</v>
      </c>
      <c r="C583" s="1" t="n">
        <v>46019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9779-2023</t>
        </is>
      </c>
      <c r="B584" s="1" t="n">
        <v>44984.61899305556</v>
      </c>
      <c r="C584" s="1" t="n">
        <v>46019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30046-2025</t>
        </is>
      </c>
      <c r="B585" s="1" t="n">
        <v>45826.58157407407</v>
      </c>
      <c r="C585" s="1" t="n">
        <v>46019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30368-2025</t>
        </is>
      </c>
      <c r="B586" s="1" t="n">
        <v>45827</v>
      </c>
      <c r="C586" s="1" t="n">
        <v>46019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9665-2021</t>
        </is>
      </c>
      <c r="B587" s="1" t="n">
        <v>44252.37584490741</v>
      </c>
      <c r="C587" s="1" t="n">
        <v>46019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9697-2021</t>
        </is>
      </c>
      <c r="B588" s="1" t="n">
        <v>44252.43545138889</v>
      </c>
      <c r="C588" s="1" t="n">
        <v>46019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44423-2025</t>
        </is>
      </c>
      <c r="B589" s="1" t="n">
        <v>45916.55513888889</v>
      </c>
      <c r="C589" s="1" t="n">
        <v>46019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30366-2025</t>
        </is>
      </c>
      <c r="B590" s="1" t="n">
        <v>45827</v>
      </c>
      <c r="C590" s="1" t="n">
        <v>46019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44465-2025</t>
        </is>
      </c>
      <c r="B591" s="1" t="n">
        <v>45916.63443287037</v>
      </c>
      <c r="C591" s="1" t="n">
        <v>46019</v>
      </c>
      <c r="D591" t="inlineStr">
        <is>
          <t>JÖNKÖPINGS LÄN</t>
        </is>
      </c>
      <c r="E591" t="inlineStr">
        <is>
          <t>VETLANDA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53101-2023</t>
        </is>
      </c>
      <c r="B592" s="1" t="n">
        <v>45228.48451388889</v>
      </c>
      <c r="C592" s="1" t="n">
        <v>46019</v>
      </c>
      <c r="D592" t="inlineStr">
        <is>
          <t>JÖNKÖPINGS LÄN</t>
        </is>
      </c>
      <c r="E592" t="inlineStr">
        <is>
          <t>VETLANDA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28655-2022</t>
        </is>
      </c>
      <c r="B593" s="1" t="n">
        <v>44748.65145833333</v>
      </c>
      <c r="C593" s="1" t="n">
        <v>46019</v>
      </c>
      <c r="D593" t="inlineStr">
        <is>
          <t>JÖNKÖPINGS LÄN</t>
        </is>
      </c>
      <c r="E593" t="inlineStr">
        <is>
          <t>VETLANDA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33779-2023</t>
        </is>
      </c>
      <c r="B594" s="1" t="n">
        <v>45133</v>
      </c>
      <c r="C594" s="1" t="n">
        <v>46019</v>
      </c>
      <c r="D594" t="inlineStr">
        <is>
          <t>JÖNKÖPINGS LÄN</t>
        </is>
      </c>
      <c r="E594" t="inlineStr">
        <is>
          <t>VETLANDA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30040-2025</t>
        </is>
      </c>
      <c r="B595" s="1" t="n">
        <v>45826.57376157407</v>
      </c>
      <c r="C595" s="1" t="n">
        <v>46019</v>
      </c>
      <c r="D595" t="inlineStr">
        <is>
          <t>JÖNKÖPINGS LÄN</t>
        </is>
      </c>
      <c r="E595" t="inlineStr">
        <is>
          <t>VETLANDA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21458-2024</t>
        </is>
      </c>
      <c r="B596" s="1" t="n">
        <v>45441.46810185185</v>
      </c>
      <c r="C596" s="1" t="n">
        <v>46019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63407-2023</t>
        </is>
      </c>
      <c r="B597" s="1" t="n">
        <v>45274.51340277777</v>
      </c>
      <c r="C597" s="1" t="n">
        <v>46019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19444-2022</t>
        </is>
      </c>
      <c r="B598" s="1" t="n">
        <v>44693.3846875</v>
      </c>
      <c r="C598" s="1" t="n">
        <v>46019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30115-2025</t>
        </is>
      </c>
      <c r="B599" s="1" t="n">
        <v>45826.72112268519</v>
      </c>
      <c r="C599" s="1" t="n">
        <v>46019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49258-2024</t>
        </is>
      </c>
      <c r="B600" s="1" t="n">
        <v>45595.47640046296</v>
      </c>
      <c r="C600" s="1" t="n">
        <v>46019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5121-2024</t>
        </is>
      </c>
      <c r="B601" s="1" t="n">
        <v>45330.43899305556</v>
      </c>
      <c r="C601" s="1" t="n">
        <v>46019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47370-2023</t>
        </is>
      </c>
      <c r="B602" s="1" t="n">
        <v>45202.60905092592</v>
      </c>
      <c r="C602" s="1" t="n">
        <v>46019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7186-2025</t>
        </is>
      </c>
      <c r="B603" s="1" t="n">
        <v>45702.43134259259</v>
      </c>
      <c r="C603" s="1" t="n">
        <v>46019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11962-2024</t>
        </is>
      </c>
      <c r="B604" s="1" t="n">
        <v>45376.89543981481</v>
      </c>
      <c r="C604" s="1" t="n">
        <v>46019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45419-2025</t>
        </is>
      </c>
      <c r="B605" s="1" t="n">
        <v>45922.44916666667</v>
      </c>
      <c r="C605" s="1" t="n">
        <v>46019</v>
      </c>
      <c r="D605" t="inlineStr">
        <is>
          <t>JÖNKÖPINGS LÄN</t>
        </is>
      </c>
      <c r="E605" t="inlineStr">
        <is>
          <t>VETLANDA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30655-2025</t>
        </is>
      </c>
      <c r="B606" s="1" t="n">
        <v>45831.50372685185</v>
      </c>
      <c r="C606" s="1" t="n">
        <v>46019</v>
      </c>
      <c r="D606" t="inlineStr">
        <is>
          <t>JÖNKÖPINGS LÄN</t>
        </is>
      </c>
      <c r="E606" t="inlineStr">
        <is>
          <t>VETLANDA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9851-2024</t>
        </is>
      </c>
      <c r="B607" s="1" t="n">
        <v>45363</v>
      </c>
      <c r="C607" s="1" t="n">
        <v>46019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61449-2022</t>
        </is>
      </c>
      <c r="B608" s="1" t="n">
        <v>44916.40109953703</v>
      </c>
      <c r="C608" s="1" t="n">
        <v>46019</v>
      </c>
      <c r="D608" t="inlineStr">
        <is>
          <t>JÖNKÖPINGS LÄN</t>
        </is>
      </c>
      <c r="E608" t="inlineStr">
        <is>
          <t>VETLANDA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69263-2021</t>
        </is>
      </c>
      <c r="B609" s="1" t="n">
        <v>44531.43190972223</v>
      </c>
      <c r="C609" s="1" t="n">
        <v>46019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45642-2025</t>
        </is>
      </c>
      <c r="B610" s="1" t="n">
        <v>45923</v>
      </c>
      <c r="C610" s="1" t="n">
        <v>46019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45281-2025</t>
        </is>
      </c>
      <c r="B611" s="1" t="n">
        <v>45919.75368055556</v>
      </c>
      <c r="C611" s="1" t="n">
        <v>46019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30346-2025</t>
        </is>
      </c>
      <c r="B612" s="1" t="n">
        <v>45827</v>
      </c>
      <c r="C612" s="1" t="n">
        <v>46019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46261-2025</t>
        </is>
      </c>
      <c r="B613" s="1" t="n">
        <v>45925.36075231482</v>
      </c>
      <c r="C613" s="1" t="n">
        <v>46019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46263-2025</t>
        </is>
      </c>
      <c r="B614" s="1" t="n">
        <v>45925.36193287037</v>
      </c>
      <c r="C614" s="1" t="n">
        <v>46019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46258-2025</t>
        </is>
      </c>
      <c r="B615" s="1" t="n">
        <v>45925.35635416667</v>
      </c>
      <c r="C615" s="1" t="n">
        <v>46019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10423-2024</t>
        </is>
      </c>
      <c r="B616" s="1" t="n">
        <v>45365</v>
      </c>
      <c r="C616" s="1" t="n">
        <v>46019</v>
      </c>
      <c r="D616" t="inlineStr">
        <is>
          <t>JÖNKÖPINGS LÄN</t>
        </is>
      </c>
      <c r="E616" t="inlineStr">
        <is>
          <t>VETLANDA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17210-2024</t>
        </is>
      </c>
      <c r="B617" s="1" t="n">
        <v>45414.31138888889</v>
      </c>
      <c r="C617" s="1" t="n">
        <v>46019</v>
      </c>
      <c r="D617" t="inlineStr">
        <is>
          <t>JÖNKÖPINGS LÄN</t>
        </is>
      </c>
      <c r="E617" t="inlineStr">
        <is>
          <t>VETLANDA</t>
        </is>
      </c>
      <c r="F617" t="inlineStr">
        <is>
          <t>Sveaskog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46019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45924-2025</t>
        </is>
      </c>
      <c r="B619" s="1" t="n">
        <v>45923.85252314815</v>
      </c>
      <c r="C619" s="1" t="n">
        <v>46019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46270-2025</t>
        </is>
      </c>
      <c r="B620" s="1" t="n">
        <v>45925.36980324074</v>
      </c>
      <c r="C620" s="1" t="n">
        <v>46019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46061-2025</t>
        </is>
      </c>
      <c r="B621" s="1" t="n">
        <v>45924</v>
      </c>
      <c r="C621" s="1" t="n">
        <v>46019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31777-2025</t>
        </is>
      </c>
      <c r="B622" s="1" t="n">
        <v>45834.52568287037</v>
      </c>
      <c r="C622" s="1" t="n">
        <v>46019</v>
      </c>
      <c r="D622" t="inlineStr">
        <is>
          <t>JÖNKÖPINGS LÄN</t>
        </is>
      </c>
      <c r="E622" t="inlineStr">
        <is>
          <t>VETLANDA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46285-2025</t>
        </is>
      </c>
      <c r="B623" s="1" t="n">
        <v>45925.3837037037</v>
      </c>
      <c r="C623" s="1" t="n">
        <v>46019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46043-2025</t>
        </is>
      </c>
      <c r="B624" s="1" t="n">
        <v>45924</v>
      </c>
      <c r="C624" s="1" t="n">
        <v>46019</v>
      </c>
      <c r="D624" t="inlineStr">
        <is>
          <t>JÖNKÖPINGS LÄN</t>
        </is>
      </c>
      <c r="E624" t="inlineStr">
        <is>
          <t>VETLANDA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46259-2025</t>
        </is>
      </c>
      <c r="B625" s="1" t="n">
        <v>45925.35803240741</v>
      </c>
      <c r="C625" s="1" t="n">
        <v>46019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31927-2025</t>
        </is>
      </c>
      <c r="B626" s="1" t="n">
        <v>45834.89795138889</v>
      </c>
      <c r="C626" s="1" t="n">
        <v>46019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29753-2023</t>
        </is>
      </c>
      <c r="B627" s="1" t="n">
        <v>45107</v>
      </c>
      <c r="C627" s="1" t="n">
        <v>46019</v>
      </c>
      <c r="D627" t="inlineStr">
        <is>
          <t>JÖNKÖPINGS LÄN</t>
        </is>
      </c>
      <c r="E627" t="inlineStr">
        <is>
          <t>VETLANDA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32181-2025</t>
        </is>
      </c>
      <c r="B628" s="1" t="n">
        <v>45835.56049768518</v>
      </c>
      <c r="C628" s="1" t="n">
        <v>46019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58570-2023</t>
        </is>
      </c>
      <c r="B629" s="1" t="n">
        <v>45251.44450231481</v>
      </c>
      <c r="C629" s="1" t="n">
        <v>46019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31983-2025</t>
        </is>
      </c>
      <c r="B630" s="1" t="n">
        <v>45835.36065972222</v>
      </c>
      <c r="C630" s="1" t="n">
        <v>46019</v>
      </c>
      <c r="D630" t="inlineStr">
        <is>
          <t>JÖNKÖPINGS LÄN</t>
        </is>
      </c>
      <c r="E630" t="inlineStr">
        <is>
          <t>VETLANDA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31767-2025</t>
        </is>
      </c>
      <c r="B631" s="1" t="n">
        <v>45834.49851851852</v>
      </c>
      <c r="C631" s="1" t="n">
        <v>46019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46869-2025</t>
        </is>
      </c>
      <c r="B632" s="1" t="n">
        <v>45927</v>
      </c>
      <c r="C632" s="1" t="n">
        <v>46019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3425-2024</t>
        </is>
      </c>
      <c r="B633" s="1" t="n">
        <v>45319.901875</v>
      </c>
      <c r="C633" s="1" t="n">
        <v>46019</v>
      </c>
      <c r="D633" t="inlineStr">
        <is>
          <t>JÖNKÖPINGS LÄN</t>
        </is>
      </c>
      <c r="E633" t="inlineStr">
        <is>
          <t>VETLANDA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3683-2025</t>
        </is>
      </c>
      <c r="B634" s="1" t="n">
        <v>45681.45478009259</v>
      </c>
      <c r="C634" s="1" t="n">
        <v>46019</v>
      </c>
      <c r="D634" t="inlineStr">
        <is>
          <t>JÖNKÖPINGS LÄN</t>
        </is>
      </c>
      <c r="E634" t="inlineStr">
        <is>
          <t>VETLANDA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13786-2025</t>
        </is>
      </c>
      <c r="B635" s="1" t="n">
        <v>45737.45231481481</v>
      </c>
      <c r="C635" s="1" t="n">
        <v>46019</v>
      </c>
      <c r="D635" t="inlineStr">
        <is>
          <t>JÖNKÖPINGS LÄN</t>
        </is>
      </c>
      <c r="E635" t="inlineStr">
        <is>
          <t>VETLANDA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65277-2021</t>
        </is>
      </c>
      <c r="B636" s="1" t="n">
        <v>44515</v>
      </c>
      <c r="C636" s="1" t="n">
        <v>46019</v>
      </c>
      <c r="D636" t="inlineStr">
        <is>
          <t>JÖNKÖPINGS LÄN</t>
        </is>
      </c>
      <c r="E636" t="inlineStr">
        <is>
          <t>VETLANDA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9777-2023</t>
        </is>
      </c>
      <c r="B637" s="1" t="n">
        <v>44984.61239583333</v>
      </c>
      <c r="C637" s="1" t="n">
        <v>46019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54254-2023</t>
        </is>
      </c>
      <c r="B638" s="1" t="n">
        <v>45232</v>
      </c>
      <c r="C638" s="1" t="n">
        <v>46019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32691-2025</t>
        </is>
      </c>
      <c r="B639" s="1" t="n">
        <v>45839.28930555555</v>
      </c>
      <c r="C639" s="1" t="n">
        <v>46019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46019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25216-2024</t>
        </is>
      </c>
      <c r="B641" s="1" t="n">
        <v>45462.58177083333</v>
      </c>
      <c r="C641" s="1" t="n">
        <v>46019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32422-2025</t>
        </is>
      </c>
      <c r="B642" s="1" t="n">
        <v>45838.35412037037</v>
      </c>
      <c r="C642" s="1" t="n">
        <v>46019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32867-2025</t>
        </is>
      </c>
      <c r="B643" s="1" t="n">
        <v>45839.58798611111</v>
      </c>
      <c r="C643" s="1" t="n">
        <v>46019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9667-2023</t>
        </is>
      </c>
      <c r="B644" s="1" t="n">
        <v>44984.40798611111</v>
      </c>
      <c r="C644" s="1" t="n">
        <v>46019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9677-2023</t>
        </is>
      </c>
      <c r="B645" s="1" t="n">
        <v>44984.43561342593</v>
      </c>
      <c r="C645" s="1" t="n">
        <v>46019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9037-2024</t>
        </is>
      </c>
      <c r="B646" s="1" t="n">
        <v>45357.63869212963</v>
      </c>
      <c r="C646" s="1" t="n">
        <v>46019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32413-2025</t>
        </is>
      </c>
      <c r="B647" s="1" t="n">
        <v>45838.33894675926</v>
      </c>
      <c r="C647" s="1" t="n">
        <v>46019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32840-2025</t>
        </is>
      </c>
      <c r="B648" s="1" t="n">
        <v>45839.5653587963</v>
      </c>
      <c r="C648" s="1" t="n">
        <v>46019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32695-2025</t>
        </is>
      </c>
      <c r="B649" s="1" t="n">
        <v>45839.31964120371</v>
      </c>
      <c r="C649" s="1" t="n">
        <v>46019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19065-2023</t>
        </is>
      </c>
      <c r="B650" s="1" t="n">
        <v>45048</v>
      </c>
      <c r="C650" s="1" t="n">
        <v>46019</v>
      </c>
      <c r="D650" t="inlineStr">
        <is>
          <t>JÖNKÖPINGS LÄN</t>
        </is>
      </c>
      <c r="E650" t="inlineStr">
        <is>
          <t>VETLANDA</t>
        </is>
      </c>
      <c r="G650" t="n">
        <v>15.7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47299-2025</t>
        </is>
      </c>
      <c r="B651" s="1" t="n">
        <v>45930.50085648148</v>
      </c>
      <c r="C651" s="1" t="n">
        <v>46019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47300-2025</t>
        </is>
      </c>
      <c r="B652" s="1" t="n">
        <v>45930.50304398148</v>
      </c>
      <c r="C652" s="1" t="n">
        <v>46019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40737-2022</t>
        </is>
      </c>
      <c r="B653" s="1" t="n">
        <v>44824</v>
      </c>
      <c r="C653" s="1" t="n">
        <v>46019</v>
      </c>
      <c r="D653" t="inlineStr">
        <is>
          <t>JÖNKÖPINGS LÄN</t>
        </is>
      </c>
      <c r="E653" t="inlineStr">
        <is>
          <t>VETLANDA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32853-2025</t>
        </is>
      </c>
      <c r="B654" s="1" t="n">
        <v>45839.57564814815</v>
      </c>
      <c r="C654" s="1" t="n">
        <v>46019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1951-2025</t>
        </is>
      </c>
      <c r="B655" s="1" t="n">
        <v>45672.34840277778</v>
      </c>
      <c r="C655" s="1" t="n">
        <v>46019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32421-2025</t>
        </is>
      </c>
      <c r="B656" s="1" t="n">
        <v>45838.35018518518</v>
      </c>
      <c r="C656" s="1" t="n">
        <v>46019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32556-2025</t>
        </is>
      </c>
      <c r="B657" s="1" t="n">
        <v>45838.56127314815</v>
      </c>
      <c r="C657" s="1" t="n">
        <v>46019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32468-2025</t>
        </is>
      </c>
      <c r="B658" s="1" t="n">
        <v>45838.42418981482</v>
      </c>
      <c r="C658" s="1" t="n">
        <v>46019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32804-2025</t>
        </is>
      </c>
      <c r="B659" s="1" t="n">
        <v>45839.49872685185</v>
      </c>
      <c r="C659" s="1" t="n">
        <v>46019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32481-2025</t>
        </is>
      </c>
      <c r="B660" s="1" t="n">
        <v>45838.43332175926</v>
      </c>
      <c r="C660" s="1" t="n">
        <v>46019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47297-2025</t>
        </is>
      </c>
      <c r="B661" s="1" t="n">
        <v>45930.49594907407</v>
      </c>
      <c r="C661" s="1" t="n">
        <v>46019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47357-2025</t>
        </is>
      </c>
      <c r="B662" s="1" t="n">
        <v>45930</v>
      </c>
      <c r="C662" s="1" t="n">
        <v>46019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46309-2024</t>
        </is>
      </c>
      <c r="B663" s="1" t="n">
        <v>45581.72986111111</v>
      </c>
      <c r="C663" s="1" t="n">
        <v>46019</v>
      </c>
      <c r="D663" t="inlineStr">
        <is>
          <t>JÖNKÖPINGS LÄN</t>
        </is>
      </c>
      <c r="E663" t="inlineStr">
        <is>
          <t>VETLANDA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2919-2023</t>
        </is>
      </c>
      <c r="B664" s="1" t="n">
        <v>44945</v>
      </c>
      <c r="C664" s="1" t="n">
        <v>46019</v>
      </c>
      <c r="D664" t="inlineStr">
        <is>
          <t>JÖNKÖPINGS LÄN</t>
        </is>
      </c>
      <c r="E664" t="inlineStr">
        <is>
          <t>VETLANDA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47768-2025</t>
        </is>
      </c>
      <c r="B665" s="1" t="n">
        <v>45931.70164351852</v>
      </c>
      <c r="C665" s="1" t="n">
        <v>46019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47717-2025</t>
        </is>
      </c>
      <c r="B666" s="1" t="n">
        <v>45931.61743055555</v>
      </c>
      <c r="C666" s="1" t="n">
        <v>46019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47386-2025</t>
        </is>
      </c>
      <c r="B667" s="1" t="n">
        <v>45930</v>
      </c>
      <c r="C667" s="1" t="n">
        <v>46019</v>
      </c>
      <c r="D667" t="inlineStr">
        <is>
          <t>JÖNKÖPINGS LÄN</t>
        </is>
      </c>
      <c r="E667" t="inlineStr">
        <is>
          <t>VETLANDA</t>
        </is>
      </c>
      <c r="F667" t="inlineStr">
        <is>
          <t>Kyrkan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33245-2025</t>
        </is>
      </c>
      <c r="B668" s="1" t="n">
        <v>45840.65412037037</v>
      </c>
      <c r="C668" s="1" t="n">
        <v>46019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13618-2023</t>
        </is>
      </c>
      <c r="B669" s="1" t="n">
        <v>45006.61266203703</v>
      </c>
      <c r="C669" s="1" t="n">
        <v>46019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33087-2025</t>
        </is>
      </c>
      <c r="B670" s="1" t="n">
        <v>45840</v>
      </c>
      <c r="C670" s="1" t="n">
        <v>46019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33679-2025</t>
        </is>
      </c>
      <c r="B671" s="1" t="n">
        <v>45841.679375</v>
      </c>
      <c r="C671" s="1" t="n">
        <v>46019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33313-2025</t>
        </is>
      </c>
      <c r="B672" s="1" t="n">
        <v>45841.33402777778</v>
      </c>
      <c r="C672" s="1" t="n">
        <v>46019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33574-2025</t>
        </is>
      </c>
      <c r="B673" s="1" t="n">
        <v>45841.58924768519</v>
      </c>
      <c r="C673" s="1" t="n">
        <v>46019</v>
      </c>
      <c r="D673" t="inlineStr">
        <is>
          <t>JÖNKÖPINGS LÄN</t>
        </is>
      </c>
      <c r="E673" t="inlineStr">
        <is>
          <t>VETLANDA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33334-2025</t>
        </is>
      </c>
      <c r="B674" s="1" t="n">
        <v>45841.35511574074</v>
      </c>
      <c r="C674" s="1" t="n">
        <v>46019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33026-2025</t>
        </is>
      </c>
      <c r="B675" s="1" t="n">
        <v>45840.38122685185</v>
      </c>
      <c r="C675" s="1" t="n">
        <v>46019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22075-2023</t>
        </is>
      </c>
      <c r="B676" s="1" t="n">
        <v>45069</v>
      </c>
      <c r="C676" s="1" t="n">
        <v>46019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33021-2025</t>
        </is>
      </c>
      <c r="B677" s="1" t="n">
        <v>45840.37233796297</v>
      </c>
      <c r="C677" s="1" t="n">
        <v>46019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33257-2025</t>
        </is>
      </c>
      <c r="B678" s="1" t="n">
        <v>45840.67126157408</v>
      </c>
      <c r="C678" s="1" t="n">
        <v>46019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33268-2025</t>
        </is>
      </c>
      <c r="B679" s="1" t="n">
        <v>45840.6791087963</v>
      </c>
      <c r="C679" s="1" t="n">
        <v>46019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34120-2025</t>
        </is>
      </c>
      <c r="B680" s="1" t="n">
        <v>45845.51800925926</v>
      </c>
      <c r="C680" s="1" t="n">
        <v>46019</v>
      </c>
      <c r="D680" t="inlineStr">
        <is>
          <t>JÖNKÖPINGS LÄN</t>
        </is>
      </c>
      <c r="E680" t="inlineStr">
        <is>
          <t>VETLANDA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29480-2024</t>
        </is>
      </c>
      <c r="B681" s="1" t="n">
        <v>45484.32416666667</v>
      </c>
      <c r="C681" s="1" t="n">
        <v>46019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39200-2024</t>
        </is>
      </c>
      <c r="B682" s="1" t="n">
        <v>45548</v>
      </c>
      <c r="C682" s="1" t="n">
        <v>46019</v>
      </c>
      <c r="D682" t="inlineStr">
        <is>
          <t>JÖNKÖPINGS LÄN</t>
        </is>
      </c>
      <c r="E682" t="inlineStr">
        <is>
          <t>VETLANDA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12100-2025</t>
        </is>
      </c>
      <c r="B683" s="1" t="n">
        <v>45729.334375</v>
      </c>
      <c r="C683" s="1" t="n">
        <v>46019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15830-2025</t>
        </is>
      </c>
      <c r="B684" s="1" t="n">
        <v>45748</v>
      </c>
      <c r="C684" s="1" t="n">
        <v>46019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15492-2025</t>
        </is>
      </c>
      <c r="B685" s="1" t="n">
        <v>45747.57667824074</v>
      </c>
      <c r="C685" s="1" t="n">
        <v>46019</v>
      </c>
      <c r="D685" t="inlineStr">
        <is>
          <t>JÖNKÖPINGS LÄN</t>
        </is>
      </c>
      <c r="E685" t="inlineStr">
        <is>
          <t>VETLANDA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47363-2025</t>
        </is>
      </c>
      <c r="B686" s="1" t="n">
        <v>45930</v>
      </c>
      <c r="C686" s="1" t="n">
        <v>46019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56407-2024</t>
        </is>
      </c>
      <c r="B687" s="1" t="n">
        <v>45625</v>
      </c>
      <c r="C687" s="1" t="n">
        <v>46019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33833-2025</t>
        </is>
      </c>
      <c r="B688" s="1" t="n">
        <v>45842</v>
      </c>
      <c r="C688" s="1" t="n">
        <v>46019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15049-2023</t>
        </is>
      </c>
      <c r="B689" s="1" t="n">
        <v>45015.67048611111</v>
      </c>
      <c r="C689" s="1" t="n">
        <v>46019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2310-2024</t>
        </is>
      </c>
      <c r="B690" s="1" t="n">
        <v>45310</v>
      </c>
      <c r="C690" s="1" t="n">
        <v>46019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9485-2025</t>
        </is>
      </c>
      <c r="B691" s="1" t="n">
        <v>45715.48833333333</v>
      </c>
      <c r="C691" s="1" t="n">
        <v>46019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33747-2025</t>
        </is>
      </c>
      <c r="B692" s="1" t="n">
        <v>45842.35563657407</v>
      </c>
      <c r="C692" s="1" t="n">
        <v>46019</v>
      </c>
      <c r="D692" t="inlineStr">
        <is>
          <t>JÖNKÖPINGS LÄN</t>
        </is>
      </c>
      <c r="E692" t="inlineStr">
        <is>
          <t>VETLANDA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33755-2025</t>
        </is>
      </c>
      <c r="B693" s="1" t="n">
        <v>45842.37567129629</v>
      </c>
      <c r="C693" s="1" t="n">
        <v>46019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8222-2024</t>
        </is>
      </c>
      <c r="B694" s="1" t="n">
        <v>45351.87196759259</v>
      </c>
      <c r="C694" s="1" t="n">
        <v>46019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9484-2025</t>
        </is>
      </c>
      <c r="B695" s="1" t="n">
        <v>45715.48729166666</v>
      </c>
      <c r="C695" s="1" t="n">
        <v>46019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33851-2025</t>
        </is>
      </c>
      <c r="B696" s="1" t="n">
        <v>45842.50984953704</v>
      </c>
      <c r="C696" s="1" t="n">
        <v>46019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43406-2022</t>
        </is>
      </c>
      <c r="B697" s="1" t="n">
        <v>44834.77262731481</v>
      </c>
      <c r="C697" s="1" t="n">
        <v>46019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40459-2023</t>
        </is>
      </c>
      <c r="B698" s="1" t="n">
        <v>45170.33331018518</v>
      </c>
      <c r="C698" s="1" t="n">
        <v>46019</v>
      </c>
      <c r="D698" t="inlineStr">
        <is>
          <t>JÖNKÖPINGS LÄN</t>
        </is>
      </c>
      <c r="E698" t="inlineStr">
        <is>
          <t>VETLANDA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24905-2022</t>
        </is>
      </c>
      <c r="B699" s="1" t="n">
        <v>44728.60741898148</v>
      </c>
      <c r="C699" s="1" t="n">
        <v>46019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48595-2025</t>
        </is>
      </c>
      <c r="B700" s="1" t="n">
        <v>45936.46378472223</v>
      </c>
      <c r="C700" s="1" t="n">
        <v>46019</v>
      </c>
      <c r="D700" t="inlineStr">
        <is>
          <t>JÖNKÖPINGS LÄN</t>
        </is>
      </c>
      <c r="E700" t="inlineStr">
        <is>
          <t>VETLANDA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34567-2025</t>
        </is>
      </c>
      <c r="B701" s="1" t="n">
        <v>45847.58422453704</v>
      </c>
      <c r="C701" s="1" t="n">
        <v>46019</v>
      </c>
      <c r="D701" t="inlineStr">
        <is>
          <t>JÖNKÖPINGS LÄN</t>
        </is>
      </c>
      <c r="E701" t="inlineStr">
        <is>
          <t>VETLANDA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34571-2025</t>
        </is>
      </c>
      <c r="B702" s="1" t="n">
        <v>45847.59070601852</v>
      </c>
      <c r="C702" s="1" t="n">
        <v>46019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48656-2025</t>
        </is>
      </c>
      <c r="B703" s="1" t="n">
        <v>45936.56549768519</v>
      </c>
      <c r="C703" s="1" t="n">
        <v>46019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34566-2025</t>
        </is>
      </c>
      <c r="B704" s="1" t="n">
        <v>45847.58358796296</v>
      </c>
      <c r="C704" s="1" t="n">
        <v>46019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34568-2025</t>
        </is>
      </c>
      <c r="B705" s="1" t="n">
        <v>45847.58478009259</v>
      </c>
      <c r="C705" s="1" t="n">
        <v>46019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33828-2025</t>
        </is>
      </c>
      <c r="B706" s="1" t="n">
        <v>45842</v>
      </c>
      <c r="C706" s="1" t="n">
        <v>46019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27430-2023</t>
        </is>
      </c>
      <c r="B707" s="1" t="n">
        <v>45097</v>
      </c>
      <c r="C707" s="1" t="n">
        <v>46019</v>
      </c>
      <c r="D707" t="inlineStr">
        <is>
          <t>JÖNKÖPINGS LÄN</t>
        </is>
      </c>
      <c r="E707" t="inlineStr">
        <is>
          <t>VETLANDA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4061-2025</t>
        </is>
      </c>
      <c r="B708" s="1" t="n">
        <v>45684.62931712963</v>
      </c>
      <c r="C708" s="1" t="n">
        <v>46019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34756-2025</t>
        </is>
      </c>
      <c r="B709" s="1" t="n">
        <v>45848.62712962963</v>
      </c>
      <c r="C709" s="1" t="n">
        <v>46019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34752-2025</t>
        </is>
      </c>
      <c r="B710" s="1" t="n">
        <v>45848.61853009259</v>
      </c>
      <c r="C710" s="1" t="n">
        <v>46019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5143-2024</t>
        </is>
      </c>
      <c r="B711" s="1" t="n">
        <v>45330</v>
      </c>
      <c r="C711" s="1" t="n">
        <v>46019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34763-2025</t>
        </is>
      </c>
      <c r="B712" s="1" t="n">
        <v>45848.64332175926</v>
      </c>
      <c r="C712" s="1" t="n">
        <v>46019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34718-2025</t>
        </is>
      </c>
      <c r="B713" s="1" t="n">
        <v>45848.53037037037</v>
      </c>
      <c r="C713" s="1" t="n">
        <v>46019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3548-2023</t>
        </is>
      </c>
      <c r="B714" s="1" t="n">
        <v>44946</v>
      </c>
      <c r="C714" s="1" t="n">
        <v>46019</v>
      </c>
      <c r="D714" t="inlineStr">
        <is>
          <t>JÖNKÖPINGS LÄN</t>
        </is>
      </c>
      <c r="E714" t="inlineStr">
        <is>
          <t>VETLANDA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18588-2025</t>
        </is>
      </c>
      <c r="B715" s="1" t="n">
        <v>45763.47391203704</v>
      </c>
      <c r="C715" s="1" t="n">
        <v>46019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57386-2025</t>
        </is>
      </c>
      <c r="B716" s="1" t="n">
        <v>45980.41320601852</v>
      </c>
      <c r="C716" s="1" t="n">
        <v>46019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40474-2023</t>
        </is>
      </c>
      <c r="B717" s="1" t="n">
        <v>45170</v>
      </c>
      <c r="C717" s="1" t="n">
        <v>46019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29810-2023</t>
        </is>
      </c>
      <c r="B718" s="1" t="n">
        <v>45107.55028935185</v>
      </c>
      <c r="C718" s="1" t="n">
        <v>46019</v>
      </c>
      <c r="D718" t="inlineStr">
        <is>
          <t>JÖNKÖPINGS LÄN</t>
        </is>
      </c>
      <c r="E718" t="inlineStr">
        <is>
          <t>VETLANDA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57690-2025</t>
        </is>
      </c>
      <c r="B719" s="1" t="n">
        <v>45981.44628472222</v>
      </c>
      <c r="C719" s="1" t="n">
        <v>46019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35109-2025</t>
        </is>
      </c>
      <c r="B720" s="1" t="n">
        <v>45852.57663194444</v>
      </c>
      <c r="C720" s="1" t="n">
        <v>46019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35107-2025</t>
        </is>
      </c>
      <c r="B721" s="1" t="n">
        <v>45852.57219907407</v>
      </c>
      <c r="C721" s="1" t="n">
        <v>46019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28126-2023</t>
        </is>
      </c>
      <c r="B722" s="1" t="n">
        <v>45099</v>
      </c>
      <c r="C722" s="1" t="n">
        <v>46019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35102-2025</t>
        </is>
      </c>
      <c r="B723" s="1" t="n">
        <v>45852.5674074074</v>
      </c>
      <c r="C723" s="1" t="n">
        <v>46019</v>
      </c>
      <c r="D723" t="inlineStr">
        <is>
          <t>JÖNKÖPINGS LÄN</t>
        </is>
      </c>
      <c r="E723" t="inlineStr">
        <is>
          <t>VETLANDA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35114-2025</t>
        </is>
      </c>
      <c r="B724" s="1" t="n">
        <v>45852.58248842593</v>
      </c>
      <c r="C724" s="1" t="n">
        <v>46019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34498-2024</t>
        </is>
      </c>
      <c r="B725" s="1" t="n">
        <v>45525.63314814815</v>
      </c>
      <c r="C725" s="1" t="n">
        <v>46019</v>
      </c>
      <c r="D725" t="inlineStr">
        <is>
          <t>JÖNKÖPINGS LÄN</t>
        </is>
      </c>
      <c r="E725" t="inlineStr">
        <is>
          <t>VETLANDA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35335-2025</t>
        </is>
      </c>
      <c r="B726" s="1" t="n">
        <v>45854.58268518518</v>
      </c>
      <c r="C726" s="1" t="n">
        <v>46019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3633-2025</t>
        </is>
      </c>
      <c r="B727" s="1" t="n">
        <v>45681.37493055555</v>
      </c>
      <c r="C727" s="1" t="n">
        <v>46019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57642-2025</t>
        </is>
      </c>
      <c r="B728" s="1" t="n">
        <v>45981.36712962963</v>
      </c>
      <c r="C728" s="1" t="n">
        <v>46019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30415-2025</t>
        </is>
      </c>
      <c r="B729" s="1" t="n">
        <v>45827.60533564815</v>
      </c>
      <c r="C729" s="1" t="n">
        <v>46019</v>
      </c>
      <c r="D729" t="inlineStr">
        <is>
          <t>JÖNKÖPINGS LÄN</t>
        </is>
      </c>
      <c r="E729" t="inlineStr">
        <is>
          <t>VETLANDA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57828-2025</t>
        </is>
      </c>
      <c r="B730" s="1" t="n">
        <v>45981.61005787037</v>
      </c>
      <c r="C730" s="1" t="n">
        <v>46019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44460.39493055556</v>
      </c>
      <c r="C731" s="1" t="n">
        <v>46019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8623-2024</t>
        </is>
      </c>
      <c r="B732" s="1" t="n">
        <v>45352</v>
      </c>
      <c r="C732" s="1" t="n">
        <v>46019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27996-2021</t>
        </is>
      </c>
      <c r="B733" s="1" t="n">
        <v>44355</v>
      </c>
      <c r="C733" s="1" t="n">
        <v>46019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1950-2025</t>
        </is>
      </c>
      <c r="B734" s="1" t="n">
        <v>45672.34774305556</v>
      </c>
      <c r="C734" s="1" t="n">
        <v>46019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18506-2021</t>
        </is>
      </c>
      <c r="B735" s="1" t="n">
        <v>44306.40375</v>
      </c>
      <c r="C735" s="1" t="n">
        <v>46019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38998-2023</t>
        </is>
      </c>
      <c r="B736" s="1" t="n">
        <v>45163.67015046296</v>
      </c>
      <c r="C736" s="1" t="n">
        <v>46019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72980-2021</t>
        </is>
      </c>
      <c r="B737" s="1" t="n">
        <v>44549</v>
      </c>
      <c r="C737" s="1" t="n">
        <v>46019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3925-2024</t>
        </is>
      </c>
      <c r="B738" s="1" t="n">
        <v>45322</v>
      </c>
      <c r="C738" s="1" t="n">
        <v>46019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35724-2025</t>
        </is>
      </c>
      <c r="B739" s="1" t="n">
        <v>45860</v>
      </c>
      <c r="C739" s="1" t="n">
        <v>46019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13333-2023</t>
        </is>
      </c>
      <c r="B740" s="1" t="n">
        <v>45005</v>
      </c>
      <c r="C740" s="1" t="n">
        <v>46019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89-2022</t>
        </is>
      </c>
      <c r="B741" s="1" t="n">
        <v>44564.48394675926</v>
      </c>
      <c r="C741" s="1" t="n">
        <v>46019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57822-2025</t>
        </is>
      </c>
      <c r="B742" s="1" t="n">
        <v>45981.60770833334</v>
      </c>
      <c r="C742" s="1" t="n">
        <v>46019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43608-2022</t>
        </is>
      </c>
      <c r="B743" s="1" t="n">
        <v>44837.49905092592</v>
      </c>
      <c r="C743" s="1" t="n">
        <v>46019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27725-2025</t>
        </is>
      </c>
      <c r="B744" s="1" t="n">
        <v>45814</v>
      </c>
      <c r="C744" s="1" t="n">
        <v>46019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8204-2024</t>
        </is>
      </c>
      <c r="B745" s="1" t="n">
        <v>45351.71743055555</v>
      </c>
      <c r="C745" s="1" t="n">
        <v>46019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44070-2021</t>
        </is>
      </c>
      <c r="B746" s="1" t="n">
        <v>44434.58464120371</v>
      </c>
      <c r="C746" s="1" t="n">
        <v>46019</v>
      </c>
      <c r="D746" t="inlineStr">
        <is>
          <t>JÖNKÖPINGS LÄN</t>
        </is>
      </c>
      <c r="E746" t="inlineStr">
        <is>
          <t>VETLANDA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36094-2025</t>
        </is>
      </c>
      <c r="B747" s="1" t="n">
        <v>45866.4878587963</v>
      </c>
      <c r="C747" s="1" t="n">
        <v>46019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36040-2025</t>
        </is>
      </c>
      <c r="B748" s="1" t="n">
        <v>45866.33217592593</v>
      </c>
      <c r="C748" s="1" t="n">
        <v>46019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65154-2023</t>
        </is>
      </c>
      <c r="B749" s="1" t="n">
        <v>45288</v>
      </c>
      <c r="C749" s="1" t="n">
        <v>46019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36054-2025</t>
        </is>
      </c>
      <c r="B750" s="1" t="n">
        <v>45866.37359953704</v>
      </c>
      <c r="C750" s="1" t="n">
        <v>46019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12744-2025</t>
        </is>
      </c>
      <c r="B751" s="1" t="n">
        <v>45733.55030092593</v>
      </c>
      <c r="C751" s="1" t="n">
        <v>46019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36052-2025</t>
        </is>
      </c>
      <c r="B752" s="1" t="n">
        <v>45866.37274305556</v>
      </c>
      <c r="C752" s="1" t="n">
        <v>46019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36093-2025</t>
        </is>
      </c>
      <c r="B753" s="1" t="n">
        <v>45866.48642361111</v>
      </c>
      <c r="C753" s="1" t="n">
        <v>46019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44112-2021</t>
        </is>
      </c>
      <c r="B754" s="1" t="n">
        <v>44434</v>
      </c>
      <c r="C754" s="1" t="n">
        <v>46019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31099-2023</t>
        </is>
      </c>
      <c r="B755" s="1" t="n">
        <v>45113</v>
      </c>
      <c r="C755" s="1" t="n">
        <v>46019</v>
      </c>
      <c r="D755" t="inlineStr">
        <is>
          <t>JÖNKÖPINGS LÄN</t>
        </is>
      </c>
      <c r="E755" t="inlineStr">
        <is>
          <t>VETLANDA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58489-2025</t>
        </is>
      </c>
      <c r="B756" s="1" t="n">
        <v>45985.66453703704</v>
      </c>
      <c r="C756" s="1" t="n">
        <v>46019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44484.32797453704</v>
      </c>
      <c r="C757" s="1" t="n">
        <v>46019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2368-2025</t>
        </is>
      </c>
      <c r="B758" s="1" t="n">
        <v>45673.74596064815</v>
      </c>
      <c r="C758" s="1" t="n">
        <v>46019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36053-2025</t>
        </is>
      </c>
      <c r="B759" s="1" t="n">
        <v>45866.37346064814</v>
      </c>
      <c r="C759" s="1" t="n">
        <v>46019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10377-2024</t>
        </is>
      </c>
      <c r="B760" s="1" t="n">
        <v>45365.63964120371</v>
      </c>
      <c r="C760" s="1" t="n">
        <v>46019</v>
      </c>
      <c r="D760" t="inlineStr">
        <is>
          <t>JÖNKÖPINGS LÄN</t>
        </is>
      </c>
      <c r="E760" t="inlineStr">
        <is>
          <t>VETLANDA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36442-2025</t>
        </is>
      </c>
      <c r="B761" s="1" t="n">
        <v>45869.39899305555</v>
      </c>
      <c r="C761" s="1" t="n">
        <v>46019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36446-2025</t>
        </is>
      </c>
      <c r="B762" s="1" t="n">
        <v>45869.40857638889</v>
      </c>
      <c r="C762" s="1" t="n">
        <v>46019</v>
      </c>
      <c r="D762" t="inlineStr">
        <is>
          <t>JÖNKÖPINGS LÄN</t>
        </is>
      </c>
      <c r="E762" t="inlineStr">
        <is>
          <t>VETLANDA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57996-2025</t>
        </is>
      </c>
      <c r="B763" s="1" t="n">
        <v>45982.43185185185</v>
      </c>
      <c r="C763" s="1" t="n">
        <v>46019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62327-2022</t>
        </is>
      </c>
      <c r="B764" s="1" t="n">
        <v>44923.52548611111</v>
      </c>
      <c r="C764" s="1" t="n">
        <v>46019</v>
      </c>
      <c r="D764" t="inlineStr">
        <is>
          <t>JÖNKÖPINGS LÄN</t>
        </is>
      </c>
      <c r="E764" t="inlineStr">
        <is>
          <t>VETLANDA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6584-2025</t>
        </is>
      </c>
      <c r="B765" s="1" t="n">
        <v>45700.27564814815</v>
      </c>
      <c r="C765" s="1" t="n">
        <v>46019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57930-2025</t>
        </is>
      </c>
      <c r="B766" s="1" t="n">
        <v>45981.90465277778</v>
      </c>
      <c r="C766" s="1" t="n">
        <v>46019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329-2025</t>
        </is>
      </c>
      <c r="B767" s="1" t="n">
        <v>45660.65958333333</v>
      </c>
      <c r="C767" s="1" t="n">
        <v>46019</v>
      </c>
      <c r="D767" t="inlineStr">
        <is>
          <t>JÖNKÖPINGS LÄN</t>
        </is>
      </c>
      <c r="E767" t="inlineStr">
        <is>
          <t>VETLANDA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16038-2025</t>
        </is>
      </c>
      <c r="B768" s="1" t="n">
        <v>45748</v>
      </c>
      <c r="C768" s="1" t="n">
        <v>46019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16039-2025</t>
        </is>
      </c>
      <c r="B769" s="1" t="n">
        <v>45748</v>
      </c>
      <c r="C769" s="1" t="n">
        <v>46019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57997-2025</t>
        </is>
      </c>
      <c r="B770" s="1" t="n">
        <v>45982.43313657407</v>
      </c>
      <c r="C770" s="1" t="n">
        <v>46019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58000-2025</t>
        </is>
      </c>
      <c r="B771" s="1" t="n">
        <v>45982.43447916667</v>
      </c>
      <c r="C771" s="1" t="n">
        <v>46019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6377-2023</t>
        </is>
      </c>
      <c r="B772" s="1" t="n">
        <v>44965.62542824074</v>
      </c>
      <c r="C772" s="1" t="n">
        <v>46019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36774-2025</t>
        </is>
      </c>
      <c r="B773" s="1" t="n">
        <v>45873.59123842593</v>
      </c>
      <c r="C773" s="1" t="n">
        <v>46019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50433-2025</t>
        </is>
      </c>
      <c r="B774" s="1" t="n">
        <v>45944.69631944445</v>
      </c>
      <c r="C774" s="1" t="n">
        <v>46019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50330-2025</t>
        </is>
      </c>
      <c r="B775" s="1" t="n">
        <v>45944.46826388889</v>
      </c>
      <c r="C775" s="1" t="n">
        <v>46019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36935-2025</t>
        </is>
      </c>
      <c r="B776" s="1" t="n">
        <v>45874.57201388889</v>
      </c>
      <c r="C776" s="1" t="n">
        <v>46019</v>
      </c>
      <c r="D776" t="inlineStr">
        <is>
          <t>JÖNKÖPINGS LÄN</t>
        </is>
      </c>
      <c r="E776" t="inlineStr">
        <is>
          <t>VETLANDA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7830-2023</t>
        </is>
      </c>
      <c r="B777" s="1" t="n">
        <v>44970</v>
      </c>
      <c r="C777" s="1" t="n">
        <v>46019</v>
      </c>
      <c r="D777" t="inlineStr">
        <is>
          <t>JÖNKÖPINGS LÄN</t>
        </is>
      </c>
      <c r="E777" t="inlineStr">
        <is>
          <t>VETLANDA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33764-2023</t>
        </is>
      </c>
      <c r="B778" s="1" t="n">
        <v>45133</v>
      </c>
      <c r="C778" s="1" t="n">
        <v>46019</v>
      </c>
      <c r="D778" t="inlineStr">
        <is>
          <t>JÖNKÖPINGS LÄN</t>
        </is>
      </c>
      <c r="E778" t="inlineStr">
        <is>
          <t>VETLANDA</t>
        </is>
      </c>
      <c r="G778" t="n">
        <v>15.3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37143-2025</t>
        </is>
      </c>
      <c r="B779" s="1" t="n">
        <v>45875.56215277778</v>
      </c>
      <c r="C779" s="1" t="n">
        <v>46019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36820-2025</t>
        </is>
      </c>
      <c r="B780" s="1" t="n">
        <v>45873.84888888889</v>
      </c>
      <c r="C780" s="1" t="n">
        <v>46019</v>
      </c>
      <c r="D780" t="inlineStr">
        <is>
          <t>JÖNKÖPINGS LÄN</t>
        </is>
      </c>
      <c r="E780" t="inlineStr">
        <is>
          <t>VETLANDA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47372-2025</t>
        </is>
      </c>
      <c r="B781" s="1" t="n">
        <v>45930</v>
      </c>
      <c r="C781" s="1" t="n">
        <v>46019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8946-2024</t>
        </is>
      </c>
      <c r="B782" s="1" t="n">
        <v>45357.44114583333</v>
      </c>
      <c r="C782" s="1" t="n">
        <v>46019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37142-2025</t>
        </is>
      </c>
      <c r="B783" s="1" t="n">
        <v>45875.56143518518</v>
      </c>
      <c r="C783" s="1" t="n">
        <v>46019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37144-2025</t>
        </is>
      </c>
      <c r="B784" s="1" t="n">
        <v>45875.56277777778</v>
      </c>
      <c r="C784" s="1" t="n">
        <v>46019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53927-2023</t>
        </is>
      </c>
      <c r="B785" s="1" t="n">
        <v>45231.57694444444</v>
      </c>
      <c r="C785" s="1" t="n">
        <v>46019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963-2021</t>
        </is>
      </c>
      <c r="B786" s="1" t="n">
        <v>44207</v>
      </c>
      <c r="C786" s="1" t="n">
        <v>46019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879-2021</t>
        </is>
      </c>
      <c r="B787" s="1" t="n">
        <v>44205</v>
      </c>
      <c r="C787" s="1" t="n">
        <v>46019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72411-2021</t>
        </is>
      </c>
      <c r="B788" s="1" t="n">
        <v>44545.62172453704</v>
      </c>
      <c r="C788" s="1" t="n">
        <v>46019</v>
      </c>
      <c r="D788" t="inlineStr">
        <is>
          <t>JÖNKÖPINGS LÄN</t>
        </is>
      </c>
      <c r="E788" t="inlineStr">
        <is>
          <t>VETLANDA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22166-2021</t>
        </is>
      </c>
      <c r="B789" s="1" t="n">
        <v>44325.75769675926</v>
      </c>
      <c r="C789" s="1" t="n">
        <v>46019</v>
      </c>
      <c r="D789" t="inlineStr">
        <is>
          <t>JÖNKÖPINGS LÄN</t>
        </is>
      </c>
      <c r="E789" t="inlineStr">
        <is>
          <t>VETLANDA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3624-2025</t>
        </is>
      </c>
      <c r="B790" s="1" t="n">
        <v>45681.3709375</v>
      </c>
      <c r="C790" s="1" t="n">
        <v>46019</v>
      </c>
      <c r="D790" t="inlineStr">
        <is>
          <t>JÖNKÖPINGS LÄN</t>
        </is>
      </c>
      <c r="E790" t="inlineStr">
        <is>
          <t>VETLANDA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3625-2025</t>
        </is>
      </c>
      <c r="B791" s="1" t="n">
        <v>45681.37099537037</v>
      </c>
      <c r="C791" s="1" t="n">
        <v>46019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36440-2023</t>
        </is>
      </c>
      <c r="B792" s="1" t="n">
        <v>45152</v>
      </c>
      <c r="C792" s="1" t="n">
        <v>46019</v>
      </c>
      <c r="D792" t="inlineStr">
        <is>
          <t>JÖNKÖPINGS LÄN</t>
        </is>
      </c>
      <c r="E792" t="inlineStr">
        <is>
          <t>VETLANDA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50795-2025</t>
        </is>
      </c>
      <c r="B793" s="1" t="n">
        <v>45946.48068287037</v>
      </c>
      <c r="C793" s="1" t="n">
        <v>46019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62721-2021</t>
        </is>
      </c>
      <c r="B794" s="1" t="n">
        <v>44503</v>
      </c>
      <c r="C794" s="1" t="n">
        <v>46019</v>
      </c>
      <c r="D794" t="inlineStr">
        <is>
          <t>JÖNKÖPINGS LÄN</t>
        </is>
      </c>
      <c r="E794" t="inlineStr">
        <is>
          <t>VETLANDA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37433-2025</t>
        </is>
      </c>
      <c r="B795" s="1" t="n">
        <v>45877.51883101852</v>
      </c>
      <c r="C795" s="1" t="n">
        <v>46019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37434-2025</t>
        </is>
      </c>
      <c r="B796" s="1" t="n">
        <v>45877.51960648148</v>
      </c>
      <c r="C796" s="1" t="n">
        <v>46019</v>
      </c>
      <c r="D796" t="inlineStr">
        <is>
          <t>JÖNKÖPINGS LÄN</t>
        </is>
      </c>
      <c r="E796" t="inlineStr">
        <is>
          <t>VETLANDA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53474-2023</t>
        </is>
      </c>
      <c r="B797" s="1" t="n">
        <v>45230.33274305556</v>
      </c>
      <c r="C797" s="1" t="n">
        <v>46019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37565-2025</t>
        </is>
      </c>
      <c r="B798" s="1" t="n">
        <v>45880</v>
      </c>
      <c r="C798" s="1" t="n">
        <v>46019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59337-2025</t>
        </is>
      </c>
      <c r="B799" s="1" t="n">
        <v>45989.36658564815</v>
      </c>
      <c r="C799" s="1" t="n">
        <v>46019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56547-2021</t>
        </is>
      </c>
      <c r="B800" s="1" t="n">
        <v>44480.61528935185</v>
      </c>
      <c r="C800" s="1" t="n">
        <v>46019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27119-2022</t>
        </is>
      </c>
      <c r="B801" s="1" t="n">
        <v>44741.47328703704</v>
      </c>
      <c r="C801" s="1" t="n">
        <v>46019</v>
      </c>
      <c r="D801" t="inlineStr">
        <is>
          <t>JÖNKÖPINGS LÄN</t>
        </is>
      </c>
      <c r="E801" t="inlineStr">
        <is>
          <t>VETLANDA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62860-2023</t>
        </is>
      </c>
      <c r="B802" s="1" t="n">
        <v>45272</v>
      </c>
      <c r="C802" s="1" t="n">
        <v>46019</v>
      </c>
      <c r="D802" t="inlineStr">
        <is>
          <t>JÖNKÖPINGS LÄN</t>
        </is>
      </c>
      <c r="E802" t="inlineStr">
        <is>
          <t>VETLANDA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37682-2025</t>
        </is>
      </c>
      <c r="B803" s="1" t="n">
        <v>45880.54931712963</v>
      </c>
      <c r="C803" s="1" t="n">
        <v>46019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24673-2023</t>
        </is>
      </c>
      <c r="B804" s="1" t="n">
        <v>45084.49469907407</v>
      </c>
      <c r="C804" s="1" t="n">
        <v>46019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15171-2024</t>
        </is>
      </c>
      <c r="B805" s="1" t="n">
        <v>45400</v>
      </c>
      <c r="C805" s="1" t="n">
        <v>46019</v>
      </c>
      <c r="D805" t="inlineStr">
        <is>
          <t>JÖNKÖPINGS LÄN</t>
        </is>
      </c>
      <c r="E805" t="inlineStr">
        <is>
          <t>VETLANDA</t>
        </is>
      </c>
      <c r="F805" t="inlineStr">
        <is>
          <t>Kommuner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6278-2022</t>
        </is>
      </c>
      <c r="B806" s="1" t="n">
        <v>44600</v>
      </c>
      <c r="C806" s="1" t="n">
        <v>46019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6340-2022</t>
        </is>
      </c>
      <c r="B807" s="1" t="n">
        <v>44600.5731712963</v>
      </c>
      <c r="C807" s="1" t="n">
        <v>46019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5349-2024</t>
        </is>
      </c>
      <c r="B808" s="1" t="n">
        <v>45331.45001157407</v>
      </c>
      <c r="C808" s="1" t="n">
        <v>46019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5365-2024</t>
        </is>
      </c>
      <c r="B809" s="1" t="n">
        <v>45331.47140046296</v>
      </c>
      <c r="C809" s="1" t="n">
        <v>46019</v>
      </c>
      <c r="D809" t="inlineStr">
        <is>
          <t>JÖNKÖPINGS LÄN</t>
        </is>
      </c>
      <c r="E809" t="inlineStr">
        <is>
          <t>VETLANDA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53324-2023</t>
        </is>
      </c>
      <c r="B810" s="1" t="n">
        <v>45222</v>
      </c>
      <c r="C810" s="1" t="n">
        <v>46019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59246-2025</t>
        </is>
      </c>
      <c r="B811" s="1" t="n">
        <v>45988.64741898148</v>
      </c>
      <c r="C811" s="1" t="n">
        <v>46019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7824-2023</t>
        </is>
      </c>
      <c r="B812" s="1" t="n">
        <v>44970</v>
      </c>
      <c r="C812" s="1" t="n">
        <v>46019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1838-2025</t>
        </is>
      </c>
      <c r="B813" s="1" t="n">
        <v>45671.56422453704</v>
      </c>
      <c r="C813" s="1" t="n">
        <v>46019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20409-2024</t>
        </is>
      </c>
      <c r="B814" s="1" t="n">
        <v>45435</v>
      </c>
      <c r="C814" s="1" t="n">
        <v>46019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53472-2023</t>
        </is>
      </c>
      <c r="B815" s="1" t="n">
        <v>45230.33119212963</v>
      </c>
      <c r="C815" s="1" t="n">
        <v>46019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38275-2025</t>
        </is>
      </c>
      <c r="B816" s="1" t="n">
        <v>45883.40858796296</v>
      </c>
      <c r="C816" s="1" t="n">
        <v>46019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47888-2023</t>
        </is>
      </c>
      <c r="B817" s="1" t="n">
        <v>45204.48375</v>
      </c>
      <c r="C817" s="1" t="n">
        <v>46019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38280-2025</t>
        </is>
      </c>
      <c r="B818" s="1" t="n">
        <v>45882</v>
      </c>
      <c r="C818" s="1" t="n">
        <v>46019</v>
      </c>
      <c r="D818" t="inlineStr">
        <is>
          <t>JÖNKÖPINGS LÄN</t>
        </is>
      </c>
      <c r="E818" t="inlineStr">
        <is>
          <t>VETLANDA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23858-2024</t>
        </is>
      </c>
      <c r="B819" s="1" t="n">
        <v>45455</v>
      </c>
      <c r="C819" s="1" t="n">
        <v>46019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38213-2025</t>
        </is>
      </c>
      <c r="B820" s="1" t="n">
        <v>45882</v>
      </c>
      <c r="C820" s="1" t="n">
        <v>46019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38279-2025</t>
        </is>
      </c>
      <c r="B821" s="1" t="n">
        <v>45882</v>
      </c>
      <c r="C821" s="1" t="n">
        <v>46019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38269-2025</t>
        </is>
      </c>
      <c r="B822" s="1" t="n">
        <v>45883.40668981482</v>
      </c>
      <c r="C822" s="1" t="n">
        <v>46019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38274-2025</t>
        </is>
      </c>
      <c r="B823" s="1" t="n">
        <v>45882</v>
      </c>
      <c r="C823" s="1" t="n">
        <v>46019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41876-2024</t>
        </is>
      </c>
      <c r="B824" s="1" t="n">
        <v>45561</v>
      </c>
      <c r="C824" s="1" t="n">
        <v>46019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57808-2025</t>
        </is>
      </c>
      <c r="B825" s="1" t="n">
        <v>45981.59103009259</v>
      </c>
      <c r="C825" s="1" t="n">
        <v>46019</v>
      </c>
      <c r="D825" t="inlineStr">
        <is>
          <t>JÖNKÖPINGS LÄN</t>
        </is>
      </c>
      <c r="E825" t="inlineStr">
        <is>
          <t>VETLANDA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64851-2023</t>
        </is>
      </c>
      <c r="B826" s="1" t="n">
        <v>45282</v>
      </c>
      <c r="C826" s="1" t="n">
        <v>46019</v>
      </c>
      <c r="D826" t="inlineStr">
        <is>
          <t>JÖNKÖPINGS LÄN</t>
        </is>
      </c>
      <c r="E826" t="inlineStr">
        <is>
          <t>VETLANDA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38605-2025</t>
        </is>
      </c>
      <c r="B827" s="1" t="n">
        <v>45884.51107638889</v>
      </c>
      <c r="C827" s="1" t="n">
        <v>46019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57090-2023</t>
        </is>
      </c>
      <c r="B828" s="1" t="n">
        <v>45245.29518518518</v>
      </c>
      <c r="C828" s="1" t="n">
        <v>46019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59742-2025</t>
        </is>
      </c>
      <c r="B829" s="1" t="n">
        <v>45992.5750462963</v>
      </c>
      <c r="C829" s="1" t="n">
        <v>46019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59762-2025</t>
        </is>
      </c>
      <c r="B830" s="1" t="n">
        <v>45992.59366898148</v>
      </c>
      <c r="C830" s="1" t="n">
        <v>46019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44070-2021</t>
        </is>
      </c>
      <c r="B831" s="1" t="n">
        <v>44434.58464120371</v>
      </c>
      <c r="C831" s="1" t="n">
        <v>46019</v>
      </c>
      <c r="D831" t="inlineStr">
        <is>
          <t>JÖNKÖPINGS LÄN</t>
        </is>
      </c>
      <c r="E831" t="inlineStr">
        <is>
          <t>VETLANDA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57794-2024</t>
        </is>
      </c>
      <c r="B832" s="1" t="n">
        <v>45631.34063657407</v>
      </c>
      <c r="C832" s="1" t="n">
        <v>46019</v>
      </c>
      <c r="D832" t="inlineStr">
        <is>
          <t>JÖNKÖPINGS LÄN</t>
        </is>
      </c>
      <c r="E832" t="inlineStr">
        <is>
          <t>VETLANDA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58057-2023</t>
        </is>
      </c>
      <c r="B833" s="1" t="n">
        <v>45247</v>
      </c>
      <c r="C833" s="1" t="n">
        <v>46019</v>
      </c>
      <c r="D833" t="inlineStr">
        <is>
          <t>JÖNKÖPINGS LÄN</t>
        </is>
      </c>
      <c r="E833" t="inlineStr">
        <is>
          <t>VETLANDA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51365-2025</t>
        </is>
      </c>
      <c r="B834" s="1" t="n">
        <v>45950.44650462963</v>
      </c>
      <c r="C834" s="1" t="n">
        <v>46019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48006-2024</t>
        </is>
      </c>
      <c r="B835" s="1" t="n">
        <v>45589.45113425926</v>
      </c>
      <c r="C835" s="1" t="n">
        <v>46019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59746-2025</t>
        </is>
      </c>
      <c r="B836" s="1" t="n">
        <v>45992.57753472222</v>
      </c>
      <c r="C836" s="1" t="n">
        <v>46019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60384-2023</t>
        </is>
      </c>
      <c r="B837" s="1" t="n">
        <v>45259.42446759259</v>
      </c>
      <c r="C837" s="1" t="n">
        <v>46019</v>
      </c>
      <c r="D837" t="inlineStr">
        <is>
          <t>JÖNKÖPINGS LÄN</t>
        </is>
      </c>
      <c r="E837" t="inlineStr">
        <is>
          <t>VETLANDA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59733-2025</t>
        </is>
      </c>
      <c r="B838" s="1" t="n">
        <v>45992.571875</v>
      </c>
      <c r="C838" s="1" t="n">
        <v>46019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52320-2025</t>
        </is>
      </c>
      <c r="B839" s="1" t="n">
        <v>45953.66180555556</v>
      </c>
      <c r="C839" s="1" t="n">
        <v>46019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15826-2021</t>
        </is>
      </c>
      <c r="B840" s="1" t="n">
        <v>44286.64314814815</v>
      </c>
      <c r="C840" s="1" t="n">
        <v>46019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52327-2025</t>
        </is>
      </c>
      <c r="B841" s="1" t="n">
        <v>45953.67155092592</v>
      </c>
      <c r="C841" s="1" t="n">
        <v>46019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10938-2024</t>
        </is>
      </c>
      <c r="B842" s="1" t="n">
        <v>45370</v>
      </c>
      <c r="C842" s="1" t="n">
        <v>46019</v>
      </c>
      <c r="D842" t="inlineStr">
        <is>
          <t>JÖNKÖPINGS LÄN</t>
        </is>
      </c>
      <c r="E842" t="inlineStr">
        <is>
          <t>VETLANDA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59989-2024</t>
        </is>
      </c>
      <c r="B843" s="1" t="n">
        <v>45642.39471064815</v>
      </c>
      <c r="C843" s="1" t="n">
        <v>46019</v>
      </c>
      <c r="D843" t="inlineStr">
        <is>
          <t>JÖNKÖPINGS LÄN</t>
        </is>
      </c>
      <c r="E843" t="inlineStr">
        <is>
          <t>VETLANDA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51829-2025</t>
        </is>
      </c>
      <c r="B844" s="1" t="n">
        <v>45952.31357638889</v>
      </c>
      <c r="C844" s="1" t="n">
        <v>46019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3906-2024</t>
        </is>
      </c>
      <c r="B845" s="1" t="n">
        <v>45322.49210648148</v>
      </c>
      <c r="C845" s="1" t="n">
        <v>46019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17374-2023</t>
        </is>
      </c>
      <c r="B846" s="1" t="n">
        <v>45035</v>
      </c>
      <c r="C846" s="1" t="n">
        <v>46019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60349-2025</t>
        </is>
      </c>
      <c r="B847" s="1" t="n">
        <v>45995.28640046297</v>
      </c>
      <c r="C847" s="1" t="n">
        <v>46019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61285-2024</t>
        </is>
      </c>
      <c r="B848" s="1" t="n">
        <v>45645.80195601852</v>
      </c>
      <c r="C848" s="1" t="n">
        <v>46019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61293-2024</t>
        </is>
      </c>
      <c r="B849" s="1" t="n">
        <v>45645.82511574074</v>
      </c>
      <c r="C849" s="1" t="n">
        <v>46019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20542-2025</t>
        </is>
      </c>
      <c r="B850" s="1" t="n">
        <v>45775</v>
      </c>
      <c r="C850" s="1" t="n">
        <v>46019</v>
      </c>
      <c r="D850" t="inlineStr">
        <is>
          <t>JÖNKÖPINGS LÄN</t>
        </is>
      </c>
      <c r="E850" t="inlineStr">
        <is>
          <t>VETLANDA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38807-2025</t>
        </is>
      </c>
      <c r="B851" s="1" t="n">
        <v>45887.4730324074</v>
      </c>
      <c r="C851" s="1" t="n">
        <v>46019</v>
      </c>
      <c r="D851" t="inlineStr">
        <is>
          <t>JÖNKÖPINGS LÄN</t>
        </is>
      </c>
      <c r="E851" t="inlineStr">
        <is>
          <t>VETLANDA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23379-2023</t>
        </is>
      </c>
      <c r="B852" s="1" t="n">
        <v>45076</v>
      </c>
      <c r="C852" s="1" t="n">
        <v>46019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13635-2023</t>
        </is>
      </c>
      <c r="B853" s="1" t="n">
        <v>45006.63824074074</v>
      </c>
      <c r="C853" s="1" t="n">
        <v>46019</v>
      </c>
      <c r="D853" t="inlineStr">
        <is>
          <t>JÖNKÖPINGS LÄN</t>
        </is>
      </c>
      <c r="E853" t="inlineStr">
        <is>
          <t>VETLANDA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60436-2025</t>
        </is>
      </c>
      <c r="B854" s="1" t="n">
        <v>45995.48155092593</v>
      </c>
      <c r="C854" s="1" t="n">
        <v>46019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52301-2025</t>
        </is>
      </c>
      <c r="B855" s="1" t="n">
        <v>45953.61858796296</v>
      </c>
      <c r="C855" s="1" t="n">
        <v>46019</v>
      </c>
      <c r="D855" t="inlineStr">
        <is>
          <t>JÖNKÖPINGS LÄN</t>
        </is>
      </c>
      <c r="E855" t="inlineStr">
        <is>
          <t>VETLANDA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51831-2025</t>
        </is>
      </c>
      <c r="B856" s="1" t="n">
        <v>45952.31704861111</v>
      </c>
      <c r="C856" s="1" t="n">
        <v>46019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2672-2022</t>
        </is>
      </c>
      <c r="B857" s="1" t="n">
        <v>44580.57619212963</v>
      </c>
      <c r="C857" s="1" t="n">
        <v>46019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52323-2025</t>
        </is>
      </c>
      <c r="B858" s="1" t="n">
        <v>45953.66633101852</v>
      </c>
      <c r="C858" s="1" t="n">
        <v>46019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25555-2023</t>
        </is>
      </c>
      <c r="B859" s="1" t="n">
        <v>45089.59394675926</v>
      </c>
      <c r="C859" s="1" t="n">
        <v>46019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60451-2025</t>
        </is>
      </c>
      <c r="B860" s="1" t="n">
        <v>45995.50506944444</v>
      </c>
      <c r="C860" s="1" t="n">
        <v>46019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52173-2024</t>
        </is>
      </c>
      <c r="B861" s="1" t="n">
        <v>45608.54987268519</v>
      </c>
      <c r="C861" s="1" t="n">
        <v>46019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50695-2021</t>
        </is>
      </c>
      <c r="B862" s="1" t="n">
        <v>44459</v>
      </c>
      <c r="C862" s="1" t="n">
        <v>46019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1953-2025</t>
        </is>
      </c>
      <c r="B863" s="1" t="n">
        <v>45672.34994212963</v>
      </c>
      <c r="C863" s="1" t="n">
        <v>46019</v>
      </c>
      <c r="D863" t="inlineStr">
        <is>
          <t>JÖNKÖPINGS LÄN</t>
        </is>
      </c>
      <c r="E863" t="inlineStr">
        <is>
          <t>VETLANDA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HYPERLINK("https://klasma.github.io/Logging_0685/knärot/A 1953-2025 karta knärot.png", "A 1953-2025")</f>
        <v/>
      </c>
      <c r="V863">
        <f>HYPERLINK("https://klasma.github.io/Logging_0685/klagomål/A 1953-2025 FSC-klagomål.docx", "A 1953-2025")</f>
        <v/>
      </c>
      <c r="W863">
        <f>HYPERLINK("https://klasma.github.io/Logging_0685/klagomålsmail/A 1953-2025 FSC-klagomål mail.docx", "A 1953-2025")</f>
        <v/>
      </c>
      <c r="X863">
        <f>HYPERLINK("https://klasma.github.io/Logging_0685/tillsyn/A 1953-2025 tillsynsbegäran.docx", "A 1953-2025")</f>
        <v/>
      </c>
      <c r="Y863">
        <f>HYPERLINK("https://klasma.github.io/Logging_0685/tillsynsmail/A 1953-2025 tillsynsbegäran mail.docx", "A 1953-2025")</f>
        <v/>
      </c>
    </row>
    <row r="864" ht="15" customHeight="1">
      <c r="A864" t="inlineStr">
        <is>
          <t>A 53736-2024</t>
        </is>
      </c>
      <c r="B864" s="1" t="n">
        <v>45615.46576388889</v>
      </c>
      <c r="C864" s="1" t="n">
        <v>46019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60954-2025</t>
        </is>
      </c>
      <c r="B865" s="1" t="n">
        <v>45999.65498842593</v>
      </c>
      <c r="C865" s="1" t="n">
        <v>46019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36768-2024</t>
        </is>
      </c>
      <c r="B866" s="1" t="n">
        <v>45538.37537037037</v>
      </c>
      <c r="C866" s="1" t="n">
        <v>46019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36751-2021</t>
        </is>
      </c>
      <c r="B867" s="1" t="n">
        <v>44392.6381712963</v>
      </c>
      <c r="C867" s="1" t="n">
        <v>46019</v>
      </c>
      <c r="D867" t="inlineStr">
        <is>
          <t>JÖNKÖPINGS LÄN</t>
        </is>
      </c>
      <c r="E867" t="inlineStr">
        <is>
          <t>VETLANDA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60964-2025</t>
        </is>
      </c>
      <c r="B868" s="1" t="n">
        <v>45999.66931712963</v>
      </c>
      <c r="C868" s="1" t="n">
        <v>46019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60925-2025</t>
        </is>
      </c>
      <c r="B869" s="1" t="n">
        <v>45999.62831018519</v>
      </c>
      <c r="C869" s="1" t="n">
        <v>46019</v>
      </c>
      <c r="D869" t="inlineStr">
        <is>
          <t>JÖNKÖPINGS LÄN</t>
        </is>
      </c>
      <c r="E869" t="inlineStr">
        <is>
          <t>VETLANDA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482-2024</t>
        </is>
      </c>
      <c r="B870" s="1" t="n">
        <v>45298</v>
      </c>
      <c r="C870" s="1" t="n">
        <v>46019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52720-2025</t>
        </is>
      </c>
      <c r="B871" s="1" t="n">
        <v>45957.33331018518</v>
      </c>
      <c r="C871" s="1" t="n">
        <v>46019</v>
      </c>
      <c r="D871" t="inlineStr">
        <is>
          <t>JÖNKÖPINGS LÄN</t>
        </is>
      </c>
      <c r="E871" t="inlineStr">
        <is>
          <t>VETLANDA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11524-2024</t>
        </is>
      </c>
      <c r="B872" s="1" t="n">
        <v>45372.87263888889</v>
      </c>
      <c r="C872" s="1" t="n">
        <v>46019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60921-2025</t>
        </is>
      </c>
      <c r="B873" s="1" t="n">
        <v>45999.62260416667</v>
      </c>
      <c r="C873" s="1" t="n">
        <v>46019</v>
      </c>
      <c r="D873" t="inlineStr">
        <is>
          <t>JÖNKÖPINGS LÄN</t>
        </is>
      </c>
      <c r="E873" t="inlineStr">
        <is>
          <t>VETLANDA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23375-2023</t>
        </is>
      </c>
      <c r="B874" s="1" t="n">
        <v>45076.44001157407</v>
      </c>
      <c r="C874" s="1" t="n">
        <v>46019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54508-2021</t>
        </is>
      </c>
      <c r="B875" s="1" t="n">
        <v>44473.51526620371</v>
      </c>
      <c r="C875" s="1" t="n">
        <v>46019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40615-2023</t>
        </is>
      </c>
      <c r="B876" s="1" t="n">
        <v>45170.51591435185</v>
      </c>
      <c r="C876" s="1" t="n">
        <v>46019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60990-2025</t>
        </is>
      </c>
      <c r="B877" s="1" t="n">
        <v>45999.72486111111</v>
      </c>
      <c r="C877" s="1" t="n">
        <v>46019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52826-2025</t>
        </is>
      </c>
      <c r="B878" s="1" t="n">
        <v>45957.46925925926</v>
      </c>
      <c r="C878" s="1" t="n">
        <v>46019</v>
      </c>
      <c r="D878" t="inlineStr">
        <is>
          <t>JÖNKÖPINGS LÄN</t>
        </is>
      </c>
      <c r="E878" t="inlineStr">
        <is>
          <t>VETLANDA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60995-2025</t>
        </is>
      </c>
      <c r="B879" s="1" t="n">
        <v>45999.74438657407</v>
      </c>
      <c r="C879" s="1" t="n">
        <v>46019</v>
      </c>
      <c r="D879" t="inlineStr">
        <is>
          <t>JÖNKÖPINGS LÄN</t>
        </is>
      </c>
      <c r="E879" t="inlineStr">
        <is>
          <t>VETLANDA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60997-2025</t>
        </is>
      </c>
      <c r="B880" s="1" t="n">
        <v>45999.74611111111</v>
      </c>
      <c r="C880" s="1" t="n">
        <v>46019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7044-2025</t>
        </is>
      </c>
      <c r="B881" s="1" t="n">
        <v>45701.64112268519</v>
      </c>
      <c r="C881" s="1" t="n">
        <v>46019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15398-2024</t>
        </is>
      </c>
      <c r="B882" s="1" t="n">
        <v>45401.32675925926</v>
      </c>
      <c r="C882" s="1" t="n">
        <v>46019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60958-2025</t>
        </is>
      </c>
      <c r="B883" s="1" t="n">
        <v>45999.6591550926</v>
      </c>
      <c r="C883" s="1" t="n">
        <v>46019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7509-2022</t>
        </is>
      </c>
      <c r="B884" s="1" t="n">
        <v>44607</v>
      </c>
      <c r="C884" s="1" t="n">
        <v>46019</v>
      </c>
      <c r="D884" t="inlineStr">
        <is>
          <t>JÖNKÖPINGS LÄN</t>
        </is>
      </c>
      <c r="E884" t="inlineStr">
        <is>
          <t>VETLANDA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59759-2025</t>
        </is>
      </c>
      <c r="B885" s="1" t="n">
        <v>45992.59141203704</v>
      </c>
      <c r="C885" s="1" t="n">
        <v>46019</v>
      </c>
      <c r="D885" t="inlineStr">
        <is>
          <t>JÖNKÖPINGS LÄN</t>
        </is>
      </c>
      <c r="E885" t="inlineStr">
        <is>
          <t>VETLANDA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43615-2022</t>
        </is>
      </c>
      <c r="B886" s="1" t="n">
        <v>44837.50092592592</v>
      </c>
      <c r="C886" s="1" t="n">
        <v>46019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64383-2021</t>
        </is>
      </c>
      <c r="B887" s="1" t="n">
        <v>44511.41467592592</v>
      </c>
      <c r="C887" s="1" t="n">
        <v>46019</v>
      </c>
      <c r="D887" t="inlineStr">
        <is>
          <t>JÖNKÖPINGS LÄN</t>
        </is>
      </c>
      <c r="E887" t="inlineStr">
        <is>
          <t>VETLANDA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25470-2023</t>
        </is>
      </c>
      <c r="B888" s="1" t="n">
        <v>45089.45631944444</v>
      </c>
      <c r="C888" s="1" t="n">
        <v>46019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632-2025</t>
        </is>
      </c>
      <c r="B889" s="1" t="n">
        <v>45660</v>
      </c>
      <c r="C889" s="1" t="n">
        <v>46019</v>
      </c>
      <c r="D889" t="inlineStr">
        <is>
          <t>JÖNKÖPINGS LÄN</t>
        </is>
      </c>
      <c r="E889" t="inlineStr">
        <is>
          <t>VETLANDA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21916-2024</t>
        </is>
      </c>
      <c r="B890" s="1" t="n">
        <v>45443.44555555555</v>
      </c>
      <c r="C890" s="1" t="n">
        <v>46019</v>
      </c>
      <c r="D890" t="inlineStr">
        <is>
          <t>JÖNKÖPINGS LÄN</t>
        </is>
      </c>
      <c r="E890" t="inlineStr">
        <is>
          <t>VETLANDA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56214-2023</t>
        </is>
      </c>
      <c r="B891" s="1" t="n">
        <v>45240</v>
      </c>
      <c r="C891" s="1" t="n">
        <v>46019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39868-2023</t>
        </is>
      </c>
      <c r="B892" s="1" t="n">
        <v>45168.39784722222</v>
      </c>
      <c r="C892" s="1" t="n">
        <v>46019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61483-2025</t>
        </is>
      </c>
      <c r="B893" s="1" t="n">
        <v>46001.634375</v>
      </c>
      <c r="C893" s="1" t="n">
        <v>46019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3790-2024</t>
        </is>
      </c>
      <c r="B894" s="1" t="n">
        <v>45321.61387731481</v>
      </c>
      <c r="C894" s="1" t="n">
        <v>46019</v>
      </c>
      <c r="D894" t="inlineStr">
        <is>
          <t>JÖNKÖPINGS LÄN</t>
        </is>
      </c>
      <c r="E894" t="inlineStr">
        <is>
          <t>VETLANDA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30222-2021</t>
        </is>
      </c>
      <c r="B895" s="1" t="n">
        <v>44363</v>
      </c>
      <c r="C895" s="1" t="n">
        <v>46019</v>
      </c>
      <c r="D895" t="inlineStr">
        <is>
          <t>JÖNKÖPINGS LÄN</t>
        </is>
      </c>
      <c r="E895" t="inlineStr">
        <is>
          <t>VETLANDA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54002-2021</t>
        </is>
      </c>
      <c r="B896" s="1" t="n">
        <v>44470.34038194444</v>
      </c>
      <c r="C896" s="1" t="n">
        <v>46019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12223-2023</t>
        </is>
      </c>
      <c r="B897" s="1" t="n">
        <v>44998</v>
      </c>
      <c r="C897" s="1" t="n">
        <v>46019</v>
      </c>
      <c r="D897" t="inlineStr">
        <is>
          <t>JÖNKÖPINGS LÄN</t>
        </is>
      </c>
      <c r="E897" t="inlineStr">
        <is>
          <t>VETLANDA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38964-2023</t>
        </is>
      </c>
      <c r="B898" s="1" t="n">
        <v>45163.63111111111</v>
      </c>
      <c r="C898" s="1" t="n">
        <v>46019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64240-2021</t>
        </is>
      </c>
      <c r="B899" s="1" t="n">
        <v>44510</v>
      </c>
      <c r="C899" s="1" t="n">
        <v>46019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49420-2023</t>
        </is>
      </c>
      <c r="B900" s="1" t="n">
        <v>45211.45560185185</v>
      </c>
      <c r="C900" s="1" t="n">
        <v>46019</v>
      </c>
      <c r="D900" t="inlineStr">
        <is>
          <t>JÖNKÖPINGS LÄN</t>
        </is>
      </c>
      <c r="E900" t="inlineStr">
        <is>
          <t>VETLANDA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17234-2024</t>
        </is>
      </c>
      <c r="B901" s="1" t="n">
        <v>45414.37135416667</v>
      </c>
      <c r="C901" s="1" t="n">
        <v>46019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56909-2022</t>
        </is>
      </c>
      <c r="B902" s="1" t="n">
        <v>44894</v>
      </c>
      <c r="C902" s="1" t="n">
        <v>46019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33416-2024</t>
        </is>
      </c>
      <c r="B903" s="1" t="n">
        <v>45519.49717592593</v>
      </c>
      <c r="C903" s="1" t="n">
        <v>46019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2815-2024</t>
        </is>
      </c>
      <c r="B904" s="1" t="n">
        <v>45314.72010416666</v>
      </c>
      <c r="C904" s="1" t="n">
        <v>46019</v>
      </c>
      <c r="D904" t="inlineStr">
        <is>
          <t>JÖNKÖPINGS LÄN</t>
        </is>
      </c>
      <c r="E904" t="inlineStr">
        <is>
          <t>VETLANDA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19953-2024</t>
        </is>
      </c>
      <c r="B905" s="1" t="n">
        <v>45433.62693287037</v>
      </c>
      <c r="C905" s="1" t="n">
        <v>46019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27437-2023</t>
        </is>
      </c>
      <c r="B906" s="1" t="n">
        <v>45097.393125</v>
      </c>
      <c r="C906" s="1" t="n">
        <v>46019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22715-2024</t>
        </is>
      </c>
      <c r="B907" s="1" t="n">
        <v>45448.36170138889</v>
      </c>
      <c r="C907" s="1" t="n">
        <v>46019</v>
      </c>
      <c r="D907" t="inlineStr">
        <is>
          <t>JÖNKÖPINGS LÄN</t>
        </is>
      </c>
      <c r="E907" t="inlineStr">
        <is>
          <t>VETLANDA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5148-2025</t>
        </is>
      </c>
      <c r="B908" s="1" t="n">
        <v>45691.59204861111</v>
      </c>
      <c r="C908" s="1" t="n">
        <v>46019</v>
      </c>
      <c r="D908" t="inlineStr">
        <is>
          <t>JÖNKÖPINGS LÄN</t>
        </is>
      </c>
      <c r="E908" t="inlineStr">
        <is>
          <t>VETLANDA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53743-2025</t>
        </is>
      </c>
      <c r="B909" s="1" t="n">
        <v>45960.64703703704</v>
      </c>
      <c r="C909" s="1" t="n">
        <v>46019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61291-2024</t>
        </is>
      </c>
      <c r="B910" s="1" t="n">
        <v>45645.81938657408</v>
      </c>
      <c r="C910" s="1" t="n">
        <v>46019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61292-2024</t>
        </is>
      </c>
      <c r="B911" s="1" t="n">
        <v>45645.82078703704</v>
      </c>
      <c r="C911" s="1" t="n">
        <v>46019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53738-2025</t>
        </is>
      </c>
      <c r="B912" s="1" t="n">
        <v>45960.6453587963</v>
      </c>
      <c r="C912" s="1" t="n">
        <v>46019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61806-2025</t>
        </is>
      </c>
      <c r="B913" s="1" t="n">
        <v>46002.73092592593</v>
      </c>
      <c r="C913" s="1" t="n">
        <v>46019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60607-2024</t>
        </is>
      </c>
      <c r="B914" s="1" t="n">
        <v>45644.38033564815</v>
      </c>
      <c r="C914" s="1" t="n">
        <v>46019</v>
      </c>
      <c r="D914" t="inlineStr">
        <is>
          <t>JÖNKÖPINGS LÄN</t>
        </is>
      </c>
      <c r="E914" t="inlineStr">
        <is>
          <t>VETLANDA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61721-2024</t>
        </is>
      </c>
      <c r="B915" s="1" t="n">
        <v>45649.29796296296</v>
      </c>
      <c r="C915" s="1" t="n">
        <v>46019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61805-2025</t>
        </is>
      </c>
      <c r="B916" s="1" t="n">
        <v>46002.7297800926</v>
      </c>
      <c r="C916" s="1" t="n">
        <v>46019</v>
      </c>
      <c r="D916" t="inlineStr">
        <is>
          <t>JÖNKÖPINGS LÄN</t>
        </is>
      </c>
      <c r="E916" t="inlineStr">
        <is>
          <t>VETLANDA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46531-2024</t>
        </is>
      </c>
      <c r="B917" s="1" t="n">
        <v>45582.63793981481</v>
      </c>
      <c r="C917" s="1" t="n">
        <v>46019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31463-2023</t>
        </is>
      </c>
      <c r="B918" s="1" t="n">
        <v>45114</v>
      </c>
      <c r="C918" s="1" t="n">
        <v>46019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48207-2022</t>
        </is>
      </c>
      <c r="B919" s="1" t="n">
        <v>44858.42417824074</v>
      </c>
      <c r="C919" s="1" t="n">
        <v>46019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54238-2025</t>
        </is>
      </c>
      <c r="B920" s="1" t="n">
        <v>45964.62707175926</v>
      </c>
      <c r="C920" s="1" t="n">
        <v>46019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54406-2025</t>
        </is>
      </c>
      <c r="B921" s="1" t="n">
        <v>45965.45693287037</v>
      </c>
      <c r="C921" s="1" t="n">
        <v>46019</v>
      </c>
      <c r="D921" t="inlineStr">
        <is>
          <t>JÖNKÖPINGS LÄN</t>
        </is>
      </c>
      <c r="E921" t="inlineStr">
        <is>
          <t>VETLANDA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38155-2024</t>
        </is>
      </c>
      <c r="B922" s="1" t="n">
        <v>45545.44009259259</v>
      </c>
      <c r="C922" s="1" t="n">
        <v>46019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54210-2025</t>
        </is>
      </c>
      <c r="B923" s="1" t="n">
        <v>45964.59115740741</v>
      </c>
      <c r="C923" s="1" t="n">
        <v>46019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62584-2025</t>
        </is>
      </c>
      <c r="B924" s="1" t="n">
        <v>46007.83997685185</v>
      </c>
      <c r="C924" s="1" t="n">
        <v>46019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62027-2025</t>
        </is>
      </c>
      <c r="B925" s="1" t="n">
        <v>46003</v>
      </c>
      <c r="C925" s="1" t="n">
        <v>46019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58432-2023</t>
        </is>
      </c>
      <c r="B926" s="1" t="n">
        <v>45250.815</v>
      </c>
      <c r="C926" s="1" t="n">
        <v>46019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52201-2023</t>
        </is>
      </c>
      <c r="B927" s="1" t="n">
        <v>45224.41164351852</v>
      </c>
      <c r="C927" s="1" t="n">
        <v>46019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54309-2025</t>
        </is>
      </c>
      <c r="B928" s="1" t="n">
        <v>45965.30868055556</v>
      </c>
      <c r="C928" s="1" t="n">
        <v>46019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54525-2025</t>
        </is>
      </c>
      <c r="B929" s="1" t="n">
        <v>45965.63142361111</v>
      </c>
      <c r="C929" s="1" t="n">
        <v>46019</v>
      </c>
      <c r="D929" t="inlineStr">
        <is>
          <t>JÖNKÖPINGS LÄN</t>
        </is>
      </c>
      <c r="E929" t="inlineStr">
        <is>
          <t>VETLANDA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61290-2024</t>
        </is>
      </c>
      <c r="B930" s="1" t="n">
        <v>45645.81774305556</v>
      </c>
      <c r="C930" s="1" t="n">
        <v>46019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62582-2025</t>
        </is>
      </c>
      <c r="B931" s="1" t="n">
        <v>46007.83314814815</v>
      </c>
      <c r="C931" s="1" t="n">
        <v>46019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35756-2024</t>
        </is>
      </c>
      <c r="B932" s="1" t="n">
        <v>45532.56739583334</v>
      </c>
      <c r="C932" s="1" t="n">
        <v>46019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62420-2025</t>
        </is>
      </c>
      <c r="B933" s="1" t="n">
        <v>46007.44738425926</v>
      </c>
      <c r="C933" s="1" t="n">
        <v>46019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18514-2025</t>
        </is>
      </c>
      <c r="B934" s="1" t="n">
        <v>45763.38681712963</v>
      </c>
      <c r="C934" s="1" t="n">
        <v>46019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1958-2025</t>
        </is>
      </c>
      <c r="B935" s="1" t="n">
        <v>45672.35665509259</v>
      </c>
      <c r="C935" s="1" t="n">
        <v>46019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61201-2023</t>
        </is>
      </c>
      <c r="B936" s="1" t="n">
        <v>45264.37290509259</v>
      </c>
      <c r="C936" s="1" t="n">
        <v>46019</v>
      </c>
      <c r="D936" t="inlineStr">
        <is>
          <t>JÖNKÖPINGS LÄN</t>
        </is>
      </c>
      <c r="E936" t="inlineStr">
        <is>
          <t>VETLANDA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51590-2021</t>
        </is>
      </c>
      <c r="B937" s="1" t="n">
        <v>44462</v>
      </c>
      <c r="C937" s="1" t="n">
        <v>46019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62324-2025</t>
        </is>
      </c>
      <c r="B938" s="1" t="n">
        <v>46006.71462962963</v>
      </c>
      <c r="C938" s="1" t="n">
        <v>46019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63028-2025</t>
        </is>
      </c>
      <c r="B939" s="1" t="n">
        <v>46009.59636574074</v>
      </c>
      <c r="C939" s="1" t="n">
        <v>46019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34493-2024</t>
        </is>
      </c>
      <c r="B940" s="1" t="n">
        <v>45525.62247685185</v>
      </c>
      <c r="C940" s="1" t="n">
        <v>46019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6383-2023</t>
        </is>
      </c>
      <c r="B941" s="1" t="n">
        <v>44965.63684027778</v>
      </c>
      <c r="C941" s="1" t="n">
        <v>46019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603-2023</t>
        </is>
      </c>
      <c r="B942" s="1" t="n">
        <v>44926</v>
      </c>
      <c r="C942" s="1" t="n">
        <v>46019</v>
      </c>
      <c r="D942" t="inlineStr">
        <is>
          <t>JÖNKÖPINGS LÄN</t>
        </is>
      </c>
      <c r="E942" t="inlineStr">
        <is>
          <t>VETLANDA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606-2023</t>
        </is>
      </c>
      <c r="B943" s="1" t="n">
        <v>44926</v>
      </c>
      <c r="C943" s="1" t="n">
        <v>46019</v>
      </c>
      <c r="D943" t="inlineStr">
        <is>
          <t>JÖNKÖPINGS LÄN</t>
        </is>
      </c>
      <c r="E943" t="inlineStr">
        <is>
          <t>VETLANDA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15400-2024</t>
        </is>
      </c>
      <c r="B944" s="1" t="n">
        <v>45401.33418981481</v>
      </c>
      <c r="C944" s="1" t="n">
        <v>46019</v>
      </c>
      <c r="D944" t="inlineStr">
        <is>
          <t>JÖNKÖPINGS LÄN</t>
        </is>
      </c>
      <c r="E944" t="inlineStr">
        <is>
          <t>VETLANDA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19852-2021</t>
        </is>
      </c>
      <c r="B945" s="1" t="n">
        <v>44309</v>
      </c>
      <c r="C945" s="1" t="n">
        <v>46019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5379-2025</t>
        </is>
      </c>
      <c r="B946" s="1" t="n">
        <v>45692.60449074074</v>
      </c>
      <c r="C946" s="1" t="n">
        <v>46019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14113-2024</t>
        </is>
      </c>
      <c r="B947" s="1" t="n">
        <v>45392.63688657407</v>
      </c>
      <c r="C947" s="1" t="n">
        <v>46019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62886-2025</t>
        </is>
      </c>
      <c r="B948" s="1" t="n">
        <v>46009.3022337963</v>
      </c>
      <c r="C948" s="1" t="n">
        <v>46019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62884-2025</t>
        </is>
      </c>
      <c r="B949" s="1" t="n">
        <v>46009.29819444445</v>
      </c>
      <c r="C949" s="1" t="n">
        <v>46019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14435-2024</t>
        </is>
      </c>
      <c r="B950" s="1" t="n">
        <v>45394</v>
      </c>
      <c r="C950" s="1" t="n">
        <v>46019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62885-2025</t>
        </is>
      </c>
      <c r="B951" s="1" t="n">
        <v>46009.3007175926</v>
      </c>
      <c r="C951" s="1" t="n">
        <v>46019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6830-2022</t>
        </is>
      </c>
      <c r="B952" s="1" t="n">
        <v>44602</v>
      </c>
      <c r="C952" s="1" t="n">
        <v>46019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63012-2025</t>
        </is>
      </c>
      <c r="B953" s="1" t="n">
        <v>46009.5819212963</v>
      </c>
      <c r="C953" s="1" t="n">
        <v>46019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63070-2025</t>
        </is>
      </c>
      <c r="B954" s="1" t="n">
        <v>46009.65798611111</v>
      </c>
      <c r="C954" s="1" t="n">
        <v>46019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63032-2025</t>
        </is>
      </c>
      <c r="B955" s="1" t="n">
        <v>46009.60398148148</v>
      </c>
      <c r="C955" s="1" t="n">
        <v>46019</v>
      </c>
      <c r="D955" t="inlineStr">
        <is>
          <t>JÖNKÖPINGS LÄN</t>
        </is>
      </c>
      <c r="E955" t="inlineStr">
        <is>
          <t>VETLANDA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13756-2023</t>
        </is>
      </c>
      <c r="B956" s="1" t="n">
        <v>45007</v>
      </c>
      <c r="C956" s="1" t="n">
        <v>46019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44217-2021</t>
        </is>
      </c>
      <c r="B957" s="1" t="n">
        <v>44434.87822916666</v>
      </c>
      <c r="C957" s="1" t="n">
        <v>46019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44266-2021</t>
        </is>
      </c>
      <c r="B958" s="1" t="n">
        <v>44434</v>
      </c>
      <c r="C958" s="1" t="n">
        <v>46019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62595-2025</t>
        </is>
      </c>
      <c r="B959" s="1" t="n">
        <v>46007.91614583333</v>
      </c>
      <c r="C959" s="1" t="n">
        <v>46019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43437-2024</t>
        </is>
      </c>
      <c r="B960" s="1" t="n">
        <v>45568</v>
      </c>
      <c r="C960" s="1" t="n">
        <v>46019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63081-2025</t>
        </is>
      </c>
      <c r="B961" s="1" t="n">
        <v>46009.66805555556</v>
      </c>
      <c r="C961" s="1" t="n">
        <v>46019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471-2024</t>
        </is>
      </c>
      <c r="B962" s="1" t="n">
        <v>45297.71375</v>
      </c>
      <c r="C962" s="1" t="n">
        <v>46019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54905-2023</t>
        </is>
      </c>
      <c r="B963" s="1" t="n">
        <v>45236.65589120371</v>
      </c>
      <c r="C963" s="1" t="n">
        <v>46019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56414-2024</t>
        </is>
      </c>
      <c r="B964" s="1" t="n">
        <v>45625</v>
      </c>
      <c r="C964" s="1" t="n">
        <v>46019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9699-2021</t>
        </is>
      </c>
      <c r="B965" s="1" t="n">
        <v>44252.44100694444</v>
      </c>
      <c r="C965" s="1" t="n">
        <v>46019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55398-2025</t>
        </is>
      </c>
      <c r="B966" s="1" t="n">
        <v>45971</v>
      </c>
      <c r="C966" s="1" t="n">
        <v>46019</v>
      </c>
      <c r="D966" t="inlineStr">
        <is>
          <t>JÖNKÖPINGS LÄN</t>
        </is>
      </c>
      <c r="E966" t="inlineStr">
        <is>
          <t>VETLANDA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19802-2025</t>
        </is>
      </c>
      <c r="B967" s="1" t="n">
        <v>45771.4515625</v>
      </c>
      <c r="C967" s="1" t="n">
        <v>46019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19806-2025</t>
        </is>
      </c>
      <c r="B968" s="1" t="n">
        <v>45771.45429398148</v>
      </c>
      <c r="C968" s="1" t="n">
        <v>46019</v>
      </c>
      <c r="D968" t="inlineStr">
        <is>
          <t>JÖNKÖPINGS LÄN</t>
        </is>
      </c>
      <c r="E968" t="inlineStr">
        <is>
          <t>VETLANDA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29207-2023</t>
        </is>
      </c>
      <c r="B969" s="1" t="n">
        <v>45105</v>
      </c>
      <c r="C969" s="1" t="n">
        <v>46019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48751-2022</t>
        </is>
      </c>
      <c r="B970" s="1" t="n">
        <v>44859.57034722222</v>
      </c>
      <c r="C970" s="1" t="n">
        <v>46019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36630-2023</t>
        </is>
      </c>
      <c r="B971" s="1" t="n">
        <v>45153.53380787037</v>
      </c>
      <c r="C971" s="1" t="n">
        <v>46019</v>
      </c>
      <c r="D971" t="inlineStr">
        <is>
          <t>JÖNKÖPINGS LÄN</t>
        </is>
      </c>
      <c r="E971" t="inlineStr">
        <is>
          <t>VETLANDA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63143-2025</t>
        </is>
      </c>
      <c r="B972" s="1" t="n">
        <v>46010.3465625</v>
      </c>
      <c r="C972" s="1" t="n">
        <v>46019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63136-2025</t>
        </is>
      </c>
      <c r="B973" s="1" t="n">
        <v>46010.32392361111</v>
      </c>
      <c r="C973" s="1" t="n">
        <v>46019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2496-2025</t>
        </is>
      </c>
      <c r="B974" s="1" t="n">
        <v>45674.5233912037</v>
      </c>
      <c r="C974" s="1" t="n">
        <v>46019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55467-2025</t>
        </is>
      </c>
      <c r="B975" s="1" t="n">
        <v>45971</v>
      </c>
      <c r="C975" s="1" t="n">
        <v>46019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55697-2025</t>
        </is>
      </c>
      <c r="B976" s="1" t="n">
        <v>45972</v>
      </c>
      <c r="C976" s="1" t="n">
        <v>46019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55698-2025</t>
        </is>
      </c>
      <c r="B977" s="1" t="n">
        <v>45972</v>
      </c>
      <c r="C977" s="1" t="n">
        <v>46019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55821-2025</t>
        </is>
      </c>
      <c r="B978" s="1" t="n">
        <v>45972.74189814815</v>
      </c>
      <c r="C978" s="1" t="n">
        <v>46019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63675-2025</t>
        </is>
      </c>
      <c r="B979" s="1" t="n">
        <v>46014.4868287037</v>
      </c>
      <c r="C979" s="1" t="n">
        <v>46019</v>
      </c>
      <c r="D979" t="inlineStr">
        <is>
          <t>JÖNKÖPINGS LÄN</t>
        </is>
      </c>
      <c r="E979" t="inlineStr">
        <is>
          <t>VETLANDA</t>
        </is>
      </c>
      <c r="F979" t="inlineStr">
        <is>
          <t>Övriga Aktiebolag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55802-2025</t>
        </is>
      </c>
      <c r="B980" s="1" t="n">
        <v>45972.67175925926</v>
      </c>
      <c r="C980" s="1" t="n">
        <v>46019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57071-2021</t>
        </is>
      </c>
      <c r="B981" s="1" t="n">
        <v>44481</v>
      </c>
      <c r="C981" s="1" t="n">
        <v>46019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6321-2021</t>
        </is>
      </c>
      <c r="B982" s="1" t="n">
        <v>44235</v>
      </c>
      <c r="C982" s="1" t="n">
        <v>46019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59301-2025</t>
        </is>
      </c>
      <c r="B983" s="1" t="n">
        <v>45988</v>
      </c>
      <c r="C983" s="1" t="n">
        <v>46019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56254-2025</t>
        </is>
      </c>
      <c r="B984" s="1" t="n">
        <v>45974.56275462963</v>
      </c>
      <c r="C984" s="1" t="n">
        <v>46019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56592-2025</t>
        </is>
      </c>
      <c r="B985" s="1" t="n">
        <v>45975</v>
      </c>
      <c r="C985" s="1" t="n">
        <v>46019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56181-2025</t>
        </is>
      </c>
      <c r="B986" s="1" t="n">
        <v>45974.40879629629</v>
      </c>
      <c r="C986" s="1" t="n">
        <v>46019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14674-2022</t>
        </is>
      </c>
      <c r="B987" s="1" t="n">
        <v>44655</v>
      </c>
      <c r="C987" s="1" t="n">
        <v>46019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7833-2023</t>
        </is>
      </c>
      <c r="B988" s="1" t="n">
        <v>44970</v>
      </c>
      <c r="C988" s="1" t="n">
        <v>46019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4964-2024</t>
        </is>
      </c>
      <c r="B989" s="1" t="n">
        <v>45329</v>
      </c>
      <c r="C989" s="1" t="n">
        <v>46019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46143-2022</t>
        </is>
      </c>
      <c r="B990" s="1" t="n">
        <v>44847.45596064815</v>
      </c>
      <c r="C990" s="1" t="n">
        <v>46019</v>
      </c>
      <c r="D990" t="inlineStr">
        <is>
          <t>JÖNKÖPINGS LÄN</t>
        </is>
      </c>
      <c r="E990" t="inlineStr">
        <is>
          <t>VETLANDA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18508-2025</t>
        </is>
      </c>
      <c r="B991" s="1" t="n">
        <v>45763.37837962963</v>
      </c>
      <c r="C991" s="1" t="n">
        <v>46019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42493-2023</t>
        </is>
      </c>
      <c r="B992" s="1" t="n">
        <v>45180.88775462963</v>
      </c>
      <c r="C992" s="1" t="n">
        <v>46019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40884-2023</t>
        </is>
      </c>
      <c r="B993" s="1" t="n">
        <v>45173</v>
      </c>
      <c r="C993" s="1" t="n">
        <v>46019</v>
      </c>
      <c r="D993" t="inlineStr">
        <is>
          <t>JÖNKÖPINGS LÄN</t>
        </is>
      </c>
      <c r="E993" t="inlineStr">
        <is>
          <t>VETLANDA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40890-2023</t>
        </is>
      </c>
      <c r="B994" s="1" t="n">
        <v>45173</v>
      </c>
      <c r="C994" s="1" t="n">
        <v>46019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7366-2024</t>
        </is>
      </c>
      <c r="B995" s="1" t="n">
        <v>45345.48063657407</v>
      </c>
      <c r="C995" s="1" t="n">
        <v>46019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34799-2024</t>
        </is>
      </c>
      <c r="B996" s="1" t="n">
        <v>45526.67918981481</v>
      </c>
      <c r="C996" s="1" t="n">
        <v>46019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40448-2023</t>
        </is>
      </c>
      <c r="B997" s="1" t="n">
        <v>45170.31317129629</v>
      </c>
      <c r="C997" s="1" t="n">
        <v>46019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40453-2023</t>
        </is>
      </c>
      <c r="B998" s="1" t="n">
        <v>45170.3212037037</v>
      </c>
      <c r="C998" s="1" t="n">
        <v>46019</v>
      </c>
      <c r="D998" t="inlineStr">
        <is>
          <t>JÖNKÖPINGS LÄN</t>
        </is>
      </c>
      <c r="E998" t="inlineStr">
        <is>
          <t>VETLANDA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52172-2024</t>
        </is>
      </c>
      <c r="B999" s="1" t="n">
        <v>45608.54881944445</v>
      </c>
      <c r="C999" s="1" t="n">
        <v>46019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16483-2025</t>
        </is>
      </c>
      <c r="B1000" s="1" t="n">
        <v>45751.58004629629</v>
      </c>
      <c r="C1000" s="1" t="n">
        <v>46019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1313-2024</t>
        </is>
      </c>
      <c r="B1001" s="1" t="n">
        <v>45303</v>
      </c>
      <c r="C1001" s="1" t="n">
        <v>46019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1314-2024</t>
        </is>
      </c>
      <c r="B1002" s="1" t="n">
        <v>45303.40385416667</v>
      </c>
      <c r="C1002" s="1" t="n">
        <v>46019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28838-2023</t>
        </is>
      </c>
      <c r="B1003" s="1" t="n">
        <v>45104.41076388889</v>
      </c>
      <c r="C1003" s="1" t="n">
        <v>46019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35845-2023</t>
        </is>
      </c>
      <c r="B1004" s="1" t="n">
        <v>45148.4965162037</v>
      </c>
      <c r="C1004" s="1" t="n">
        <v>46019</v>
      </c>
      <c r="D1004" t="inlineStr">
        <is>
          <t>JÖNKÖPINGS LÄN</t>
        </is>
      </c>
      <c r="E1004" t="inlineStr">
        <is>
          <t>VETLANDA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31021-2023</t>
        </is>
      </c>
      <c r="B1005" s="1" t="n">
        <v>45113.57634259259</v>
      </c>
      <c r="C1005" s="1" t="n">
        <v>46019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22299-2024</t>
        </is>
      </c>
      <c r="B1006" s="1" t="n">
        <v>45446.56364583333</v>
      </c>
      <c r="C1006" s="1" t="n">
        <v>46019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10286-2025</t>
        </is>
      </c>
      <c r="B1007" s="1" t="n">
        <v>45720.40965277778</v>
      </c>
      <c r="C1007" s="1" t="n">
        <v>46019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20805-2024</t>
        </is>
      </c>
      <c r="B1008" s="1" t="n">
        <v>45438</v>
      </c>
      <c r="C1008" s="1" t="n">
        <v>46019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42878-2023</t>
        </is>
      </c>
      <c r="B1009" s="1" t="n">
        <v>45182.44875</v>
      </c>
      <c r="C1009" s="1" t="n">
        <v>46019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42902-2023</t>
        </is>
      </c>
      <c r="B1010" s="1" t="n">
        <v>45182.48945601852</v>
      </c>
      <c r="C1010" s="1" t="n">
        <v>46019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38189-2023</t>
        </is>
      </c>
      <c r="B1011" s="1" t="n">
        <v>45161.48237268518</v>
      </c>
      <c r="C1011" s="1" t="n">
        <v>46019</v>
      </c>
      <c r="D1011" t="inlineStr">
        <is>
          <t>JÖNKÖPINGS LÄN</t>
        </is>
      </c>
      <c r="E1011" t="inlineStr">
        <is>
          <t>VETLANDA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7519-2022</t>
        </is>
      </c>
      <c r="B1012" s="1" t="n">
        <v>44607</v>
      </c>
      <c r="C1012" s="1" t="n">
        <v>46019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1444-2025</t>
        </is>
      </c>
      <c r="B1013" s="1" t="n">
        <v>45669.82575231481</v>
      </c>
      <c r="C1013" s="1" t="n">
        <v>46019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2849-2024</t>
        </is>
      </c>
      <c r="B1014" s="1" t="n">
        <v>45315</v>
      </c>
      <c r="C1014" s="1" t="n">
        <v>46019</v>
      </c>
      <c r="D1014" t="inlineStr">
        <is>
          <t>JÖNKÖPINGS LÄN</t>
        </is>
      </c>
      <c r="E1014" t="inlineStr">
        <is>
          <t>VETLANDA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25198-2024</t>
        </is>
      </c>
      <c r="B1015" s="1" t="n">
        <v>45462.56997685185</v>
      </c>
      <c r="C1015" s="1" t="n">
        <v>46019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22954-2024</t>
        </is>
      </c>
      <c r="B1016" s="1" t="n">
        <v>45449.4112962963</v>
      </c>
      <c r="C1016" s="1" t="n">
        <v>46019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52260-2021</t>
        </is>
      </c>
      <c r="B1017" s="1" t="n">
        <v>44463.63087962963</v>
      </c>
      <c r="C1017" s="1" t="n">
        <v>46019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4416-2024</t>
        </is>
      </c>
      <c r="B1018" s="1" t="n">
        <v>45327</v>
      </c>
      <c r="C1018" s="1" t="n">
        <v>46019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39087-2023</t>
        </is>
      </c>
      <c r="B1019" s="1" t="n">
        <v>45164</v>
      </c>
      <c r="C1019" s="1" t="n">
        <v>46019</v>
      </c>
      <c r="D1019" t="inlineStr">
        <is>
          <t>JÖNKÖPINGS LÄN</t>
        </is>
      </c>
      <c r="E1019" t="inlineStr">
        <is>
          <t>VETLANDA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5180-2024</t>
        </is>
      </c>
      <c r="B1020" s="1" t="n">
        <v>45330</v>
      </c>
      <c r="C1020" s="1" t="n">
        <v>46019</v>
      </c>
      <c r="D1020" t="inlineStr">
        <is>
          <t>JÖNKÖPINGS LÄN</t>
        </is>
      </c>
      <c r="E1020" t="inlineStr">
        <is>
          <t>VETLANDA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12003-2023</t>
        </is>
      </c>
      <c r="B1021" s="1" t="n">
        <v>44995</v>
      </c>
      <c r="C1021" s="1" t="n">
        <v>46019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46275-2021</t>
        </is>
      </c>
      <c r="B1022" s="1" t="n">
        <v>44442.57108796296</v>
      </c>
      <c r="C1022" s="1" t="n">
        <v>46019</v>
      </c>
      <c r="D1022" t="inlineStr">
        <is>
          <t>JÖNKÖPINGS LÄN</t>
        </is>
      </c>
      <c r="E1022" t="inlineStr">
        <is>
          <t>VETLANDA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5277-2025</t>
        </is>
      </c>
      <c r="B1023" s="1" t="n">
        <v>45692.42841435185</v>
      </c>
      <c r="C1023" s="1" t="n">
        <v>46019</v>
      </c>
      <c r="D1023" t="inlineStr">
        <is>
          <t>JÖNKÖPINGS LÄN</t>
        </is>
      </c>
      <c r="E1023" t="inlineStr">
        <is>
          <t>VETLANDA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40630-2024</t>
        </is>
      </c>
      <c r="B1024" s="1" t="n">
        <v>45557.77335648148</v>
      </c>
      <c r="C1024" s="1" t="n">
        <v>46019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29493-2023</t>
        </is>
      </c>
      <c r="B1025" s="1" t="n">
        <v>45106.58976851852</v>
      </c>
      <c r="C1025" s="1" t="n">
        <v>46019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44647-2024</t>
        </is>
      </c>
      <c r="B1026" s="1" t="n">
        <v>45574.51628472222</v>
      </c>
      <c r="C1026" s="1" t="n">
        <v>46019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54239-2024</t>
        </is>
      </c>
      <c r="B1027" s="1" t="n">
        <v>45616.67851851852</v>
      </c>
      <c r="C1027" s="1" t="n">
        <v>46019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59713-2024</t>
        </is>
      </c>
      <c r="B1028" s="1" t="n">
        <v>45639.45501157407</v>
      </c>
      <c r="C1028" s="1" t="n">
        <v>46019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32020-2024</t>
        </is>
      </c>
      <c r="B1029" s="1" t="n">
        <v>45510</v>
      </c>
      <c r="C1029" s="1" t="n">
        <v>46019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5136-2025</t>
        </is>
      </c>
      <c r="B1030" s="1" t="n">
        <v>45691.5809837963</v>
      </c>
      <c r="C1030" s="1" t="n">
        <v>46019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51228-2023</t>
        </is>
      </c>
      <c r="B1031" s="1" t="n">
        <v>45219.46091435185</v>
      </c>
      <c r="C1031" s="1" t="n">
        <v>46019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63451-2023</t>
        </is>
      </c>
      <c r="B1032" s="1" t="n">
        <v>45274</v>
      </c>
      <c r="C1032" s="1" t="n">
        <v>46019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58433-2023</t>
        </is>
      </c>
      <c r="B1033" s="1" t="n">
        <v>45250.81989583333</v>
      </c>
      <c r="C1033" s="1" t="n">
        <v>46019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3819-2022</t>
        </is>
      </c>
      <c r="B1034" s="1" t="n">
        <v>44587.3328587963</v>
      </c>
      <c r="C1034" s="1" t="n">
        <v>46019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32651-2022</t>
        </is>
      </c>
      <c r="B1035" s="1" t="n">
        <v>44783.50346064815</v>
      </c>
      <c r="C1035" s="1" t="n">
        <v>46019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10698-2025</t>
        </is>
      </c>
      <c r="B1036" s="1" t="n">
        <v>45722.31128472222</v>
      </c>
      <c r="C1036" s="1" t="n">
        <v>46019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42364-2022</t>
        </is>
      </c>
      <c r="B1037" s="1" t="n">
        <v>44830</v>
      </c>
      <c r="C1037" s="1" t="n">
        <v>46019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37846-2024</t>
        </is>
      </c>
      <c r="B1038" s="1" t="n">
        <v>45544.37059027778</v>
      </c>
      <c r="C1038" s="1" t="n">
        <v>46019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33767-2023</t>
        </is>
      </c>
      <c r="B1039" s="1" t="n">
        <v>45133</v>
      </c>
      <c r="C1039" s="1" t="n">
        <v>46019</v>
      </c>
      <c r="D1039" t="inlineStr">
        <is>
          <t>JÖNKÖPINGS LÄN</t>
        </is>
      </c>
      <c r="E1039" t="inlineStr">
        <is>
          <t>VETLANDA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16547-2024</t>
        </is>
      </c>
      <c r="B1040" s="1" t="n">
        <v>45408.44111111111</v>
      </c>
      <c r="C1040" s="1" t="n">
        <v>46019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48084-2024</t>
        </is>
      </c>
      <c r="B1041" s="1" t="n">
        <v>45589.5890625</v>
      </c>
      <c r="C1041" s="1" t="n">
        <v>46019</v>
      </c>
      <c r="D1041" t="inlineStr">
        <is>
          <t>JÖNKÖPINGS LÄN</t>
        </is>
      </c>
      <c r="E1041" t="inlineStr">
        <is>
          <t>VETLANDA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43371-2022</t>
        </is>
      </c>
      <c r="B1042" s="1" t="n">
        <v>44834.65052083333</v>
      </c>
      <c r="C1042" s="1" t="n">
        <v>46019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10593-2024</t>
        </is>
      </c>
      <c r="B1043" s="1" t="n">
        <v>45366.75533564815</v>
      </c>
      <c r="C1043" s="1" t="n">
        <v>46019</v>
      </c>
      <c r="D1043" t="inlineStr">
        <is>
          <t>JÖNKÖPINGS LÄN</t>
        </is>
      </c>
      <c r="E1043" t="inlineStr">
        <is>
          <t>VETLANDA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38726-2022</t>
        </is>
      </c>
      <c r="B1044" s="1" t="n">
        <v>44815.87179398148</v>
      </c>
      <c r="C1044" s="1" t="n">
        <v>46019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22177-2023</t>
        </is>
      </c>
      <c r="B1045" s="1" t="n">
        <v>45069.68887731482</v>
      </c>
      <c r="C1045" s="1" t="n">
        <v>46019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21283-2024</t>
        </is>
      </c>
      <c r="B1046" s="1" t="n">
        <v>45440</v>
      </c>
      <c r="C1046" s="1" t="n">
        <v>46019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7041-2025</t>
        </is>
      </c>
      <c r="B1047" s="1" t="n">
        <v>45701.63836805556</v>
      </c>
      <c r="C1047" s="1" t="n">
        <v>46019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1221-2024</t>
        </is>
      </c>
      <c r="B1048" s="1" t="n">
        <v>45302.6671875</v>
      </c>
      <c r="C1048" s="1" t="n">
        <v>46019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53782-2024</t>
        </is>
      </c>
      <c r="B1049" s="1" t="n">
        <v>45615.56019675926</v>
      </c>
      <c r="C1049" s="1" t="n">
        <v>46019</v>
      </c>
      <c r="D1049" t="inlineStr">
        <is>
          <t>JÖNKÖPINGS LÄN</t>
        </is>
      </c>
      <c r="E1049" t="inlineStr">
        <is>
          <t>VETLANDA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31019-2023</t>
        </is>
      </c>
      <c r="B1050" s="1" t="n">
        <v>45113.57435185185</v>
      </c>
      <c r="C1050" s="1" t="n">
        <v>46019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17847-2022</t>
        </is>
      </c>
      <c r="B1051" s="1" t="n">
        <v>44683</v>
      </c>
      <c r="C1051" s="1" t="n">
        <v>46019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38397-2024</t>
        </is>
      </c>
      <c r="B1052" s="1" t="n">
        <v>45546.33434027778</v>
      </c>
      <c r="C1052" s="1" t="n">
        <v>46019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44261-2022</t>
        </is>
      </c>
      <c r="B1053" s="1" t="n">
        <v>44839.57224537037</v>
      </c>
      <c r="C1053" s="1" t="n">
        <v>46019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7828-2023</t>
        </is>
      </c>
      <c r="B1054" s="1" t="n">
        <v>44970</v>
      </c>
      <c r="C1054" s="1" t="n">
        <v>46019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53327-2023</t>
        </is>
      </c>
      <c r="B1055" s="1" t="n">
        <v>45222</v>
      </c>
      <c r="C1055" s="1" t="n">
        <v>46019</v>
      </c>
      <c r="D1055" t="inlineStr">
        <is>
          <t>JÖNKÖPINGS LÄN</t>
        </is>
      </c>
      <c r="E1055" t="inlineStr">
        <is>
          <t>VETLANDA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43147-2023</t>
        </is>
      </c>
      <c r="B1056" s="1" t="n">
        <v>45183.31346064815</v>
      </c>
      <c r="C1056" s="1" t="n">
        <v>46019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7091-2023</t>
        </is>
      </c>
      <c r="B1057" s="1" t="n">
        <v>44965</v>
      </c>
      <c r="C1057" s="1" t="n">
        <v>46019</v>
      </c>
      <c r="D1057" t="inlineStr">
        <is>
          <t>JÖNKÖPINGS LÄN</t>
        </is>
      </c>
      <c r="E1057" t="inlineStr">
        <is>
          <t>VETLANDA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12621-2023</t>
        </is>
      </c>
      <c r="B1058" s="1" t="n">
        <v>45000</v>
      </c>
      <c r="C1058" s="1" t="n">
        <v>46019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43234-2023</t>
        </is>
      </c>
      <c r="B1059" s="1" t="n">
        <v>45183.47331018518</v>
      </c>
      <c r="C1059" s="1" t="n">
        <v>46019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7663-2025</t>
        </is>
      </c>
      <c r="B1060" s="1" t="n">
        <v>45706.3347337963</v>
      </c>
      <c r="C1060" s="1" t="n">
        <v>46019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7710-2025</t>
        </is>
      </c>
      <c r="B1061" s="1" t="n">
        <v>45706.42435185185</v>
      </c>
      <c r="C1061" s="1" t="n">
        <v>46019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14557-2025</t>
        </is>
      </c>
      <c r="B1062" s="1" t="n">
        <v>45741.74936342592</v>
      </c>
      <c r="C1062" s="1" t="n">
        <v>46019</v>
      </c>
      <c r="D1062" t="inlineStr">
        <is>
          <t>JÖNKÖPINGS LÄN</t>
        </is>
      </c>
      <c r="E1062" t="inlineStr">
        <is>
          <t>VETLANDA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44169-2022</t>
        </is>
      </c>
      <c r="B1063" s="1" t="n">
        <v>44839</v>
      </c>
      <c r="C1063" s="1" t="n">
        <v>46019</v>
      </c>
      <c r="D1063" t="inlineStr">
        <is>
          <t>JÖNKÖPINGS LÄN</t>
        </is>
      </c>
      <c r="E1063" t="inlineStr">
        <is>
          <t>VETLANDA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29413-2022</t>
        </is>
      </c>
      <c r="B1064" s="1" t="n">
        <v>44753</v>
      </c>
      <c r="C1064" s="1" t="n">
        <v>46019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34106-2023</t>
        </is>
      </c>
      <c r="B1065" s="1" t="n">
        <v>45135</v>
      </c>
      <c r="C1065" s="1" t="n">
        <v>46019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35835-2022</t>
        </is>
      </c>
      <c r="B1066" s="1" t="n">
        <v>44802</v>
      </c>
      <c r="C1066" s="1" t="n">
        <v>46019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22254-2024</t>
        </is>
      </c>
      <c r="B1067" s="1" t="n">
        <v>45446.46471064815</v>
      </c>
      <c r="C1067" s="1" t="n">
        <v>46019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16250-2025</t>
        </is>
      </c>
      <c r="B1068" s="1" t="n">
        <v>45750.69858796296</v>
      </c>
      <c r="C1068" s="1" t="n">
        <v>46019</v>
      </c>
      <c r="D1068" t="inlineStr">
        <is>
          <t>JÖNKÖPINGS LÄN</t>
        </is>
      </c>
      <c r="E1068" t="inlineStr">
        <is>
          <t>VETLANDA</t>
        </is>
      </c>
      <c r="G1068" t="n">
        <v>15.3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44929.3943287037</v>
      </c>
      <c r="C1069" s="1" t="n">
        <v>46019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27793-2022</t>
        </is>
      </c>
      <c r="B1070" s="1" t="n">
        <v>44743</v>
      </c>
      <c r="C1070" s="1" t="n">
        <v>46019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56698-2021</t>
        </is>
      </c>
      <c r="B1071" s="1" t="n">
        <v>44481.3784375</v>
      </c>
      <c r="C1071" s="1" t="n">
        <v>46019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40469-2023</t>
        </is>
      </c>
      <c r="B1072" s="1" t="n">
        <v>45170.35475694444</v>
      </c>
      <c r="C1072" s="1" t="n">
        <v>46019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30795-2024</t>
        </is>
      </c>
      <c r="B1073" s="1" t="n">
        <v>45497.3596875</v>
      </c>
      <c r="C1073" s="1" t="n">
        <v>46019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30797-2024</t>
        </is>
      </c>
      <c r="B1074" s="1" t="n">
        <v>45497.36287037037</v>
      </c>
      <c r="C1074" s="1" t="n">
        <v>46019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51851-2021</t>
        </is>
      </c>
      <c r="B1075" s="1" t="n">
        <v>44462.69760416666</v>
      </c>
      <c r="C1075" s="1" t="n">
        <v>46019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32142-2023</t>
        </is>
      </c>
      <c r="B1076" s="1" t="n">
        <v>45119</v>
      </c>
      <c r="C1076" s="1" t="n">
        <v>46019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32143-2023</t>
        </is>
      </c>
      <c r="B1077" s="1" t="n">
        <v>45119.67211805555</v>
      </c>
      <c r="C1077" s="1" t="n">
        <v>46019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15502-2024</t>
        </is>
      </c>
      <c r="B1078" s="1" t="n">
        <v>45401.54920138889</v>
      </c>
      <c r="C1078" s="1" t="n">
        <v>46019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3956-2023</t>
        </is>
      </c>
      <c r="B1079" s="1" t="n">
        <v>44952</v>
      </c>
      <c r="C1079" s="1" t="n">
        <v>46019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30704-2023</t>
        </is>
      </c>
      <c r="B1080" s="1" t="n">
        <v>45112.59065972222</v>
      </c>
      <c r="C1080" s="1" t="n">
        <v>46019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29684-2023</t>
        </is>
      </c>
      <c r="B1081" s="1" t="n">
        <v>45107.37986111111</v>
      </c>
      <c r="C1081" s="1" t="n">
        <v>46019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28361-2022</t>
        </is>
      </c>
      <c r="B1082" s="1" t="n">
        <v>44747.48467592592</v>
      </c>
      <c r="C1082" s="1" t="n">
        <v>46019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34802-2024</t>
        </is>
      </c>
      <c r="B1083" s="1" t="n">
        <v>45526.68496527777</v>
      </c>
      <c r="C1083" s="1" t="n">
        <v>46019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6197-2022</t>
        </is>
      </c>
      <c r="B1084" s="1" t="n">
        <v>44600</v>
      </c>
      <c r="C1084" s="1" t="n">
        <v>46019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43510-2024</t>
        </is>
      </c>
      <c r="B1085" s="1" t="n">
        <v>45569.31168981481</v>
      </c>
      <c r="C1085" s="1" t="n">
        <v>46019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632-2023</t>
        </is>
      </c>
      <c r="B1086" s="1" t="n">
        <v>44930</v>
      </c>
      <c r="C1086" s="1" t="n">
        <v>46019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13993-2025</t>
        </is>
      </c>
      <c r="B1087" s="1" t="n">
        <v>45739</v>
      </c>
      <c r="C1087" s="1" t="n">
        <v>46019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16796-2023</t>
        </is>
      </c>
      <c r="B1088" s="1" t="n">
        <v>45033</v>
      </c>
      <c r="C1088" s="1" t="n">
        <v>46019</v>
      </c>
      <c r="D1088" t="inlineStr">
        <is>
          <t>JÖNKÖPINGS LÄN</t>
        </is>
      </c>
      <c r="E1088" t="inlineStr">
        <is>
          <t>VETLANDA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44034-2024</t>
        </is>
      </c>
      <c r="B1089" s="1" t="n">
        <v>45572</v>
      </c>
      <c r="C1089" s="1" t="n">
        <v>46019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6635-2024</t>
        </is>
      </c>
      <c r="B1090" s="1" t="n">
        <v>45341.64803240741</v>
      </c>
      <c r="C1090" s="1" t="n">
        <v>46019</v>
      </c>
      <c r="D1090" t="inlineStr">
        <is>
          <t>JÖNKÖPINGS LÄN</t>
        </is>
      </c>
      <c r="E1090" t="inlineStr">
        <is>
          <t>VETLANDA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7625-2024</t>
        </is>
      </c>
      <c r="B1091" s="1" t="n">
        <v>45348.60625</v>
      </c>
      <c r="C1091" s="1" t="n">
        <v>46019</v>
      </c>
      <c r="D1091" t="inlineStr">
        <is>
          <t>JÖNKÖPINGS LÄN</t>
        </is>
      </c>
      <c r="E1091" t="inlineStr">
        <is>
          <t>VETLANDA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61256-2024</t>
        </is>
      </c>
      <c r="B1092" s="1" t="n">
        <v>45645.70953703704</v>
      </c>
      <c r="C1092" s="1" t="n">
        <v>46019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5144-2025</t>
        </is>
      </c>
      <c r="B1093" s="1" t="n">
        <v>45691.58686342592</v>
      </c>
      <c r="C1093" s="1" t="n">
        <v>46019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26925-2022</t>
        </is>
      </c>
      <c r="B1094" s="1" t="n">
        <v>44740</v>
      </c>
      <c r="C1094" s="1" t="n">
        <v>46019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Kyrkan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16070-2024</t>
        </is>
      </c>
      <c r="B1095" s="1" t="n">
        <v>45406.31430555556</v>
      </c>
      <c r="C1095" s="1" t="n">
        <v>46019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12201-2023</t>
        </is>
      </c>
      <c r="B1096" s="1" t="n">
        <v>44998.57355324074</v>
      </c>
      <c r="C1096" s="1" t="n">
        <v>46019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1103-2024</t>
        </is>
      </c>
      <c r="B1097" s="1" t="n">
        <v>45302</v>
      </c>
      <c r="C1097" s="1" t="n">
        <v>46019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52427-2022</t>
        </is>
      </c>
      <c r="B1098" s="1" t="n">
        <v>44869</v>
      </c>
      <c r="C1098" s="1" t="n">
        <v>46019</v>
      </c>
      <c r="D1098" t="inlineStr">
        <is>
          <t>JÖNKÖPINGS LÄN</t>
        </is>
      </c>
      <c r="E1098" t="inlineStr">
        <is>
          <t>VETLANDA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41320-2023</t>
        </is>
      </c>
      <c r="B1099" s="1" t="n">
        <v>45174.64620370371</v>
      </c>
      <c r="C1099" s="1" t="n">
        <v>46019</v>
      </c>
      <c r="D1099" t="inlineStr">
        <is>
          <t>JÖNKÖPINGS LÄN</t>
        </is>
      </c>
      <c r="E1099" t="inlineStr">
        <is>
          <t>VETLANDA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9889-2024</t>
        </is>
      </c>
      <c r="B1100" s="1" t="n">
        <v>45363</v>
      </c>
      <c r="C1100" s="1" t="n">
        <v>46019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9892-2024</t>
        </is>
      </c>
      <c r="B1101" s="1" t="n">
        <v>45363</v>
      </c>
      <c r="C1101" s="1" t="n">
        <v>46019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9867-2024</t>
        </is>
      </c>
      <c r="B1102" s="1" t="n">
        <v>45363</v>
      </c>
      <c r="C1102" s="1" t="n">
        <v>46019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10044-2024</t>
        </is>
      </c>
      <c r="B1103" s="1" t="n">
        <v>45364.29489583334</v>
      </c>
      <c r="C1103" s="1" t="n">
        <v>46019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28841-2023</t>
        </is>
      </c>
      <c r="B1104" s="1" t="n">
        <v>45104</v>
      </c>
      <c r="C1104" s="1" t="n">
        <v>46019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64613-2023</t>
        </is>
      </c>
      <c r="B1105" s="1" t="n">
        <v>45281.52006944444</v>
      </c>
      <c r="C1105" s="1" t="n">
        <v>46019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34483-2024</t>
        </is>
      </c>
      <c r="B1106" s="1" t="n">
        <v>45525.60603009259</v>
      </c>
      <c r="C1106" s="1" t="n">
        <v>46019</v>
      </c>
      <c r="D1106" t="inlineStr">
        <is>
          <t>JÖNKÖPINGS LÄN</t>
        </is>
      </c>
      <c r="E1106" t="inlineStr">
        <is>
          <t>VETLANDA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13644-2023</t>
        </is>
      </c>
      <c r="B1107" s="1" t="n">
        <v>45006.65795138889</v>
      </c>
      <c r="C1107" s="1" t="n">
        <v>46019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47226-2023</t>
        </is>
      </c>
      <c r="B1108" s="1" t="n">
        <v>45202</v>
      </c>
      <c r="C1108" s="1" t="n">
        <v>46019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42431-2024</t>
        </is>
      </c>
      <c r="B1109" s="1" t="n">
        <v>45563</v>
      </c>
      <c r="C1109" s="1" t="n">
        <v>46019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47312-2021</t>
        </is>
      </c>
      <c r="B1110" s="1" t="n">
        <v>44447.46810185185</v>
      </c>
      <c r="C1110" s="1" t="n">
        <v>46019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8991-2024</t>
        </is>
      </c>
      <c r="B1111" s="1" t="n">
        <v>45357.54391203704</v>
      </c>
      <c r="C1111" s="1" t="n">
        <v>46019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40876-2023</t>
        </is>
      </c>
      <c r="B1112" s="1" t="n">
        <v>45173</v>
      </c>
      <c r="C1112" s="1" t="n">
        <v>46019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1583-2025</t>
        </is>
      </c>
      <c r="B1113" s="1" t="n">
        <v>45670.57231481482</v>
      </c>
      <c r="C1113" s="1" t="n">
        <v>46019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20759-2021</t>
        </is>
      </c>
      <c r="B1114" s="1" t="n">
        <v>44313</v>
      </c>
      <c r="C1114" s="1" t="n">
        <v>46019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57308-2024</t>
        </is>
      </c>
      <c r="B1115" s="1" t="n">
        <v>45629.60505787037</v>
      </c>
      <c r="C1115" s="1" t="n">
        <v>46019</v>
      </c>
      <c r="D1115" t="inlineStr">
        <is>
          <t>JÖNKÖPINGS LÄN</t>
        </is>
      </c>
      <c r="E1115" t="inlineStr">
        <is>
          <t>VETLANDA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2772-2024</t>
        </is>
      </c>
      <c r="B1116" s="1" t="n">
        <v>45314.61902777778</v>
      </c>
      <c r="C1116" s="1" t="n">
        <v>46019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47846-2021</t>
        </is>
      </c>
      <c r="B1117" s="1" t="n">
        <v>44448.65282407407</v>
      </c>
      <c r="C1117" s="1" t="n">
        <v>46019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18193-2024</t>
        </is>
      </c>
      <c r="B1118" s="1" t="n">
        <v>45420.6628125</v>
      </c>
      <c r="C1118" s="1" t="n">
        <v>46019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45882-2023</t>
        </is>
      </c>
      <c r="B1119" s="1" t="n">
        <v>45195.6445949074</v>
      </c>
      <c r="C1119" s="1" t="n">
        <v>46019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18271-2021</t>
        </is>
      </c>
      <c r="B1120" s="1" t="n">
        <v>44305.38892361111</v>
      </c>
      <c r="C1120" s="1" t="n">
        <v>46019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55372-2023</t>
        </is>
      </c>
      <c r="B1121" s="1" t="n">
        <v>45238.34974537037</v>
      </c>
      <c r="C1121" s="1" t="n">
        <v>46019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53790-2022</t>
        </is>
      </c>
      <c r="B1122" s="1" t="n">
        <v>44880.49763888889</v>
      </c>
      <c r="C1122" s="1" t="n">
        <v>46019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53794-2022</t>
        </is>
      </c>
      <c r="B1123" s="1" t="n">
        <v>44880.50003472222</v>
      </c>
      <c r="C1123" s="1" t="n">
        <v>46019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24259-2023</t>
        </is>
      </c>
      <c r="B1124" s="1" t="n">
        <v>45079</v>
      </c>
      <c r="C1124" s="1" t="n">
        <v>46019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26266-2023</t>
        </is>
      </c>
      <c r="B1125" s="1" t="n">
        <v>45091</v>
      </c>
      <c r="C1125" s="1" t="n">
        <v>46019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12349-2024</t>
        </is>
      </c>
      <c r="B1126" s="1" t="n">
        <v>45378</v>
      </c>
      <c r="C1126" s="1" t="n">
        <v>46019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54188-2024</t>
        </is>
      </c>
      <c r="B1127" s="1" t="n">
        <v>45616.64181712963</v>
      </c>
      <c r="C1127" s="1" t="n">
        <v>46019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6880-2022</t>
        </is>
      </c>
      <c r="B1128" s="1" t="n">
        <v>44602</v>
      </c>
      <c r="C1128" s="1" t="n">
        <v>46019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38932-2023</t>
        </is>
      </c>
      <c r="B1129" s="1" t="n">
        <v>45163</v>
      </c>
      <c r="C1129" s="1" t="n">
        <v>46019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67274-2021</t>
        </is>
      </c>
      <c r="B1130" s="1" t="n">
        <v>44523.60070601852</v>
      </c>
      <c r="C1130" s="1" t="n">
        <v>46019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17124-2022</t>
        </is>
      </c>
      <c r="B1131" s="1" t="n">
        <v>44677.47850694445</v>
      </c>
      <c r="C1131" s="1" t="n">
        <v>46019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1441-2024</t>
        </is>
      </c>
      <c r="B1132" s="1" t="n">
        <v>45303</v>
      </c>
      <c r="C1132" s="1" t="n">
        <v>46019</v>
      </c>
      <c r="D1132" t="inlineStr">
        <is>
          <t>JÖNKÖPINGS LÄN</t>
        </is>
      </c>
      <c r="E1132" t="inlineStr">
        <is>
          <t>VETLANDA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4679-2022</t>
        </is>
      </c>
      <c r="B1133" s="1" t="n">
        <v>44592.47372685185</v>
      </c>
      <c r="C1133" s="1" t="n">
        <v>46019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27687-2024</t>
        </is>
      </c>
      <c r="B1134" s="1" t="n">
        <v>45475.33333333334</v>
      </c>
      <c r="C1134" s="1" t="n">
        <v>46019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49444-2023</t>
        </is>
      </c>
      <c r="B1135" s="1" t="n">
        <v>45211.4853125</v>
      </c>
      <c r="C1135" s="1" t="n">
        <v>46019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8675-2024</t>
        </is>
      </c>
      <c r="B1136" s="1" t="n">
        <v>45352</v>
      </c>
      <c r="C1136" s="1" t="n">
        <v>46019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36845-2024</t>
        </is>
      </c>
      <c r="B1137" s="1" t="n">
        <v>45538</v>
      </c>
      <c r="C1137" s="1" t="n">
        <v>46019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4968-2024</t>
        </is>
      </c>
      <c r="B1138" s="1" t="n">
        <v>45329</v>
      </c>
      <c r="C1138" s="1" t="n">
        <v>46019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2786-2024</t>
        </is>
      </c>
      <c r="B1139" s="1" t="n">
        <v>45314</v>
      </c>
      <c r="C1139" s="1" t="n">
        <v>46019</v>
      </c>
      <c r="D1139" t="inlineStr">
        <is>
          <t>JÖNKÖPINGS LÄN</t>
        </is>
      </c>
      <c r="E1139" t="inlineStr">
        <is>
          <t>VETLANDA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61286-2024</t>
        </is>
      </c>
      <c r="B1140" s="1" t="n">
        <v>45645.80515046296</v>
      </c>
      <c r="C1140" s="1" t="n">
        <v>46019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61289-2024</t>
        </is>
      </c>
      <c r="B1141" s="1" t="n">
        <v>45645.81355324074</v>
      </c>
      <c r="C1141" s="1" t="n">
        <v>46019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38724-2022</t>
        </is>
      </c>
      <c r="B1142" s="1" t="n">
        <v>44815.86887731482</v>
      </c>
      <c r="C1142" s="1" t="n">
        <v>46019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16394-2021</t>
        </is>
      </c>
      <c r="B1143" s="1" t="n">
        <v>44293.39583333334</v>
      </c>
      <c r="C1143" s="1" t="n">
        <v>46019</v>
      </c>
      <c r="D1143" t="inlineStr">
        <is>
          <t>JÖNKÖPINGS LÄN</t>
        </is>
      </c>
      <c r="E1143" t="inlineStr">
        <is>
          <t>VETLANDA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10696-2025</t>
        </is>
      </c>
      <c r="B1144" s="1" t="n">
        <v>45722.30974537037</v>
      </c>
      <c r="C1144" s="1" t="n">
        <v>46019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60986-2021</t>
        </is>
      </c>
      <c r="B1145" s="1" t="n">
        <v>44497.59402777778</v>
      </c>
      <c r="C1145" s="1" t="n">
        <v>46019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16801-2025</t>
        </is>
      </c>
      <c r="B1146" s="1" t="n">
        <v>45754.61956018519</v>
      </c>
      <c r="C1146" s="1" t="n">
        <v>46019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26228-2023</t>
        </is>
      </c>
      <c r="B1147" s="1" t="n">
        <v>45091.57478009259</v>
      </c>
      <c r="C1147" s="1" t="n">
        <v>46019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15929-2023</t>
        </is>
      </c>
      <c r="B1148" s="1" t="n">
        <v>45022</v>
      </c>
      <c r="C1148" s="1" t="n">
        <v>46019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34794-2024</t>
        </is>
      </c>
      <c r="B1149" s="1" t="n">
        <v>45526.66983796296</v>
      </c>
      <c r="C1149" s="1" t="n">
        <v>46019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31457-2023</t>
        </is>
      </c>
      <c r="B1150" s="1" t="n">
        <v>45114</v>
      </c>
      <c r="C1150" s="1" t="n">
        <v>46019</v>
      </c>
      <c r="D1150" t="inlineStr">
        <is>
          <t>JÖNKÖPINGS LÄN</t>
        </is>
      </c>
      <c r="E1150" t="inlineStr">
        <is>
          <t>VETLANDA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24646-2021</t>
        </is>
      </c>
      <c r="B1151" s="1" t="n">
        <v>44340.39305555556</v>
      </c>
      <c r="C1151" s="1" t="n">
        <v>46019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21290-2024</t>
        </is>
      </c>
      <c r="B1152" s="1" t="n">
        <v>45440.66215277778</v>
      </c>
      <c r="C1152" s="1" t="n">
        <v>46019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3815-2022</t>
        </is>
      </c>
      <c r="B1153" s="1" t="n">
        <v>44587.32568287037</v>
      </c>
      <c r="C1153" s="1" t="n">
        <v>46019</v>
      </c>
      <c r="D1153" t="inlineStr">
        <is>
          <t>JÖNKÖPINGS LÄN</t>
        </is>
      </c>
      <c r="E1153" t="inlineStr">
        <is>
          <t>VETLANDA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22820-2022</t>
        </is>
      </c>
      <c r="B1154" s="1" t="n">
        <v>44715.42476851852</v>
      </c>
      <c r="C1154" s="1" t="n">
        <v>46019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38827-2022</t>
        </is>
      </c>
      <c r="B1155" s="1" t="n">
        <v>44813</v>
      </c>
      <c r="C1155" s="1" t="n">
        <v>46019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10381-2024</t>
        </is>
      </c>
      <c r="B1156" s="1" t="n">
        <v>45365.64836805555</v>
      </c>
      <c r="C1156" s="1" t="n">
        <v>46019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12875-2024</t>
        </is>
      </c>
      <c r="B1157" s="1" t="n">
        <v>45385</v>
      </c>
      <c r="C1157" s="1" t="n">
        <v>46019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637-2025</t>
        </is>
      </c>
      <c r="B1158" s="1" t="n">
        <v>45660</v>
      </c>
      <c r="C1158" s="1" t="n">
        <v>46019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3541-2023</t>
        </is>
      </c>
      <c r="B1159" s="1" t="n">
        <v>44946</v>
      </c>
      <c r="C1159" s="1" t="n">
        <v>46019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1631-2024</t>
        </is>
      </c>
      <c r="B1160" s="1" t="n">
        <v>45306.66175925926</v>
      </c>
      <c r="C1160" s="1" t="n">
        <v>46019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1633-2024</t>
        </is>
      </c>
      <c r="B1161" s="1" t="n">
        <v>45306.66362268518</v>
      </c>
      <c r="C1161" s="1" t="n">
        <v>46019</v>
      </c>
      <c r="D1161" t="inlineStr">
        <is>
          <t>JÖNKÖPINGS LÄN</t>
        </is>
      </c>
      <c r="E1161" t="inlineStr">
        <is>
          <t>VETLANDA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2871-2021</t>
        </is>
      </c>
      <c r="B1162" s="1" t="n">
        <v>44214</v>
      </c>
      <c r="C1162" s="1" t="n">
        <v>46019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36700-2022</t>
        </is>
      </c>
      <c r="B1163" s="1" t="n">
        <v>44805.27554398148</v>
      </c>
      <c r="C1163" s="1" t="n">
        <v>46019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38628-2022</t>
        </is>
      </c>
      <c r="B1164" s="1" t="n">
        <v>44813</v>
      </c>
      <c r="C1164" s="1" t="n">
        <v>46019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12382-2024</t>
        </is>
      </c>
      <c r="B1165" s="1" t="n">
        <v>45379.32574074074</v>
      </c>
      <c r="C1165" s="1" t="n">
        <v>46019</v>
      </c>
      <c r="D1165" t="inlineStr">
        <is>
          <t>JÖNKÖPINGS LÄN</t>
        </is>
      </c>
      <c r="E1165" t="inlineStr">
        <is>
          <t>VETLANDA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14927-2024</t>
        </is>
      </c>
      <c r="B1166" s="1" t="n">
        <v>45398.62652777778</v>
      </c>
      <c r="C1166" s="1" t="n">
        <v>46019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1695-2024</t>
        </is>
      </c>
      <c r="B1167" s="1" t="n">
        <v>45307.34739583333</v>
      </c>
      <c r="C1167" s="1" t="n">
        <v>46019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41403-2022</t>
        </is>
      </c>
      <c r="B1168" s="1" t="n">
        <v>44825</v>
      </c>
      <c r="C1168" s="1" t="n">
        <v>46019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61666-2022</t>
        </is>
      </c>
      <c r="B1169" s="1" t="n">
        <v>44917</v>
      </c>
      <c r="C1169" s="1" t="n">
        <v>46019</v>
      </c>
      <c r="D1169" t="inlineStr">
        <is>
          <t>JÖNKÖPINGS LÄN</t>
        </is>
      </c>
      <c r="E1169" t="inlineStr">
        <is>
          <t>VETLANDA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42826-2023</t>
        </is>
      </c>
      <c r="B1170" s="1" t="n">
        <v>45177</v>
      </c>
      <c r="C1170" s="1" t="n">
        <v>46019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Kyrkan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41173-2023</t>
        </is>
      </c>
      <c r="B1171" s="1" t="n">
        <v>45174.35186342592</v>
      </c>
      <c r="C1171" s="1" t="n">
        <v>46019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11205-2025</t>
        </is>
      </c>
      <c r="B1172" s="1" t="n">
        <v>45726.32008101852</v>
      </c>
      <c r="C1172" s="1" t="n">
        <v>46019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5031-2024</t>
        </is>
      </c>
      <c r="B1173" s="1" t="n">
        <v>45329</v>
      </c>
      <c r="C1173" s="1" t="n">
        <v>46019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57211-2023</t>
        </is>
      </c>
      <c r="B1174" s="1" t="n">
        <v>45245.48828703703</v>
      </c>
      <c r="C1174" s="1" t="n">
        <v>46019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37447-2021</t>
        </is>
      </c>
      <c r="B1175" s="1" t="n">
        <v>44398</v>
      </c>
      <c r="C1175" s="1" t="n">
        <v>46019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13811-2025</t>
        </is>
      </c>
      <c r="B1176" s="1" t="n">
        <v>45737</v>
      </c>
      <c r="C1176" s="1" t="n">
        <v>46019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10009-2025</t>
        </is>
      </c>
      <c r="B1177" s="1" t="n">
        <v>45719.45905092593</v>
      </c>
      <c r="C1177" s="1" t="n">
        <v>46019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10186-2024</t>
        </is>
      </c>
      <c r="B1178" s="1" t="n">
        <v>45364.88361111111</v>
      </c>
      <c r="C1178" s="1" t="n">
        <v>46019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25560-2023</t>
        </is>
      </c>
      <c r="B1179" s="1" t="n">
        <v>45089.60100694445</v>
      </c>
      <c r="C1179" s="1" t="n">
        <v>46019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60083-2022</t>
        </is>
      </c>
      <c r="B1180" s="1" t="n">
        <v>44909.59552083333</v>
      </c>
      <c r="C1180" s="1" t="n">
        <v>46019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50285-2021</t>
        </is>
      </c>
      <c r="B1181" s="1" t="n">
        <v>44459.33054398148</v>
      </c>
      <c r="C1181" s="1" t="n">
        <v>46019</v>
      </c>
      <c r="D1181" t="inlineStr">
        <is>
          <t>JÖNKÖPINGS LÄN</t>
        </is>
      </c>
      <c r="E1181" t="inlineStr">
        <is>
          <t>VETLANDA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606-2025</t>
        </is>
      </c>
      <c r="B1182" s="1" t="n">
        <v>45660</v>
      </c>
      <c r="C1182" s="1" t="n">
        <v>46019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615-2025</t>
        </is>
      </c>
      <c r="B1183" s="1" t="n">
        <v>45660</v>
      </c>
      <c r="C1183" s="1" t="n">
        <v>46019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29883-2023</t>
        </is>
      </c>
      <c r="B1184" s="1" t="n">
        <v>45107</v>
      </c>
      <c r="C1184" s="1" t="n">
        <v>46019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43559-2023</t>
        </is>
      </c>
      <c r="B1185" s="1" t="n">
        <v>45184.57670138889</v>
      </c>
      <c r="C1185" s="1" t="n">
        <v>46019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48080-2024</t>
        </is>
      </c>
      <c r="B1186" s="1" t="n">
        <v>45589.5802662037</v>
      </c>
      <c r="C1186" s="1" t="n">
        <v>46019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48100-2024</t>
        </is>
      </c>
      <c r="B1187" s="1" t="n">
        <v>45589.61851851852</v>
      </c>
      <c r="C1187" s="1" t="n">
        <v>46019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35809-2024</t>
        </is>
      </c>
      <c r="B1188" s="1" t="n">
        <v>45532.6524537037</v>
      </c>
      <c r="C1188" s="1" t="n">
        <v>46019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36691-2021</t>
        </is>
      </c>
      <c r="B1189" s="1" t="n">
        <v>44392.49893518518</v>
      </c>
      <c r="C1189" s="1" t="n">
        <v>46019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36751-2021</t>
        </is>
      </c>
      <c r="B1190" s="1" t="n">
        <v>44392.6381712963</v>
      </c>
      <c r="C1190" s="1" t="n">
        <v>46019</v>
      </c>
      <c r="D1190" t="inlineStr">
        <is>
          <t>JÖNKÖPINGS LÄN</t>
        </is>
      </c>
      <c r="E1190" t="inlineStr">
        <is>
          <t>VETLANDA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10934-2024</t>
        </is>
      </c>
      <c r="B1191" s="1" t="n">
        <v>45370</v>
      </c>
      <c r="C1191" s="1" t="n">
        <v>46019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16074-2024</t>
        </is>
      </c>
      <c r="B1192" s="1" t="n">
        <v>45406.34086805556</v>
      </c>
      <c r="C1192" s="1" t="n">
        <v>46019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741-2025</t>
        </is>
      </c>
      <c r="B1193" s="1" t="n">
        <v>45665.42128472222</v>
      </c>
      <c r="C1193" s="1" t="n">
        <v>46019</v>
      </c>
      <c r="D1193" t="inlineStr">
        <is>
          <t>JÖNKÖPINGS LÄN</t>
        </is>
      </c>
      <c r="E1193" t="inlineStr">
        <is>
          <t>VETLANDA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5491-2022</t>
        </is>
      </c>
      <c r="B1194" s="1" t="n">
        <v>44595.52881944444</v>
      </c>
      <c r="C1194" s="1" t="n">
        <v>46019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29033-2023</t>
        </is>
      </c>
      <c r="B1195" s="1" t="n">
        <v>45104.73836805556</v>
      </c>
      <c r="C1195" s="1" t="n">
        <v>46019</v>
      </c>
      <c r="D1195" t="inlineStr">
        <is>
          <t>JÖNKÖPINGS LÄN</t>
        </is>
      </c>
      <c r="E1195" t="inlineStr">
        <is>
          <t>VETLANDA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22529-2023</t>
        </is>
      </c>
      <c r="B1196" s="1" t="n">
        <v>45071</v>
      </c>
      <c r="C1196" s="1" t="n">
        <v>46019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38887-2022</t>
        </is>
      </c>
      <c r="B1197" s="1" t="n">
        <v>44816</v>
      </c>
      <c r="C1197" s="1" t="n">
        <v>46019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50242-2023</t>
        </is>
      </c>
      <c r="B1198" s="1" t="n">
        <v>45216.33821759259</v>
      </c>
      <c r="C1198" s="1" t="n">
        <v>46019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1295-2024</t>
        </is>
      </c>
      <c r="B1199" s="1" t="n">
        <v>45303.34582175926</v>
      </c>
      <c r="C1199" s="1" t="n">
        <v>46019</v>
      </c>
      <c r="D1199" t="inlineStr">
        <is>
          <t>JÖNKÖPINGS LÄN</t>
        </is>
      </c>
      <c r="E1199" t="inlineStr">
        <is>
          <t>VETLANDA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2525-2021</t>
        </is>
      </c>
      <c r="B1200" s="1" t="n">
        <v>44214</v>
      </c>
      <c r="C1200" s="1" t="n">
        <v>46019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2977-2025</t>
        </is>
      </c>
      <c r="B1201" s="1" t="n">
        <v>45678.47584490741</v>
      </c>
      <c r="C1201" s="1" t="n">
        <v>46019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42990-2023</t>
        </is>
      </c>
      <c r="B1202" s="1" t="n">
        <v>45182.62420138889</v>
      </c>
      <c r="C1202" s="1" t="n">
        <v>46019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60820-2021</t>
        </is>
      </c>
      <c r="B1203" s="1" t="n">
        <v>44495</v>
      </c>
      <c r="C1203" s="1" t="n">
        <v>46019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43100-2022</t>
        </is>
      </c>
      <c r="B1204" s="1" t="n">
        <v>44833</v>
      </c>
      <c r="C1204" s="1" t="n">
        <v>46019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52648-2023</t>
        </is>
      </c>
      <c r="B1205" s="1" t="n">
        <v>45219</v>
      </c>
      <c r="C1205" s="1" t="n">
        <v>46019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16637-2023</t>
        </is>
      </c>
      <c r="B1206" s="1" t="n">
        <v>45030.45988425926</v>
      </c>
      <c r="C1206" s="1" t="n">
        <v>46019</v>
      </c>
      <c r="D1206" t="inlineStr">
        <is>
          <t>JÖNKÖPINGS LÄN</t>
        </is>
      </c>
      <c r="E1206" t="inlineStr">
        <is>
          <t>VETLANDA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37829-2024</t>
        </is>
      </c>
      <c r="B1207" s="1" t="n">
        <v>45544.34594907407</v>
      </c>
      <c r="C1207" s="1" t="n">
        <v>46019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49360-2023</t>
        </is>
      </c>
      <c r="B1208" s="1" t="n">
        <v>45211</v>
      </c>
      <c r="C1208" s="1" t="n">
        <v>46019</v>
      </c>
      <c r="D1208" t="inlineStr">
        <is>
          <t>JÖNKÖPINGS LÄN</t>
        </is>
      </c>
      <c r="E1208" t="inlineStr">
        <is>
          <t>VETLANDA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5163-2025</t>
        </is>
      </c>
      <c r="B1209" s="1" t="n">
        <v>45691.61326388889</v>
      </c>
      <c r="C1209" s="1" t="n">
        <v>46019</v>
      </c>
      <c r="D1209" t="inlineStr">
        <is>
          <t>JÖNKÖPINGS LÄN</t>
        </is>
      </c>
      <c r="E1209" t="inlineStr">
        <is>
          <t>VETLANDA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58345-2021</t>
        </is>
      </c>
      <c r="B1210" s="1" t="n">
        <v>44488.41871527778</v>
      </c>
      <c r="C1210" s="1" t="n">
        <v>46019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57946-2024</t>
        </is>
      </c>
      <c r="B1211" s="1" t="n">
        <v>45631.55684027778</v>
      </c>
      <c r="C1211" s="1" t="n">
        <v>46019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30607-2023</t>
        </is>
      </c>
      <c r="B1212" s="1" t="n">
        <v>45112.395625</v>
      </c>
      <c r="C1212" s="1" t="n">
        <v>46019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50252-2023</t>
        </is>
      </c>
      <c r="B1213" s="1" t="n">
        <v>45216.36305555556</v>
      </c>
      <c r="C1213" s="1" t="n">
        <v>46019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39677-2021</t>
        </is>
      </c>
      <c r="B1214" s="1" t="n">
        <v>44417</v>
      </c>
      <c r="C1214" s="1" t="n">
        <v>46019</v>
      </c>
      <c r="D1214" t="inlineStr">
        <is>
          <t>JÖNKÖPINGS LÄN</t>
        </is>
      </c>
      <c r="E1214" t="inlineStr">
        <is>
          <t>VETLANDA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9497-2024</t>
        </is>
      </c>
      <c r="B1215" s="1" t="n">
        <v>45359.59966435185</v>
      </c>
      <c r="C1215" s="1" t="n">
        <v>46019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19548-2025</t>
        </is>
      </c>
      <c r="B1216" s="1" t="n">
        <v>45770.49387731482</v>
      </c>
      <c r="C1216" s="1" t="n">
        <v>46019</v>
      </c>
      <c r="D1216" t="inlineStr">
        <is>
          <t>JÖNKÖPINGS LÄN</t>
        </is>
      </c>
      <c r="E1216" t="inlineStr">
        <is>
          <t>VETLANDA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19552-2025</t>
        </is>
      </c>
      <c r="B1217" s="1" t="n">
        <v>45770.50659722222</v>
      </c>
      <c r="C1217" s="1" t="n">
        <v>46019</v>
      </c>
      <c r="D1217" t="inlineStr">
        <is>
          <t>JÖNKÖPINGS LÄN</t>
        </is>
      </c>
      <c r="E1217" t="inlineStr">
        <is>
          <t>VETLANDA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19095-2025</t>
        </is>
      </c>
      <c r="B1218" s="1" t="n">
        <v>45767.64738425926</v>
      </c>
      <c r="C1218" s="1" t="n">
        <v>46019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13215-2021</t>
        </is>
      </c>
      <c r="B1219" s="1" t="n">
        <v>44272.58122685185</v>
      </c>
      <c r="C1219" s="1" t="n">
        <v>46019</v>
      </c>
      <c r="D1219" t="inlineStr">
        <is>
          <t>JÖNKÖPINGS LÄN</t>
        </is>
      </c>
      <c r="E1219" t="inlineStr">
        <is>
          <t>VETLANDA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11816-2024</t>
        </is>
      </c>
      <c r="B1220" s="1" t="n">
        <v>45376.32592592593</v>
      </c>
      <c r="C1220" s="1" t="n">
        <v>46019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37676-2022</t>
        </is>
      </c>
      <c r="B1221" s="1" t="n">
        <v>44810.47083333333</v>
      </c>
      <c r="C1221" s="1" t="n">
        <v>46019</v>
      </c>
      <c r="D1221" t="inlineStr">
        <is>
          <t>JÖNKÖPINGS LÄN</t>
        </is>
      </c>
      <c r="E1221" t="inlineStr">
        <is>
          <t>VETLANDA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48885-2023</t>
        </is>
      </c>
      <c r="B1222" s="1" t="n">
        <v>45209</v>
      </c>
      <c r="C1222" s="1" t="n">
        <v>46019</v>
      </c>
      <c r="D1222" t="inlineStr">
        <is>
          <t>JÖNKÖPINGS LÄN</t>
        </is>
      </c>
      <c r="E1222" t="inlineStr">
        <is>
          <t>VETLANDA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43158-2023</t>
        </is>
      </c>
      <c r="B1223" s="1" t="n">
        <v>45183.33701388889</v>
      </c>
      <c r="C1223" s="1" t="n">
        <v>46019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49411-2024</t>
        </is>
      </c>
      <c r="B1224" s="1" t="n">
        <v>45595.68493055556</v>
      </c>
      <c r="C1224" s="1" t="n">
        <v>46019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45010-2024</t>
        </is>
      </c>
      <c r="B1225" s="1" t="n">
        <v>45575.49151620371</v>
      </c>
      <c r="C1225" s="1" t="n">
        <v>46019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21267-2023</t>
        </is>
      </c>
      <c r="B1226" s="1" t="n">
        <v>45062</v>
      </c>
      <c r="C1226" s="1" t="n">
        <v>46019</v>
      </c>
      <c r="D1226" t="inlineStr">
        <is>
          <t>JÖNKÖPINGS LÄN</t>
        </is>
      </c>
      <c r="E1226" t="inlineStr">
        <is>
          <t>VETLANDA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38527-2024</t>
        </is>
      </c>
      <c r="B1227" s="1" t="n">
        <v>45546.58008101852</v>
      </c>
      <c r="C1227" s="1" t="n">
        <v>46019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53952-2023</t>
        </is>
      </c>
      <c r="B1228" s="1" t="n">
        <v>45231.61479166667</v>
      </c>
      <c r="C1228" s="1" t="n">
        <v>46019</v>
      </c>
      <c r="D1228" t="inlineStr">
        <is>
          <t>JÖNKÖPINGS LÄN</t>
        </is>
      </c>
      <c r="E1228" t="inlineStr">
        <is>
          <t>VETLANDA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6582-2025</t>
        </is>
      </c>
      <c r="B1229" s="1" t="n">
        <v>45699.97146990741</v>
      </c>
      <c r="C1229" s="1" t="n">
        <v>46019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6588-2025</t>
        </is>
      </c>
      <c r="B1230" s="1" t="n">
        <v>45700.2959375</v>
      </c>
      <c r="C1230" s="1" t="n">
        <v>46019</v>
      </c>
      <c r="D1230" t="inlineStr">
        <is>
          <t>JÖNKÖPINGS LÄN</t>
        </is>
      </c>
      <c r="E1230" t="inlineStr">
        <is>
          <t>VETLANDA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13813-2025</t>
        </is>
      </c>
      <c r="B1231" s="1" t="n">
        <v>45737</v>
      </c>
      <c r="C1231" s="1" t="n">
        <v>46019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523-2023</t>
        </is>
      </c>
      <c r="B1232" s="1" t="n">
        <v>44930</v>
      </c>
      <c r="C1232" s="1" t="n">
        <v>46019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8253-2023</t>
        </is>
      </c>
      <c r="B1233" s="1" t="n">
        <v>44971</v>
      </c>
      <c r="C1233" s="1" t="n">
        <v>46019</v>
      </c>
      <c r="D1233" t="inlineStr">
        <is>
          <t>JÖNKÖPINGS LÄN</t>
        </is>
      </c>
      <c r="E1233" t="inlineStr">
        <is>
          <t>VETLANDA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61003-2023</t>
        </is>
      </c>
      <c r="B1234" s="1" t="n">
        <v>45261</v>
      </c>
      <c r="C1234" s="1" t="n">
        <v>46019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50756-2024</t>
        </is>
      </c>
      <c r="B1235" s="1" t="n">
        <v>45602.43070601852</v>
      </c>
      <c r="C1235" s="1" t="n">
        <v>46019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740-2024</t>
        </is>
      </c>
      <c r="B1236" s="1" t="n">
        <v>45300</v>
      </c>
      <c r="C1236" s="1" t="n">
        <v>46019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20610-2021</t>
        </is>
      </c>
      <c r="B1237" s="1" t="n">
        <v>44316.37196759259</v>
      </c>
      <c r="C1237" s="1" t="n">
        <v>46019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26431-2023</t>
        </is>
      </c>
      <c r="B1238" s="1" t="n">
        <v>45092.40048611111</v>
      </c>
      <c r="C1238" s="1" t="n">
        <v>46019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18517-2025</t>
        </is>
      </c>
      <c r="B1239" s="1" t="n">
        <v>45763.38805555556</v>
      </c>
      <c r="C1239" s="1" t="n">
        <v>46019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2497-2025</t>
        </is>
      </c>
      <c r="B1240" s="1" t="n">
        <v>45674.52591435185</v>
      </c>
      <c r="C1240" s="1" t="n">
        <v>46019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28774-2024</t>
        </is>
      </c>
      <c r="B1241" s="1" t="n">
        <v>45478</v>
      </c>
      <c r="C1241" s="1" t="n">
        <v>46019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61284-2024</t>
        </is>
      </c>
      <c r="B1242" s="1" t="n">
        <v>45645</v>
      </c>
      <c r="C1242" s="1" t="n">
        <v>46019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19431-2025</t>
        </is>
      </c>
      <c r="B1243" s="1" t="n">
        <v>45769.80791666666</v>
      </c>
      <c r="C1243" s="1" t="n">
        <v>46019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39110-2023</t>
        </is>
      </c>
      <c r="B1244" s="1" t="n">
        <v>45164.86072916666</v>
      </c>
      <c r="C1244" s="1" t="n">
        <v>46019</v>
      </c>
      <c r="D1244" t="inlineStr">
        <is>
          <t>JÖNKÖPINGS LÄN</t>
        </is>
      </c>
      <c r="E1244" t="inlineStr">
        <is>
          <t>VETLANDA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2202-2024</t>
        </is>
      </c>
      <c r="B1245" s="1" t="n">
        <v>45309</v>
      </c>
      <c r="C1245" s="1" t="n">
        <v>46019</v>
      </c>
      <c r="D1245" t="inlineStr">
        <is>
          <t>JÖNKÖPINGS LÄN</t>
        </is>
      </c>
      <c r="E1245" t="inlineStr">
        <is>
          <t>VETLANDA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2203-2024</t>
        </is>
      </c>
      <c r="B1246" s="1" t="n">
        <v>45309</v>
      </c>
      <c r="C1246" s="1" t="n">
        <v>46019</v>
      </c>
      <c r="D1246" t="inlineStr">
        <is>
          <t>JÖNKÖPINGS LÄN</t>
        </is>
      </c>
      <c r="E1246" t="inlineStr">
        <is>
          <t>VETLANDA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42880-2023</t>
        </is>
      </c>
      <c r="B1247" s="1" t="n">
        <v>45182.45072916667</v>
      </c>
      <c r="C1247" s="1" t="n">
        <v>46019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4941-2024</t>
        </is>
      </c>
      <c r="B1248" s="1" t="n">
        <v>45329</v>
      </c>
      <c r="C1248" s="1" t="n">
        <v>46019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52674-2024</t>
        </is>
      </c>
      <c r="B1249" s="1" t="n">
        <v>45610.38314814815</v>
      </c>
      <c r="C1249" s="1" t="n">
        <v>46019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53308-2023</t>
        </is>
      </c>
      <c r="B1250" s="1" t="n">
        <v>45222</v>
      </c>
      <c r="C1250" s="1" t="n">
        <v>46019</v>
      </c>
      <c r="D1250" t="inlineStr">
        <is>
          <t>JÖNKÖPINGS LÄN</t>
        </is>
      </c>
      <c r="E1250" t="inlineStr">
        <is>
          <t>VETLANDA</t>
        </is>
      </c>
      <c r="G1250" t="n">
        <v>13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6208-2024</t>
        </is>
      </c>
      <c r="B1251" s="1" t="n">
        <v>45337</v>
      </c>
      <c r="C1251" s="1" t="n">
        <v>46019</v>
      </c>
      <c r="D1251" t="inlineStr">
        <is>
          <t>JÖNKÖPINGS LÄN</t>
        </is>
      </c>
      <c r="E1251" t="inlineStr">
        <is>
          <t>VETLANDA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30522-2024</t>
        </is>
      </c>
      <c r="B1252" s="1" t="n">
        <v>45492.52554398148</v>
      </c>
      <c r="C1252" s="1" t="n">
        <v>46019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4033-2024</t>
        </is>
      </c>
      <c r="B1253" s="1" t="n">
        <v>45323.41452546296</v>
      </c>
      <c r="C1253" s="1" t="n">
        <v>46019</v>
      </c>
      <c r="D1253" t="inlineStr">
        <is>
          <t>JÖNKÖPINGS LÄN</t>
        </is>
      </c>
      <c r="E1253" t="inlineStr">
        <is>
          <t>VETLANDA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3530-2023</t>
        </is>
      </c>
      <c r="B1254" s="1" t="n">
        <v>44946</v>
      </c>
      <c r="C1254" s="1" t="n">
        <v>46019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18665-2025</t>
        </is>
      </c>
      <c r="B1255" s="1" t="n">
        <v>45763.59106481481</v>
      </c>
      <c r="C1255" s="1" t="n">
        <v>46019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27195-2021</t>
        </is>
      </c>
      <c r="B1256" s="1" t="n">
        <v>44350.69622685185</v>
      </c>
      <c r="C1256" s="1" t="n">
        <v>46019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12700-2024</t>
        </is>
      </c>
      <c r="B1257" s="1" t="n">
        <v>45384.44951388889</v>
      </c>
      <c r="C1257" s="1" t="n">
        <v>46019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409-2024</t>
        </is>
      </c>
      <c r="B1258" s="1" t="n">
        <v>45296</v>
      </c>
      <c r="C1258" s="1" t="n">
        <v>46019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475-2025</t>
        </is>
      </c>
      <c r="B1259" s="1" t="n">
        <v>45664.44319444444</v>
      </c>
      <c r="C1259" s="1" t="n">
        <v>46019</v>
      </c>
      <c r="D1259" t="inlineStr">
        <is>
          <t>JÖNKÖPINGS LÄN</t>
        </is>
      </c>
      <c r="E1259" t="inlineStr">
        <is>
          <t>VETLANDA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18507-2025</t>
        </is>
      </c>
      <c r="B1260" s="1" t="n">
        <v>45763.37726851852</v>
      </c>
      <c r="C1260" s="1" t="n">
        <v>46019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18509-2025</t>
        </is>
      </c>
      <c r="B1261" s="1" t="n">
        <v>45763.37920138889</v>
      </c>
      <c r="C1261" s="1" t="n">
        <v>46019</v>
      </c>
      <c r="D1261" t="inlineStr">
        <is>
          <t>JÖNKÖPINGS LÄN</t>
        </is>
      </c>
      <c r="E1261" t="inlineStr">
        <is>
          <t>VETLANDA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18518-2025</t>
        </is>
      </c>
      <c r="B1262" s="1" t="n">
        <v>45763.38908564814</v>
      </c>
      <c r="C1262" s="1" t="n">
        <v>46019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3536-2023</t>
        </is>
      </c>
      <c r="B1263" s="1" t="n">
        <v>44946</v>
      </c>
      <c r="C1263" s="1" t="n">
        <v>46019</v>
      </c>
      <c r="D1263" t="inlineStr">
        <is>
          <t>JÖNKÖPINGS LÄN</t>
        </is>
      </c>
      <c r="E1263" t="inlineStr">
        <is>
          <t>VETLANDA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25124-2024</t>
        </is>
      </c>
      <c r="B1264" s="1" t="n">
        <v>45462</v>
      </c>
      <c r="C1264" s="1" t="n">
        <v>46019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38552-2021</t>
        </is>
      </c>
      <c r="B1265" s="1" t="n">
        <v>44407.60175925926</v>
      </c>
      <c r="C1265" s="1" t="n">
        <v>46019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53551-2022</t>
        </is>
      </c>
      <c r="B1266" s="1" t="n">
        <v>44879</v>
      </c>
      <c r="C1266" s="1" t="n">
        <v>46019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9662-2021</t>
        </is>
      </c>
      <c r="B1267" s="1" t="n">
        <v>44252.36090277778</v>
      </c>
      <c r="C1267" s="1" t="n">
        <v>46019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10170-2025</t>
        </is>
      </c>
      <c r="B1268" s="1" t="n">
        <v>45719.65729166667</v>
      </c>
      <c r="C1268" s="1" t="n">
        <v>46019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37255-2024</t>
        </is>
      </c>
      <c r="B1269" s="1" t="n">
        <v>45540.36818287037</v>
      </c>
      <c r="C1269" s="1" t="n">
        <v>46019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17356-2025</t>
        </is>
      </c>
      <c r="B1270" s="1" t="n">
        <v>45756.70585648148</v>
      </c>
      <c r="C1270" s="1" t="n">
        <v>46019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33935-2023</t>
        </is>
      </c>
      <c r="B1271" s="1" t="n">
        <v>45134.50414351852</v>
      </c>
      <c r="C1271" s="1" t="n">
        <v>46019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2323-2024</t>
        </is>
      </c>
      <c r="B1272" s="1" t="n">
        <v>45310</v>
      </c>
      <c r="C1272" s="1" t="n">
        <v>46019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3116-2024</t>
        </is>
      </c>
      <c r="B1273" s="1" t="n">
        <v>45316.50005787037</v>
      </c>
      <c r="C1273" s="1" t="n">
        <v>46019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10819-2022</t>
        </is>
      </c>
      <c r="B1274" s="1" t="n">
        <v>44627.52538194445</v>
      </c>
      <c r="C1274" s="1" t="n">
        <v>46019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17227-2024</t>
        </is>
      </c>
      <c r="B1275" s="1" t="n">
        <v>45414.36013888889</v>
      </c>
      <c r="C1275" s="1" t="n">
        <v>46019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51906-2024</t>
        </is>
      </c>
      <c r="B1276" s="1" t="n">
        <v>45607</v>
      </c>
      <c r="C1276" s="1" t="n">
        <v>46019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39621-2022</t>
        </is>
      </c>
      <c r="B1277" s="1" t="n">
        <v>44818.64456018519</v>
      </c>
      <c r="C1277" s="1" t="n">
        <v>46019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2221-2025</t>
        </is>
      </c>
      <c r="B1278" s="1" t="n">
        <v>45673.45511574074</v>
      </c>
      <c r="C1278" s="1" t="n">
        <v>46019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42417-2022</t>
        </is>
      </c>
      <c r="B1279" s="1" t="n">
        <v>44831</v>
      </c>
      <c r="C1279" s="1" t="n">
        <v>46019</v>
      </c>
      <c r="D1279" t="inlineStr">
        <is>
          <t>JÖNKÖPINGS LÄN</t>
        </is>
      </c>
      <c r="E1279" t="inlineStr">
        <is>
          <t>VETLANDA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13710-2023</t>
        </is>
      </c>
      <c r="B1280" s="1" t="n">
        <v>45001</v>
      </c>
      <c r="C1280" s="1" t="n">
        <v>46019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Kyrkan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59578-2023</t>
        </is>
      </c>
      <c r="B1281" s="1" t="n">
        <v>45254.60143518518</v>
      </c>
      <c r="C1281" s="1" t="n">
        <v>46019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Övriga Aktiebolag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25858-2023</t>
        </is>
      </c>
      <c r="B1282" s="1" t="n">
        <v>45090.59459490741</v>
      </c>
      <c r="C1282" s="1" t="n">
        <v>46019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33681-2023</t>
        </is>
      </c>
      <c r="B1283" s="1" t="n">
        <v>45132.64173611111</v>
      </c>
      <c r="C1283" s="1" t="n">
        <v>46019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5802-2024</t>
        </is>
      </c>
      <c r="B1284" s="1" t="n">
        <v>45335</v>
      </c>
      <c r="C1284" s="1" t="n">
        <v>46019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50759-2024</t>
        </is>
      </c>
      <c r="B1285" s="1" t="n">
        <v>45602.43329861111</v>
      </c>
      <c r="C1285" s="1" t="n">
        <v>46019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5937-2023</t>
        </is>
      </c>
      <c r="B1286" s="1" t="n">
        <v>44963.8266087963</v>
      </c>
      <c r="C1286" s="1" t="n">
        <v>46019</v>
      </c>
      <c r="D1286" t="inlineStr">
        <is>
          <t>JÖNKÖPINGS LÄN</t>
        </is>
      </c>
      <c r="E1286" t="inlineStr">
        <is>
          <t>VETLANDA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40051-2023</t>
        </is>
      </c>
      <c r="B1287" s="1" t="n">
        <v>45168.70575231482</v>
      </c>
      <c r="C1287" s="1" t="n">
        <v>46019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15289-2024</t>
        </is>
      </c>
      <c r="B1288" s="1" t="n">
        <v>45400.6177662037</v>
      </c>
      <c r="C1288" s="1" t="n">
        <v>46019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44331-2023</t>
        </is>
      </c>
      <c r="B1289" s="1" t="n">
        <v>45188.66708333333</v>
      </c>
      <c r="C1289" s="1" t="n">
        <v>46019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1587-2025</t>
        </is>
      </c>
      <c r="B1290" s="1" t="n">
        <v>45670.57783564815</v>
      </c>
      <c r="C1290" s="1" t="n">
        <v>46019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58578-2022</t>
        </is>
      </c>
      <c r="B1291" s="1" t="n">
        <v>44902.52461805556</v>
      </c>
      <c r="C1291" s="1" t="n">
        <v>46019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11507-2021</t>
        </is>
      </c>
      <c r="B1292" s="1" t="n">
        <v>44264</v>
      </c>
      <c r="C1292" s="1" t="n">
        <v>46019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117-2022</t>
        </is>
      </c>
      <c r="B1293" s="1" t="n">
        <v>44564</v>
      </c>
      <c r="C1293" s="1" t="n">
        <v>46019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Övriga Aktiebolag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44464-2023</t>
        </is>
      </c>
      <c r="B1294" s="1" t="n">
        <v>45189.39834490741</v>
      </c>
      <c r="C1294" s="1" t="n">
        <v>46019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5194-2025</t>
        </is>
      </c>
      <c r="B1295" s="1" t="n">
        <v>45691.65603009259</v>
      </c>
      <c r="C1295" s="1" t="n">
        <v>46019</v>
      </c>
      <c r="D1295" t="inlineStr">
        <is>
          <t>JÖNKÖPINGS LÄN</t>
        </is>
      </c>
      <c r="E1295" t="inlineStr">
        <is>
          <t>VETLANDA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61454-2022</t>
        </is>
      </c>
      <c r="B1296" s="1" t="n">
        <v>44916.41415509259</v>
      </c>
      <c r="C1296" s="1" t="n">
        <v>46019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4794-2023</t>
        </is>
      </c>
      <c r="B1297" s="1" t="n">
        <v>44957.61083333333</v>
      </c>
      <c r="C1297" s="1" t="n">
        <v>46019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27706-2023</t>
        </is>
      </c>
      <c r="B1298" s="1" t="n">
        <v>45098.31300925926</v>
      </c>
      <c r="C1298" s="1" t="n">
        <v>46019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62103-2021</t>
        </is>
      </c>
      <c r="B1299" s="1" t="n">
        <v>44502.63461805556</v>
      </c>
      <c r="C1299" s="1" t="n">
        <v>46019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7113-2025</t>
        </is>
      </c>
      <c r="B1300" s="1" t="n">
        <v>45702</v>
      </c>
      <c r="C1300" s="1" t="n">
        <v>46019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19804-2025</t>
        </is>
      </c>
      <c r="B1301" s="1" t="n">
        <v>45771.45256944445</v>
      </c>
      <c r="C1301" s="1" t="n">
        <v>46019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7592-2024</t>
        </is>
      </c>
      <c r="B1302" s="1" t="n">
        <v>45348</v>
      </c>
      <c r="C1302" s="1" t="n">
        <v>46019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43018-2021</t>
        </is>
      </c>
      <c r="B1303" s="1" t="n">
        <v>44431.4768287037</v>
      </c>
      <c r="C1303" s="1" t="n">
        <v>46019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28976-2024</t>
        </is>
      </c>
      <c r="B1304" s="1" t="n">
        <v>45481</v>
      </c>
      <c r="C1304" s="1" t="n">
        <v>46019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27200-2021</t>
        </is>
      </c>
      <c r="B1305" s="1" t="n">
        <v>44350.71131944445</v>
      </c>
      <c r="C1305" s="1" t="n">
        <v>46019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46019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5365-2025</t>
        </is>
      </c>
      <c r="B1307" s="1" t="n">
        <v>45692.5816550926</v>
      </c>
      <c r="C1307" s="1" t="n">
        <v>46019</v>
      </c>
      <c r="D1307" t="inlineStr">
        <is>
          <t>JÖNKÖPINGS LÄN</t>
        </is>
      </c>
      <c r="E1307" t="inlineStr">
        <is>
          <t>VETLANDA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7623-2024</t>
        </is>
      </c>
      <c r="B1308" s="1" t="n">
        <v>45348.6049537037</v>
      </c>
      <c r="C1308" s="1" t="n">
        <v>46019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20964-2024</t>
        </is>
      </c>
      <c r="B1309" s="1" t="n">
        <v>45439.57853009259</v>
      </c>
      <c r="C1309" s="1" t="n">
        <v>46019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32374-2022</t>
        </is>
      </c>
      <c r="B1310" s="1" t="n">
        <v>44781</v>
      </c>
      <c r="C1310" s="1" t="n">
        <v>46019</v>
      </c>
      <c r="D1310" t="inlineStr">
        <is>
          <t>JÖNKÖPINGS LÄN</t>
        </is>
      </c>
      <c r="E1310" t="inlineStr">
        <is>
          <t>VETLANDA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21818-2025</t>
        </is>
      </c>
      <c r="B1311" s="1" t="n">
        <v>45783.7384375</v>
      </c>
      <c r="C1311" s="1" t="n">
        <v>46019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21820-2025</t>
        </is>
      </c>
      <c r="B1312" s="1" t="n">
        <v>45783.74659722222</v>
      </c>
      <c r="C1312" s="1" t="n">
        <v>46019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21676-2025</t>
        </is>
      </c>
      <c r="B1313" s="1" t="n">
        <v>45783.48454861111</v>
      </c>
      <c r="C1313" s="1" t="n">
        <v>46019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21581-2025</t>
        </is>
      </c>
      <c r="B1314" s="1" t="n">
        <v>45782.96171296296</v>
      </c>
      <c r="C1314" s="1" t="n">
        <v>46019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22230-2025</t>
        </is>
      </c>
      <c r="B1315" s="1" t="n">
        <v>45785.66460648148</v>
      </c>
      <c r="C1315" s="1" t="n">
        <v>46019</v>
      </c>
      <c r="D1315" t="inlineStr">
        <is>
          <t>JÖNKÖPINGS LÄN</t>
        </is>
      </c>
      <c r="E1315" t="inlineStr">
        <is>
          <t>VETLANDA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22253-2025</t>
        </is>
      </c>
      <c r="B1316" s="1" t="n">
        <v>45785.71899305555</v>
      </c>
      <c r="C1316" s="1" t="n">
        <v>46019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22258-2025</t>
        </is>
      </c>
      <c r="B1317" s="1" t="n">
        <v>45785.73356481481</v>
      </c>
      <c r="C1317" s="1" t="n">
        <v>46019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22121-2025</t>
        </is>
      </c>
      <c r="B1318" s="1" t="n">
        <v>45785.52090277777</v>
      </c>
      <c r="C1318" s="1" t="n">
        <v>46019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20967-2024</t>
        </is>
      </c>
      <c r="B1319" s="1" t="n">
        <v>45439.58064814815</v>
      </c>
      <c r="C1319" s="1" t="n">
        <v>46019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22465-2025</t>
        </is>
      </c>
      <c r="B1320" s="1" t="n">
        <v>45786.61424768518</v>
      </c>
      <c r="C1320" s="1" t="n">
        <v>46019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60327-2024</t>
        </is>
      </c>
      <c r="B1321" s="1" t="n">
        <v>45643.38037037037</v>
      </c>
      <c r="C1321" s="1" t="n">
        <v>46019</v>
      </c>
      <c r="D1321" t="inlineStr">
        <is>
          <t>JÖNKÖPINGS LÄN</t>
        </is>
      </c>
      <c r="E1321" t="inlineStr">
        <is>
          <t>VETLANDA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4644-2022</t>
        </is>
      </c>
      <c r="B1322" s="1" t="n">
        <v>44592</v>
      </c>
      <c r="C1322" s="1" t="n">
        <v>46019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22422-2025</t>
        </is>
      </c>
      <c r="B1323" s="1" t="n">
        <v>45786.56335648148</v>
      </c>
      <c r="C1323" s="1" t="n">
        <v>46019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50561-2024</t>
        </is>
      </c>
      <c r="B1324" s="1" t="n">
        <v>45601.59809027778</v>
      </c>
      <c r="C1324" s="1" t="n">
        <v>46019</v>
      </c>
      <c r="D1324" t="inlineStr">
        <is>
          <t>JÖNKÖPINGS LÄN</t>
        </is>
      </c>
      <c r="E1324" t="inlineStr">
        <is>
          <t>VETLANDA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24058-2024</t>
        </is>
      </c>
      <c r="B1325" s="1" t="n">
        <v>45456.52788194444</v>
      </c>
      <c r="C1325" s="1" t="n">
        <v>46019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9874-2025</t>
        </is>
      </c>
      <c r="B1326" s="1" t="n">
        <v>45716.6490162037</v>
      </c>
      <c r="C1326" s="1" t="n">
        <v>46019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22463-2025</t>
        </is>
      </c>
      <c r="B1327" s="1" t="n">
        <v>45786.61159722223</v>
      </c>
      <c r="C1327" s="1" t="n">
        <v>46019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2025-12-28T09:28:23Z</dcterms:created>
  <dcterms:modified xmlns:dcterms="http://purl.org/dc/terms/" xmlns:xsi="http://www.w3.org/2001/XMLSchema-instance" xsi:type="dcterms:W3CDTF">2025-12-28T09:28:24Z</dcterms:modified>
</cp:coreProperties>
</file>