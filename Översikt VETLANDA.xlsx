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45739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45739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45739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45739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45739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45739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45739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45739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45739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45739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45739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45739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45739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45739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45739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45739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45739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45739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45739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45739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45739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45739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45739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45739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45739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45739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45739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45739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45739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45739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45739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45739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45739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45739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45739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45739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45739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45739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45739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45739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45739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45739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45739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45739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45739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45739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45739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45739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45739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45739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45739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45739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45739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45739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45739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45739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45739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45739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45739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45739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45739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45739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45739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45739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45739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45739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45739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45739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45739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45739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45739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45739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45739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45739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45739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45739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45739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45739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45739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45739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45739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45739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45739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45739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45739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45739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45739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45739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45739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45739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45739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45739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45739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45739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45739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45739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45739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45739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45739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45739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45739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45739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45739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45739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45739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45739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45739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45739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45739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45739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45739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45739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45739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45739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45739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45739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45739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45739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45739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45739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45739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45739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45739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45739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45739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45739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45739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45739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45739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45739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45739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45739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45739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45739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45739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HYPERLINK("https://klasma.github.io/Logging_0685/artfynd/A 13613-2025 artfynd.xlsx", "A 13613-2025")</f>
        <v/>
      </c>
      <c r="T136">
        <f>HYPERLINK("https://klasma.github.io/Logging_0685/kartor/A 13613-2025 karta.png", "A 13613-2025")</f>
        <v/>
      </c>
      <c r="U136">
        <f>HYPERLINK("https://klasma.github.io/Logging_0685/knärot/A 13613-2025 karta knärot.png", "A 13613-2025")</f>
        <v/>
      </c>
      <c r="V136">
        <f>HYPERLINK("https://klasma.github.io/Logging_0685/klagomål/A 13613-2025 FSC-klagomål.docx", "A 13613-2025")</f>
        <v/>
      </c>
      <c r="W136">
        <f>HYPERLINK("https://klasma.github.io/Logging_0685/klagomålsmail/A 13613-2025 FSC-klagomål mail.docx", "A 13613-2025")</f>
        <v/>
      </c>
      <c r="X136">
        <f>HYPERLINK("https://klasma.github.io/Logging_0685/tillsyn/A 13613-2025 tillsynsbegäran.docx", "A 13613-2025")</f>
        <v/>
      </c>
      <c r="Y136">
        <f>HYPERLINK("https://klasma.github.io/Logging_0685/tillsynsmail/A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45739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45739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45739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45739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45739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45739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45739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45739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45739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45739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45739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45739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45739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45739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45739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45739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45739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45739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45739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45739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45739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45739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45739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45739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45739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45739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45739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45739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45739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45739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45739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45739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45739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45739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45739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45739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45739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45739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45739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45739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45739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45739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45739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45739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45739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45739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45739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45739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45739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45739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45739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45739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45739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45739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45739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45739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45739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45739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45739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45739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45739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45739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45739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45739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45739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45739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45739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45739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45739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45739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45739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45739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45739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45739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45739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45739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45739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45739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45739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45739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45739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45739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45739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45739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45739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45739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45739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45739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45739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45739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45739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45739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45739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45739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45739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45739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45739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45739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45739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45739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45739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45739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45739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45739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45739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45739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45739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45739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45739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45739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45739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45739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45739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45739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45739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45739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45739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45739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45739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45739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45739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45739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45739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45739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45739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45739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45739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45739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45739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45739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45739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45739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45739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45739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45739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45739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45739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45739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45739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45739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45739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45739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45739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45739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45739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45739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45739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45739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45739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45739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45739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45739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45739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45739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45739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45739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45739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45739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45739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45739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45739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45739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45739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45739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45739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45739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45739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45739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45739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45739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45739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45739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45739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45739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45739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45739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45739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45739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45739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45739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45739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45739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45739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45739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45739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45739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45739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45739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45739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45739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45739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45739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45739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45739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45739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45739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45739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45739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45739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45739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45739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45739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45739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45739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45739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45739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45739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45739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45739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45739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45739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45739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45739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45739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45739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45739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45739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45739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45739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45739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45739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45739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45739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45739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45739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45739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45739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45739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45739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45739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45739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45739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45739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45739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45739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45739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45739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45739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45739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45739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45739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45739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45739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45739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45739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45739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45739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45739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45739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45739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45739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45739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45739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45739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45739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45739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45739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45739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45739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45739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45739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45739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45739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45739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45739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45739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45739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45739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45739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45739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45739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45739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45739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45739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45739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45739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45739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45739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45739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45739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45739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45739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45739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45739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45739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45739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45739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45739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45739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45739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45739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45739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45739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45739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45739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45739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45739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45739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45739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45739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45739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45739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45739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45739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45739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45739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45739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45739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45739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45739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45739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45739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45739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45739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45739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45739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45739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45739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45739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45739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45739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45739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45739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45739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45739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45739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45739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45739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45739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45739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45739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45739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45739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45739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45739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45739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45739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45739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45739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45739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45739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45739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45739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45739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45739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45739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45739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45739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45739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45739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45739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45739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45739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45739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45739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45739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45739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45739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45739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45739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45739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45739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45739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45739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45739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45739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45739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45739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45739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45739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45739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45739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45739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45739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45739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45739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45739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45739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45739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45739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45739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45739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45739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45739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45739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45739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45739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45739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45739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45739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45739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45739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45739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45739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45739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45739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45739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45739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45739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45739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45739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45739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45739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45739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45739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45739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45739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45739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45739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45739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45739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45739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45739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45739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45739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45739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45739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45739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45739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45739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45739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45739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45739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45739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45739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45739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45739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45739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45739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45739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45739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45739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45739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45739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45739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45739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45739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45739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45739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45739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45739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45739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45739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45739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45739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45739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45739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45739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45739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45739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45739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45739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45739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45739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45739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45739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45739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45739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45739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45739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45739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45739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45739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45739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45739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45739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45739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45739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45739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45739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45739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45739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45739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45739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45739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45739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45739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45739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45739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45739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45739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45739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45739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45739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45739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45739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45739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45739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45739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45739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45739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45739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45739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45739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45739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45739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45739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45739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45739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45739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45739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45739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45739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45739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45739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45739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45739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45739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45739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45739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45739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45739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45739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45739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45739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45739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45739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45739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45739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45739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45739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45739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45739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45739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45739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45739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45739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45739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45739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45739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45739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45739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45739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45739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45739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45739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45739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45739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45739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45739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45739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45739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45739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45739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45739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45739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45739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45739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45739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45739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45739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45739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45739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45739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45739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45739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45739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45739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45739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45739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45739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45739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45739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45739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45739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45739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45739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45739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45739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45739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45739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45739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45739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45739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45739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45739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45739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45739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45739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45739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45739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45739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45739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45739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45739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45739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45739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45739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45739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45739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45739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45739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45739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45739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45739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45739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45739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45739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45739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45739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45739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45739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45739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45739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45739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45739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45739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45739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45739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45739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45739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45739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45739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45739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45739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45739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45739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45739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45739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45739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45739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45739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45739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45739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45739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45739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45739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45739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45739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45739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45739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45739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45739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45739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45739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45739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45739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45739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45739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45739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45739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45739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45739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45739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45739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45739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45739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45739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45739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45739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45739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45739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45739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45739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45739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45739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45739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45739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45739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45739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45739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45739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45739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45739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45739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45739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45739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45739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45739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45739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45739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45739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45739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45739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45739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45739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45739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45739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45739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45739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45739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45739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45739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45739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45739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45739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45739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45739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45739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45739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45739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45739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45739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45739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45739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45739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45739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45739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45739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45739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45739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45739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45739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45739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45739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45739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45739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45739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45739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45739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45739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45739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45739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45739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45739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45739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45739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45739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45739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45739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45739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45739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45739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45739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45739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45739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45739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45739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45739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45739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45739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45739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45739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45739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45739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45739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45739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45739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45739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45739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45739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45739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45739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45739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45739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45739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45739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45739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45739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45739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45739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45739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45739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45739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45739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45739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45739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45739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45739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45739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45739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45739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45739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45739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45739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45739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45739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45739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45739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45739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45739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45739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45739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45739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45739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45739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45739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45739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45739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45739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45739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45739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45739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45739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45739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45739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45739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45739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45739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45739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45739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45739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45739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45739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45739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45739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45739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45739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45739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45739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45739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45739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45739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45739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45739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45739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45739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45739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45739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45739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45739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45739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45739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45739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45739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45739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45739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45739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45739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45739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45739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45739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45739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45739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45739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45739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45739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45739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45739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45739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45739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45739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45739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45739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45739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45739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45739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45739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45739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45739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45739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45739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45739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45739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45739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45739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45739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45739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45739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45739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45739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45739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45739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45739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45739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45739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45739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45739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45739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45739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45739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45739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45739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45739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45739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45739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45739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45739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45739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45739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45739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45739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45739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45739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45739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45739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45739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45739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45739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45739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45739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45739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45739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45739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45739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45739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45739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45739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45739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45739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45739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45739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45739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45739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45739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45739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45739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45739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45739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45739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45739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45739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45739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45739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45739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45739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45739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45739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45739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45739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45739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45739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45739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45739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45739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45739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45739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45739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45739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45739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45739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45739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45739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45739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45739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45739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45739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45739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45739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45739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45739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45739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45739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45739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45739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45739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45739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45739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45739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45739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45739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45739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45739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45739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45739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45739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45739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45739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45739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45739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45739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45739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45739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45739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45739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45739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45739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45739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45739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45739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45739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45739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45739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45739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45739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45739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45739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45739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45739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45739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45739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45739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45739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45739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45739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45739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45739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45739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45739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45739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45739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45739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45739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45739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45739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45739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45739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45739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45739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45739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45739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45739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45739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45739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45739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45739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45739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45739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45739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45739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45739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45739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45739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45739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45739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45739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45739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45739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45739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45739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45739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45739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45739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45739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45739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45739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45739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45739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45739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45739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45739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45739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45739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45739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45739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45739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45739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45739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45739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45739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45739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45739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45739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45739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45739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45739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45739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45739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45739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45739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45739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45739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45739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45739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45739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45739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45739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45739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45739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45739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45739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45739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45739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45739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45739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45739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45739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45739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45739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45739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45739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45739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45739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45739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45739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45739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45739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45739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45739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45739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45739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45739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45739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45739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45739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45739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45739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45739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45739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45739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45739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45739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45739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45739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45739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45739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45739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45739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45739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45739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45739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45739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45739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45739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45739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45739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45739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45739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45739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45739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45739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45739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45739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45739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45739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45739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45739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45739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45739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45739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45739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45739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45739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45739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45739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45739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45739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45739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45739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45739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45739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45739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45739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45739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45739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45739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45739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45739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45739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45739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45739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45739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45739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45739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45739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45739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45739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45739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45739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45739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45739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45739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45739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45739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45739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45739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45739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45739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45739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45739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45739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45739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45739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45739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45739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45739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45739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45739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45739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45739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45739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45739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45739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45739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45739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45739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45739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45739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45739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45739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45739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45739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45739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45739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45739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45739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45739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45739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45739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45739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45739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45739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45739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45739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45739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45739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45739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45739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45739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45739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45739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45739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45739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45739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45739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45739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45739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45739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45739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45739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45739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45739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45739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45739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45739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45739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45739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45739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45739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45739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45739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45739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45739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45739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45739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45739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45739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45739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45739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45739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45739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45739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45739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45739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45739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45739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45739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45739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45739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45739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45739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45739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45739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45739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45739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45739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45739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45739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45739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45739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45739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45739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45739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45739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45739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45739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45739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45739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45739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45739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45739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45739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45739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45739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45739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45739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45739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45739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45739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45739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45739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45739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45739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45739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45739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45739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45739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45739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45739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45739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45739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45739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45739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45739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45739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45739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45739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45739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45739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45739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45739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45739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45739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45739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45739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45739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45739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45739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45739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45739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45739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45739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45739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45739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45739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45739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45739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45739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45739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45739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45739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45739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45739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45739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45739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45739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45739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45739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45739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45739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45739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45739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45739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45739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45739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45739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45739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45739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45739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45739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45739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45739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45739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45739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45739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45739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45739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45739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45739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45739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45739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45739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45739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45739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45739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45739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45739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45739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45739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45739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45739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45739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45739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45739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45739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45739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45739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45739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45739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45739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45739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45739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45739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45739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45739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45739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45739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45739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45739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45739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45739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45739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45739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45739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45739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45739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45739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45739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45739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45739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45739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45739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45739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45739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45739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45739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45739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45739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45739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45739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45739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45739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45739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45739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45739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45739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45739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45739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45739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45739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45739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45739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45739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45739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45739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45739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45739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45739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45739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45739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45739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45739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45739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45739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45739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45739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45739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45739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45739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45739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45739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45739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45739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45739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45739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45739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45739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45739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45739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45739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45739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45739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45739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45739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45739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45739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45739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45739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45739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45739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45739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45739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45739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45739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45739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45739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45739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45739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45739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45739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45739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45739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45739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45739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45739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45739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45739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45739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45739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45739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45739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45739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45739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45739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45739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45739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45739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45739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45739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45739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45739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45739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45739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45739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45739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45739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45739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45739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45739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45739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45739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45739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45739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45739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45739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45739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45739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45739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45739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45739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45739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45739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45739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45739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45739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45739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45739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45739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45739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45739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45739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45739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45739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45739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45739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45739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45739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45739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45739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45739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45739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45739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45739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45739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45739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45739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45739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45739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45739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45739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45739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45739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45739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45739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45739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45739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45739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45739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45739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45739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45739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45739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45739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45739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45739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45739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45739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45739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45739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45739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45739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45739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45739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45739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45739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45739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45739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45739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45739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45739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45739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45739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45739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45739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45739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45739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45739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45739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45739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45739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45739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45739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45739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45739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45739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45739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45739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45739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45739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45739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45739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45739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45739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45739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45739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45739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45739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45739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45739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45739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45739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45739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45739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45739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45739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45739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45739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45739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45739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45739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45739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45739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45739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45739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45739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45739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45739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45739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45739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45739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45739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45739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45739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45739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45739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45739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45739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45739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45739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45739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45739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45739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45739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45739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45739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45739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45739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45739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45739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45739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45739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45739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45739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45739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45739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45739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45739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45739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45739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45739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45739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45739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45739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45739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45739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45739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45739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45739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45739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45739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45739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45739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45739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45739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45739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45739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45739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45739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45739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45739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45739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45739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45739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45739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45739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45739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45739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45739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45739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45739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45739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45739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45739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45739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45739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45739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45739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45739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45739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45739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45739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45739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45739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45739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45739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45739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45739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45739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45739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45739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45739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45739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45739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45739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45739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45739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45739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45739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45739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45739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45739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45739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45739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45739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45739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45739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45739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45739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45739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45739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45739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45739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45739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45739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45739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45739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45739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45739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45739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45739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45739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45739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45739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45739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45739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45739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45739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45739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45739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45739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45739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45739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45739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45739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45739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45739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45739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45739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45739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45739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45739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45739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45739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45739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45739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45739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45739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45739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45739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45739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45739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45739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45739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45739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45739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45739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45739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45739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45739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45739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45739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45739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45739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45739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45739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45739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45739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45739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45739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45739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45739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45739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45739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45739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45739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45739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45739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45739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45739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45739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45739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45739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45739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45739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45739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45739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45739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45739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45739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45739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45739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45739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45739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45739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45739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45739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45739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45739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45739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45739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45739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45739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45739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45739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45739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45739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45739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45739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45739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45739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45739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45739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45739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45739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45739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45739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45739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45739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45739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45739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45739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45739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45739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45739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45739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45739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45739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45739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45739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45739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45739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45739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45739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45739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45739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45739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45739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45739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45739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45739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45739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45739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45739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45739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45739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45739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45739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45739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45739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45739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45739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45739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45739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45739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45739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45739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45739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45739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45739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45739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45739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45739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45739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45739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45739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45739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45739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45739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45739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45739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45739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45739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45739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45739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45739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45739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45739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45739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45739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45739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45739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45739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45739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45739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45739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45739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45739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45739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45739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45739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45739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45739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45739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45739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45739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45739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45739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45739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45739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45739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45739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45739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45739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45739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45739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45739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45739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45739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45739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45739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45739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45739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45739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45739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45739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45739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45739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45739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45739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45739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45739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45739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45739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45739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45739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45739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45739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45739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45739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45739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45739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45739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45739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45739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45739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45739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45739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45739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45739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45739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45739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45739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45739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45739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45739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45739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45739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45739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45739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45739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45739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45739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45739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45739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45739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45739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45739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45739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45739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45739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45739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45739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45739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45739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45739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45739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45739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45739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45739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45739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45739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45739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45739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45739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45739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45739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45739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45739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45739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45739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45739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45739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45739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45739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45739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45739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45739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45739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45739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45739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45739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45739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45739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45739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45739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45739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45739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45739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45739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45739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45739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45739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45739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45739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45739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45739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45739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45739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45739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45739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45739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45739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45739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45739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45739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45739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45739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45739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45739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45739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45739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45739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45739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45739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45739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45739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45739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45739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45739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45739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45739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45739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45739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45739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45739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45739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45739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45739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45739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45739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45739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45739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45739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45739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45739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45739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45739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45739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45739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45739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45739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45739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45739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45739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45739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45739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45739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45739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45739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45739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45739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45739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45739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45739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45739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45739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45739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45739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45739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45739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45739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45739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45739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45739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45739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45739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45739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45739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45739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45739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45739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45739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45739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45739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45739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45739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45739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45739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45739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45739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45739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45739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45739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45739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45739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45739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45739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45739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45739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45739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45739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45739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45739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45739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45739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45739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45739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45739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45739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45739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45739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45739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45739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45739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45739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45739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45739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45739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45739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45739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45739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45739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45739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45739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45739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45739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45739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45739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45739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45739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45739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45739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45739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45739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45739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45739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45739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45739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45739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45739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45739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45739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45739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45739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45739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45739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45739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45739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45739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45739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45739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9877-2025</t>
        </is>
      </c>
      <c r="B2268" s="1" t="n">
        <v>45716</v>
      </c>
      <c r="C2268" s="1" t="n">
        <v>45739</v>
      </c>
      <c r="D2268" t="inlineStr">
        <is>
          <t>JÖNKÖPINGS LÄN</t>
        </is>
      </c>
      <c r="E2268" t="inlineStr">
        <is>
          <t>VETLANDA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45739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45739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45739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45739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45739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45739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10286-2025</t>
        </is>
      </c>
      <c r="B2275" s="1" t="n">
        <v>45720</v>
      </c>
      <c r="C2275" s="1" t="n">
        <v>45739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10294-2025</t>
        </is>
      </c>
      <c r="B2276" s="1" t="n">
        <v>45720</v>
      </c>
      <c r="C2276" s="1" t="n">
        <v>45739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10366-2025</t>
        </is>
      </c>
      <c r="B2277" s="1" t="n">
        <v>45720</v>
      </c>
      <c r="C2277" s="1" t="n">
        <v>45739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10372-2025</t>
        </is>
      </c>
      <c r="B2278" s="1" t="n">
        <v>45720</v>
      </c>
      <c r="C2278" s="1" t="n">
        <v>45739</v>
      </c>
      <c r="D2278" t="inlineStr">
        <is>
          <t>JÖNKÖPINGS LÄN</t>
        </is>
      </c>
      <c r="E2278" t="inlineStr">
        <is>
          <t>VETLANDA</t>
        </is>
      </c>
      <c r="G2278" t="n">
        <v>12.2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45739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45739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10732-2025</t>
        </is>
      </c>
      <c r="B2281" s="1" t="n">
        <v>45722</v>
      </c>
      <c r="C2281" s="1" t="n">
        <v>45739</v>
      </c>
      <c r="D2281" t="inlineStr">
        <is>
          <t>JÖNKÖPINGS LÄN</t>
        </is>
      </c>
      <c r="E2281" t="inlineStr">
        <is>
          <t>VETLANDA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10698-2025</t>
        </is>
      </c>
      <c r="B2282" s="1" t="n">
        <v>45722</v>
      </c>
      <c r="C2282" s="1" t="n">
        <v>45739</v>
      </c>
      <c r="D2282" t="inlineStr">
        <is>
          <t>JÖNKÖPINGS LÄN</t>
        </is>
      </c>
      <c r="E2282" t="inlineStr">
        <is>
          <t>VETLANDA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45739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45739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45739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45739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45739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45739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45739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45739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45739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12731-2025</t>
        </is>
      </c>
      <c r="B2292" s="1" t="n">
        <v>45733</v>
      </c>
      <c r="C2292" s="1" t="n">
        <v>45739</v>
      </c>
      <c r="D2292" t="inlineStr">
        <is>
          <t>JÖNKÖPINGS LÄN</t>
        </is>
      </c>
      <c r="E2292" t="inlineStr">
        <is>
          <t>VETLANDA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12744-2025</t>
        </is>
      </c>
      <c r="B2293" s="1" t="n">
        <v>45733</v>
      </c>
      <c r="C2293" s="1" t="n">
        <v>45739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12748-2025</t>
        </is>
      </c>
      <c r="B2294" s="1" t="n">
        <v>45733</v>
      </c>
      <c r="C2294" s="1" t="n">
        <v>45739</v>
      </c>
      <c r="D2294" t="inlineStr">
        <is>
          <t>JÖNKÖPINGS LÄN</t>
        </is>
      </c>
      <c r="E2294" t="inlineStr">
        <is>
          <t>VETLANDA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12729-2025</t>
        </is>
      </c>
      <c r="B2295" s="1" t="n">
        <v>45733</v>
      </c>
      <c r="C2295" s="1" t="n">
        <v>45739</v>
      </c>
      <c r="D2295" t="inlineStr">
        <is>
          <t>JÖNKÖPINGS LÄN</t>
        </is>
      </c>
      <c r="E2295" t="inlineStr">
        <is>
          <t>VETLANDA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45739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45739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12910-2025</t>
        </is>
      </c>
      <c r="B2298" s="1" t="n">
        <v>45733</v>
      </c>
      <c r="C2298" s="1" t="n">
        <v>45739</v>
      </c>
      <c r="D2298" t="inlineStr">
        <is>
          <t>JÖNKÖPINGS LÄN</t>
        </is>
      </c>
      <c r="E2298" t="inlineStr">
        <is>
          <t>VETLANDA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45739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13178-2025</t>
        </is>
      </c>
      <c r="B2300" s="1" t="n">
        <v>45735</v>
      </c>
      <c r="C2300" s="1" t="n">
        <v>45739</v>
      </c>
      <c r="D2300" t="inlineStr">
        <is>
          <t>JÖNKÖPINGS LÄN</t>
        </is>
      </c>
      <c r="E2300" t="inlineStr">
        <is>
          <t>VETLANDA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13255-2025</t>
        </is>
      </c>
      <c r="B2301" s="1" t="n">
        <v>45735</v>
      </c>
      <c r="C2301" s="1" t="n">
        <v>45739</v>
      </c>
      <c r="D2301" t="inlineStr">
        <is>
          <t>JÖNKÖPINGS LÄN</t>
        </is>
      </c>
      <c r="E2301" t="inlineStr">
        <is>
          <t>VETLANDA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13593-2025</t>
        </is>
      </c>
      <c r="B2302" s="1" t="n">
        <v>45736</v>
      </c>
      <c r="C2302" s="1" t="n">
        <v>45739</v>
      </c>
      <c r="D2302" t="inlineStr">
        <is>
          <t>JÖNKÖPINGS LÄN</t>
        </is>
      </c>
      <c r="E2302" t="inlineStr">
        <is>
          <t>VETLANDA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13587-2025</t>
        </is>
      </c>
      <c r="B2303" s="1" t="n">
        <v>45736</v>
      </c>
      <c r="C2303" s="1" t="n">
        <v>45739</v>
      </c>
      <c r="D2303" t="inlineStr">
        <is>
          <t>JÖNKÖPINGS LÄN</t>
        </is>
      </c>
      <c r="E2303" t="inlineStr">
        <is>
          <t>VETLANDA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HYPERLINK("https://klasma.github.io/Logging_0685/knärot/A 13587-2025 karta knärot.png", "A 13587-2025")</f>
        <v/>
      </c>
      <c r="V2303">
        <f>HYPERLINK("https://klasma.github.io/Logging_0685/klagomål/A 13587-2025 FSC-klagomål.docx", "A 13587-2025")</f>
        <v/>
      </c>
      <c r="W2303">
        <f>HYPERLINK("https://klasma.github.io/Logging_0685/klagomålsmail/A 13587-2025 FSC-klagomål mail.docx", "A 13587-2025")</f>
        <v/>
      </c>
      <c r="X2303">
        <f>HYPERLINK("https://klasma.github.io/Logging_0685/tillsyn/A 13587-2025 tillsynsbegäran.docx", "A 13587-2025")</f>
        <v/>
      </c>
      <c r="Y2303">
        <f>HYPERLINK("https://klasma.github.io/Logging_0685/tillsynsmail/A 13587-2025 tillsynsbegäran mail.docx", "A 13587-2025")</f>
        <v/>
      </c>
    </row>
    <row r="2304" ht="15" customHeight="1">
      <c r="A2304" t="inlineStr">
        <is>
          <t>A 13791-2025</t>
        </is>
      </c>
      <c r="B2304" s="1" t="n">
        <v>45737</v>
      </c>
      <c r="C2304" s="1" t="n">
        <v>45739</v>
      </c>
      <c r="D2304" t="inlineStr">
        <is>
          <t>JÖNKÖPINGS LÄN</t>
        </is>
      </c>
      <c r="E2304" t="inlineStr">
        <is>
          <t>VETLANDA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13811-2025</t>
        </is>
      </c>
      <c r="B2305" s="1" t="n">
        <v>45737</v>
      </c>
      <c r="C2305" s="1" t="n">
        <v>45739</v>
      </c>
      <c r="D2305" t="inlineStr">
        <is>
          <t>JÖNKÖPINGS LÄN</t>
        </is>
      </c>
      <c r="E2305" t="inlineStr">
        <is>
          <t>VETLANDA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45739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13812-2025</t>
        </is>
      </c>
      <c r="B2307" s="1" t="n">
        <v>45737</v>
      </c>
      <c r="C2307" s="1" t="n">
        <v>45739</v>
      </c>
      <c r="D2307" t="inlineStr">
        <is>
          <t>JÖNKÖPINGS LÄN</t>
        </is>
      </c>
      <c r="E2307" t="inlineStr">
        <is>
          <t>VETLANDA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13816-2025</t>
        </is>
      </c>
      <c r="B2308" s="1" t="n">
        <v>45737</v>
      </c>
      <c r="C2308" s="1" t="n">
        <v>45739</v>
      </c>
      <c r="D2308" t="inlineStr">
        <is>
          <t>JÖNKÖPINGS LÄN</t>
        </is>
      </c>
      <c r="E2308" t="inlineStr">
        <is>
          <t>VETLANDA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13789-2025</t>
        </is>
      </c>
      <c r="B2309" s="1" t="n">
        <v>45737</v>
      </c>
      <c r="C2309" s="1" t="n">
        <v>45739</v>
      </c>
      <c r="D2309" t="inlineStr">
        <is>
          <t>JÖNKÖPINGS LÄN</t>
        </is>
      </c>
      <c r="E2309" t="inlineStr">
        <is>
          <t>VETLANDA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45739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13786-2025</t>
        </is>
      </c>
      <c r="B2311" s="1" t="n">
        <v>45737</v>
      </c>
      <c r="C2311" s="1" t="n">
        <v>45739</v>
      </c>
      <c r="D2311" t="inlineStr">
        <is>
          <t>JÖNKÖPINGS LÄN</t>
        </is>
      </c>
      <c r="E2311" t="inlineStr">
        <is>
          <t>VETLANDA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>
      <c r="A2312" t="inlineStr">
        <is>
          <t>A 13814-2025</t>
        </is>
      </c>
      <c r="B2312" s="1" t="n">
        <v>45737</v>
      </c>
      <c r="C2312" s="1" t="n">
        <v>45739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2025-03-23T17:23:33Z</dcterms:created>
  <dcterms:modified xmlns:dcterms="http://purl.org/dc/terms/" xmlns:xsi="http://www.w3.org/2001/XMLSchema-instance" xsi:type="dcterms:W3CDTF">2025-03-23T17:23:35Z</dcterms:modified>
</cp:coreProperties>
</file>