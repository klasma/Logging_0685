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45811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45811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45811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45811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45811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45811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45811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45811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45811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45811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45811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45811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45811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45811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45811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45811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45811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45811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45811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45811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45811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45811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45811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45811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45811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45811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45811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45811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45811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45811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45811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45811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45811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45811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45811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50033-2024</t>
        </is>
      </c>
      <c r="B37" s="1" t="n">
        <v>45599</v>
      </c>
      <c r="C37" s="1" t="n">
        <v>45811</v>
      </c>
      <c r="D37" t="inlineStr">
        <is>
          <t>JÖNKÖPINGS LÄN</t>
        </is>
      </c>
      <c r="E37" t="inlineStr">
        <is>
          <t>VETLANDA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Skogsalm
Ask
Svinrot</t>
        </is>
      </c>
      <c r="S37">
        <f>HYPERLINK("https://klasma.github.io/Logging_0685/artfynd/A 50033-2024 artfynd.xlsx", "A 50033-2024")</f>
        <v/>
      </c>
      <c r="T37">
        <f>HYPERLINK("https://klasma.github.io/Logging_0685/kartor/A 50033-2024 karta.png", "A 50033-2024")</f>
        <v/>
      </c>
      <c r="V37">
        <f>HYPERLINK("https://klasma.github.io/Logging_0685/klagomål/A 50033-2024 FSC-klagomål.docx", "A 50033-2024")</f>
        <v/>
      </c>
      <c r="W37">
        <f>HYPERLINK("https://klasma.github.io/Logging_0685/klagomålsmail/A 50033-2024 FSC-klagomål mail.docx", "A 50033-2024")</f>
        <v/>
      </c>
      <c r="X37">
        <f>HYPERLINK("https://klasma.github.io/Logging_0685/tillsyn/A 50033-2024 tillsynsbegäran.docx", "A 50033-2024")</f>
        <v/>
      </c>
      <c r="Y37">
        <f>HYPERLINK("https://klasma.github.io/Logging_0685/tillsynsmail/A 50033-2024 tillsynsbegäran mail.docx", "A 50033-2024")</f>
        <v/>
      </c>
    </row>
    <row r="38" ht="15" customHeight="1">
      <c r="A38" t="inlineStr">
        <is>
          <t>A 19430-2025</t>
        </is>
      </c>
      <c r="B38" s="1" t="n">
        <v>45769</v>
      </c>
      <c r="C38" s="1" t="n">
        <v>45811</v>
      </c>
      <c r="D38" t="inlineStr">
        <is>
          <t>JÖNKÖPINGS LÄN</t>
        </is>
      </c>
      <c r="E38" t="inlineStr">
        <is>
          <t>VETLANDA</t>
        </is>
      </c>
      <c r="F38" t="inlineStr">
        <is>
          <t>Sveaskog</t>
        </is>
      </c>
      <c r="G38" t="n">
        <v>3.5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Lungrot
Vårstarr
Vätteros</t>
        </is>
      </c>
      <c r="S38">
        <f>HYPERLINK("https://klasma.github.io/Logging_060685/artfynd/A 19430-2025 artfynd.xlsx", "A 19430-2025")</f>
        <v/>
      </c>
      <c r="T38">
        <f>HYPERLINK("https://klasma.github.io/Logging_060685/kartor/A 19430-2025 karta.png", "A 19430-2025")</f>
        <v/>
      </c>
      <c r="V38">
        <f>HYPERLINK("https://klasma.github.io/Logging_060685/klagomål/A 19430-2025 FSC-klagomål.docx", "A 19430-2025")</f>
        <v/>
      </c>
      <c r="W38">
        <f>HYPERLINK("https://klasma.github.io/Logging_060685/klagomålsmail/A 19430-2025 FSC-klagomål mail.docx", "A 19430-2025")</f>
        <v/>
      </c>
      <c r="X38">
        <f>HYPERLINK("https://klasma.github.io/Logging_060685/tillsyn/A 19430-2025 tillsynsbegäran.docx", "A 19430-2025")</f>
        <v/>
      </c>
      <c r="Y38">
        <f>HYPERLINK("https://klasma.github.io/Logging_060685/tillsynsmail/A 19430-2025 tillsynsbegäran mail.docx", "A 19430-2025")</f>
        <v/>
      </c>
    </row>
    <row r="39" ht="15" customHeight="1">
      <c r="A39" t="inlineStr">
        <is>
          <t>A 18024-2019</t>
        </is>
      </c>
      <c r="B39" s="1" t="n">
        <v>43556</v>
      </c>
      <c r="C39" s="1" t="n">
        <v>45811</v>
      </c>
      <c r="D39" t="inlineStr">
        <is>
          <t>JÖNKÖPINGS LÄN</t>
        </is>
      </c>
      <c r="E39" t="inlineStr">
        <is>
          <t>VETLANDA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Tibast</t>
        </is>
      </c>
      <c r="S39">
        <f>HYPERLINK("https://klasma.github.io/Logging_0685/artfynd/A 18024-2019 artfynd.xlsx", "A 18024-2019")</f>
        <v/>
      </c>
      <c r="T39">
        <f>HYPERLINK("https://klasma.github.io/Logging_0685/kartor/A 18024-2019 karta.png", "A 18024-2019")</f>
        <v/>
      </c>
      <c r="V39">
        <f>HYPERLINK("https://klasma.github.io/Logging_0685/klagomål/A 18024-2019 FSC-klagomål.docx", "A 18024-2019")</f>
        <v/>
      </c>
      <c r="W39">
        <f>HYPERLINK("https://klasma.github.io/Logging_0685/klagomålsmail/A 18024-2019 FSC-klagomål mail.docx", "A 18024-2019")</f>
        <v/>
      </c>
      <c r="X39">
        <f>HYPERLINK("https://klasma.github.io/Logging_0685/tillsyn/A 18024-2019 tillsynsbegäran.docx", "A 18024-2019")</f>
        <v/>
      </c>
      <c r="Y39">
        <f>HYPERLINK("https://klasma.github.io/Logging_0685/tillsynsmail/A 18024-2019 tillsynsbegäran mail.docx", "A 18024-2019")</f>
        <v/>
      </c>
    </row>
    <row r="40" ht="15" customHeight="1">
      <c r="A40" t="inlineStr">
        <is>
          <t>A 25895-2019</t>
        </is>
      </c>
      <c r="B40" s="1" t="n">
        <v>43605</v>
      </c>
      <c r="C40" s="1" t="n">
        <v>45811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6.7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HYPERLINK("https://klasma.github.io/Logging_0685/artfynd/A 25895-2019 artfynd.xlsx", "A 25895-2019")</f>
        <v/>
      </c>
      <c r="T40">
        <f>HYPERLINK("https://klasma.github.io/Logging_0685/kartor/A 25895-2019 karta.png", "A 25895-2019")</f>
        <v/>
      </c>
      <c r="U40">
        <f>HYPERLINK("https://klasma.github.io/Logging_0685/knärot/A 25895-2019 karta knärot.png", "A 25895-2019")</f>
        <v/>
      </c>
      <c r="V40">
        <f>HYPERLINK("https://klasma.github.io/Logging_0685/klagomål/A 25895-2019 FSC-klagomål.docx", "A 25895-2019")</f>
        <v/>
      </c>
      <c r="W40">
        <f>HYPERLINK("https://klasma.github.io/Logging_0685/klagomålsmail/A 25895-2019 FSC-klagomål mail.docx", "A 25895-2019")</f>
        <v/>
      </c>
      <c r="X40">
        <f>HYPERLINK("https://klasma.github.io/Logging_0685/tillsyn/A 25895-2019 tillsynsbegäran.docx", "A 25895-2019")</f>
        <v/>
      </c>
      <c r="Y40">
        <f>HYPERLINK("https://klasma.github.io/Logging_0685/tillsynsmail/A 25895-2019 tillsynsbegäran mail.docx", "A 25895-2019")</f>
        <v/>
      </c>
    </row>
    <row r="41" ht="15" customHeight="1">
      <c r="A41" t="inlineStr">
        <is>
          <t>A 29578-2019</t>
        </is>
      </c>
      <c r="B41" s="1" t="n">
        <v>43627</v>
      </c>
      <c r="C41" s="1" t="n">
        <v>45811</v>
      </c>
      <c r="D41" t="inlineStr">
        <is>
          <t>JÖNKÖPINGS LÄN</t>
        </is>
      </c>
      <c r="E41" t="inlineStr">
        <is>
          <t>VETLANDA</t>
        </is>
      </c>
      <c r="F41" t="inlineStr">
        <is>
          <t>Övriga Aktiebolag</t>
        </is>
      </c>
      <c r="G41" t="n">
        <v>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Trollfibbla
Gullgröppa</t>
        </is>
      </c>
      <c r="S41">
        <f>HYPERLINK("https://klasma.github.io/Logging_0685/artfynd/A 29578-2019 artfynd.xlsx", "A 29578-2019")</f>
        <v/>
      </c>
      <c r="T41">
        <f>HYPERLINK("https://klasma.github.io/Logging_0685/kartor/A 29578-2019 karta.png", "A 29578-2019")</f>
        <v/>
      </c>
      <c r="U41">
        <f>HYPERLINK("https://klasma.github.io/Logging_0685/knärot/A 29578-2019 karta knärot.png", "A 29578-2019")</f>
        <v/>
      </c>
      <c r="V41">
        <f>HYPERLINK("https://klasma.github.io/Logging_0685/klagomål/A 29578-2019 FSC-klagomål.docx", "A 29578-2019")</f>
        <v/>
      </c>
      <c r="W41">
        <f>HYPERLINK("https://klasma.github.io/Logging_0685/klagomålsmail/A 29578-2019 FSC-klagomål mail.docx", "A 29578-2019")</f>
        <v/>
      </c>
      <c r="X41">
        <f>HYPERLINK("https://klasma.github.io/Logging_0685/tillsyn/A 29578-2019 tillsynsbegäran.docx", "A 29578-2019")</f>
        <v/>
      </c>
      <c r="Y41">
        <f>HYPERLINK("https://klasma.github.io/Logging_0685/tillsynsmail/A 29578-2019 tillsynsbegäran mail.docx", "A 29578-2019")</f>
        <v/>
      </c>
    </row>
    <row r="42" ht="15" customHeight="1">
      <c r="A42" t="inlineStr">
        <is>
          <t>A 32503-2019</t>
        </is>
      </c>
      <c r="B42" s="1" t="n">
        <v>43644</v>
      </c>
      <c r="C42" s="1" t="n">
        <v>45811</v>
      </c>
      <c r="D42" t="inlineStr">
        <is>
          <t>JÖNKÖPINGS LÄN</t>
        </is>
      </c>
      <c r="E42" t="inlineStr">
        <is>
          <t>VETLANDA</t>
        </is>
      </c>
      <c r="G42" t="n">
        <v>1.7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Skarp dropptaggsvamp</t>
        </is>
      </c>
      <c r="S42">
        <f>HYPERLINK("https://klasma.github.io/Logging_0685/artfynd/A 32503-2019 artfynd.xlsx", "A 32503-2019")</f>
        <v/>
      </c>
      <c r="T42">
        <f>HYPERLINK("https://klasma.github.io/Logging_0685/kartor/A 32503-2019 karta.png", "A 32503-2019")</f>
        <v/>
      </c>
      <c r="V42">
        <f>HYPERLINK("https://klasma.github.io/Logging_0685/klagomål/A 32503-2019 FSC-klagomål.docx", "A 32503-2019")</f>
        <v/>
      </c>
      <c r="W42">
        <f>HYPERLINK("https://klasma.github.io/Logging_0685/klagomålsmail/A 32503-2019 FSC-klagomål mail.docx", "A 32503-2019")</f>
        <v/>
      </c>
      <c r="X42">
        <f>HYPERLINK("https://klasma.github.io/Logging_0685/tillsyn/A 32503-2019 tillsynsbegäran.docx", "A 32503-2019")</f>
        <v/>
      </c>
      <c r="Y42">
        <f>HYPERLINK("https://klasma.github.io/Logging_0685/tillsynsmail/A 32503-2019 tillsynsbegäran mail.docx", "A 32503-2019")</f>
        <v/>
      </c>
    </row>
    <row r="43" ht="15" customHeight="1">
      <c r="A43" t="inlineStr">
        <is>
          <t>A 45348-2019</t>
        </is>
      </c>
      <c r="B43" s="1" t="n">
        <v>43714</v>
      </c>
      <c r="C43" s="1" t="n">
        <v>45811</v>
      </c>
      <c r="D43" t="inlineStr">
        <is>
          <t>JÖNKÖPINGS LÄN</t>
        </is>
      </c>
      <c r="E43" t="inlineStr">
        <is>
          <t>VETLANDA</t>
        </is>
      </c>
      <c r="G43" t="n">
        <v>12.2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Vanlig padda</t>
        </is>
      </c>
      <c r="S43">
        <f>HYPERLINK("https://klasma.github.io/Logging_0685/artfynd/A 45348-2019 artfynd.xlsx", "A 45348-2019")</f>
        <v/>
      </c>
      <c r="T43">
        <f>HYPERLINK("https://klasma.github.io/Logging_0685/kartor/A 45348-2019 karta.png", "A 45348-2019")</f>
        <v/>
      </c>
      <c r="V43">
        <f>HYPERLINK("https://klasma.github.io/Logging_0685/klagomål/A 45348-2019 FSC-klagomål.docx", "A 45348-2019")</f>
        <v/>
      </c>
      <c r="W43">
        <f>HYPERLINK("https://klasma.github.io/Logging_0685/klagomålsmail/A 45348-2019 FSC-klagomål mail.docx", "A 45348-2019")</f>
        <v/>
      </c>
      <c r="X43">
        <f>HYPERLINK("https://klasma.github.io/Logging_0685/tillsyn/A 45348-2019 tillsynsbegäran.docx", "A 45348-2019")</f>
        <v/>
      </c>
      <c r="Y43">
        <f>HYPERLINK("https://klasma.github.io/Logging_0685/tillsynsmail/A 45348-2019 tillsynsbegäran mail.docx", "A 45348-2019")</f>
        <v/>
      </c>
    </row>
    <row r="44" ht="15" customHeight="1">
      <c r="A44" t="inlineStr">
        <is>
          <t>A 47251-2019</t>
        </is>
      </c>
      <c r="B44" s="1" t="n">
        <v>43721</v>
      </c>
      <c r="C44" s="1" t="n">
        <v>45811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HYPERLINK("https://klasma.github.io/Logging_0685/artfynd/A 47251-2019 artfynd.xlsx", "A 47251-2019")</f>
        <v/>
      </c>
      <c r="T44">
        <f>HYPERLINK("https://klasma.github.io/Logging_0685/kartor/A 47251-2019 karta.png", "A 47251-2019")</f>
        <v/>
      </c>
      <c r="U44">
        <f>HYPERLINK("https://klasma.github.io/Logging_0685/knärot/A 47251-2019 karta knärot.png", "A 47251-2019")</f>
        <v/>
      </c>
      <c r="V44">
        <f>HYPERLINK("https://klasma.github.io/Logging_0685/klagomål/A 47251-2019 FSC-klagomål.docx", "A 47251-2019")</f>
        <v/>
      </c>
      <c r="W44">
        <f>HYPERLINK("https://klasma.github.io/Logging_0685/klagomålsmail/A 47251-2019 FSC-klagomål mail.docx", "A 47251-2019")</f>
        <v/>
      </c>
      <c r="X44">
        <f>HYPERLINK("https://klasma.github.io/Logging_0685/tillsyn/A 47251-2019 tillsynsbegäran.docx", "A 47251-2019")</f>
        <v/>
      </c>
      <c r="Y44">
        <f>HYPERLINK("https://klasma.github.io/Logging_0685/tillsynsmail/A 47251-2019 tillsynsbegäran mail.docx", "A 47251-2019")</f>
        <v/>
      </c>
    </row>
    <row r="45" ht="15" customHeight="1">
      <c r="A45" t="inlineStr">
        <is>
          <t>A 16952-2020</t>
        </is>
      </c>
      <c r="B45" s="1" t="n">
        <v>43913</v>
      </c>
      <c r="C45" s="1" t="n">
        <v>45811</v>
      </c>
      <c r="D45" t="inlineStr">
        <is>
          <t>JÖNKÖPINGS LÄN</t>
        </is>
      </c>
      <c r="E45" t="inlineStr">
        <is>
          <t>VETLANDA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Revlummer</t>
        </is>
      </c>
      <c r="S45">
        <f>HYPERLINK("https://klasma.github.io/Logging_0685/artfynd/A 16952-2020 artfynd.xlsx", "A 16952-2020")</f>
        <v/>
      </c>
      <c r="T45">
        <f>HYPERLINK("https://klasma.github.io/Logging_0685/kartor/A 16952-2020 karta.png", "A 16952-2020")</f>
        <v/>
      </c>
      <c r="V45">
        <f>HYPERLINK("https://klasma.github.io/Logging_0685/klagomål/A 16952-2020 FSC-klagomål.docx", "A 16952-2020")</f>
        <v/>
      </c>
      <c r="W45">
        <f>HYPERLINK("https://klasma.github.io/Logging_0685/klagomålsmail/A 16952-2020 FSC-klagomål mail.docx", "A 16952-2020")</f>
        <v/>
      </c>
      <c r="X45">
        <f>HYPERLINK("https://klasma.github.io/Logging_0685/tillsyn/A 16952-2020 tillsynsbegäran.docx", "A 16952-2020")</f>
        <v/>
      </c>
      <c r="Y45">
        <f>HYPERLINK("https://klasma.github.io/Logging_0685/tillsynsmail/A 16952-2020 tillsynsbegäran mail.docx", "A 16952-2020")</f>
        <v/>
      </c>
    </row>
    <row r="46" ht="15" customHeight="1">
      <c r="A46" t="inlineStr">
        <is>
          <t>A 29939-2020</t>
        </is>
      </c>
      <c r="B46" s="1" t="n">
        <v>44006</v>
      </c>
      <c r="C46" s="1" t="n">
        <v>45811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3.2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Backstarr
Sandviol</t>
        </is>
      </c>
      <c r="S46">
        <f>HYPERLINK("https://klasma.github.io/Logging_0685/artfynd/A 29939-2020 artfynd.xlsx", "A 29939-2020")</f>
        <v/>
      </c>
      <c r="T46">
        <f>HYPERLINK("https://klasma.github.io/Logging_0685/kartor/A 29939-2020 karta.png", "A 29939-2020")</f>
        <v/>
      </c>
      <c r="V46">
        <f>HYPERLINK("https://klasma.github.io/Logging_0685/klagomål/A 29939-2020 FSC-klagomål.docx", "A 29939-2020")</f>
        <v/>
      </c>
      <c r="W46">
        <f>HYPERLINK("https://klasma.github.io/Logging_0685/klagomålsmail/A 29939-2020 FSC-klagomål mail.docx", "A 29939-2020")</f>
        <v/>
      </c>
      <c r="X46">
        <f>HYPERLINK("https://klasma.github.io/Logging_0685/tillsyn/A 29939-2020 tillsynsbegäran.docx", "A 29939-2020")</f>
        <v/>
      </c>
      <c r="Y46">
        <f>HYPERLINK("https://klasma.github.io/Logging_0685/tillsynsmail/A 29939-2020 tillsynsbegäran mail.docx", "A 29939-2020")</f>
        <v/>
      </c>
    </row>
    <row r="47" ht="15" customHeight="1">
      <c r="A47" t="inlineStr">
        <is>
          <t>A 36233-2020</t>
        </is>
      </c>
      <c r="B47" s="1" t="n">
        <v>44049</v>
      </c>
      <c r="C47" s="1" t="n">
        <v>45811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Åkerrättika
Klofibbla</t>
        </is>
      </c>
      <c r="S47">
        <f>HYPERLINK("https://klasma.github.io/Logging_0685/artfynd/A 36233-2020 artfynd.xlsx", "A 36233-2020")</f>
        <v/>
      </c>
      <c r="T47">
        <f>HYPERLINK("https://klasma.github.io/Logging_0685/kartor/A 36233-2020 karta.png", "A 36233-2020")</f>
        <v/>
      </c>
      <c r="V47">
        <f>HYPERLINK("https://klasma.github.io/Logging_0685/klagomål/A 36233-2020 FSC-klagomål.docx", "A 36233-2020")</f>
        <v/>
      </c>
      <c r="W47">
        <f>HYPERLINK("https://klasma.github.io/Logging_0685/klagomålsmail/A 36233-2020 FSC-klagomål mail.docx", "A 36233-2020")</f>
        <v/>
      </c>
      <c r="X47">
        <f>HYPERLINK("https://klasma.github.io/Logging_0685/tillsyn/A 36233-2020 tillsynsbegäran.docx", "A 36233-2020")</f>
        <v/>
      </c>
      <c r="Y47">
        <f>HYPERLINK("https://klasma.github.io/Logging_0685/tillsynsmail/A 36233-2020 tillsynsbegäran mail.docx", "A 36233-2020")</f>
        <v/>
      </c>
    </row>
    <row r="48" ht="15" customHeight="1">
      <c r="A48" t="inlineStr">
        <is>
          <t>A 882-2021</t>
        </is>
      </c>
      <c r="B48" s="1" t="n">
        <v>44205</v>
      </c>
      <c r="C48" s="1" t="n">
        <v>45811</v>
      </c>
      <c r="D48" t="inlineStr">
        <is>
          <t>JÖNKÖPINGS LÄN</t>
        </is>
      </c>
      <c r="E48" t="inlineStr">
        <is>
          <t>VETLANDA</t>
        </is>
      </c>
      <c r="G48" t="n">
        <v>2.9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Sommarfibbla
Svinrot</t>
        </is>
      </c>
      <c r="S48">
        <f>HYPERLINK("https://klasma.github.io/Logging_0685/artfynd/A 882-2021 artfynd.xlsx", "A 882-2021")</f>
        <v/>
      </c>
      <c r="T48">
        <f>HYPERLINK("https://klasma.github.io/Logging_0685/kartor/A 882-2021 karta.png", "A 882-2021")</f>
        <v/>
      </c>
      <c r="V48">
        <f>HYPERLINK("https://klasma.github.io/Logging_0685/klagomål/A 882-2021 FSC-klagomål.docx", "A 882-2021")</f>
        <v/>
      </c>
      <c r="W48">
        <f>HYPERLINK("https://klasma.github.io/Logging_0685/klagomålsmail/A 882-2021 FSC-klagomål mail.docx", "A 882-2021")</f>
        <v/>
      </c>
      <c r="X48">
        <f>HYPERLINK("https://klasma.github.io/Logging_0685/tillsyn/A 882-2021 tillsynsbegäran.docx", "A 882-2021")</f>
        <v/>
      </c>
      <c r="Y48">
        <f>HYPERLINK("https://klasma.github.io/Logging_0685/tillsynsmail/A 882-2021 tillsynsbegäran mail.docx", "A 882-2021")</f>
        <v/>
      </c>
    </row>
    <row r="49" ht="15" customHeight="1">
      <c r="A49" t="inlineStr">
        <is>
          <t>A 10009-2021</t>
        </is>
      </c>
      <c r="B49" s="1" t="n">
        <v>44255</v>
      </c>
      <c r="C49" s="1" t="n">
        <v>45811</v>
      </c>
      <c r="D49" t="inlineStr">
        <is>
          <t>JÖNKÖPINGS LÄN</t>
        </is>
      </c>
      <c r="E49" t="inlineStr">
        <is>
          <t>VETLANDA</t>
        </is>
      </c>
      <c r="G49" t="n">
        <v>6.1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Blomkålssvamp
Blåsippa</t>
        </is>
      </c>
      <c r="S49">
        <f>HYPERLINK("https://klasma.github.io/Logging_0685/artfynd/A 10009-2021 artfynd.xlsx", "A 10009-2021")</f>
        <v/>
      </c>
      <c r="T49">
        <f>HYPERLINK("https://klasma.github.io/Logging_0685/kartor/A 10009-2021 karta.png", "A 10009-2021")</f>
        <v/>
      </c>
      <c r="V49">
        <f>HYPERLINK("https://klasma.github.io/Logging_0685/klagomål/A 10009-2021 FSC-klagomål.docx", "A 10009-2021")</f>
        <v/>
      </c>
      <c r="W49">
        <f>HYPERLINK("https://klasma.github.io/Logging_0685/klagomålsmail/A 10009-2021 FSC-klagomål mail.docx", "A 10009-2021")</f>
        <v/>
      </c>
      <c r="X49">
        <f>HYPERLINK("https://klasma.github.io/Logging_0685/tillsyn/A 10009-2021 tillsynsbegäran.docx", "A 10009-2021")</f>
        <v/>
      </c>
      <c r="Y49">
        <f>HYPERLINK("https://klasma.github.io/Logging_0685/tillsynsmail/A 10009-2021 tillsynsbegäran mail.docx", "A 10009-2021")</f>
        <v/>
      </c>
    </row>
    <row r="50" ht="15" customHeight="1">
      <c r="A50" t="inlineStr">
        <is>
          <t>A 45507-2021</t>
        </is>
      </c>
      <c r="B50" s="1" t="n">
        <v>44440</v>
      </c>
      <c r="C50" s="1" t="n">
        <v>45811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HYPERLINK("https://klasma.github.io/Logging_0685/artfynd/A 45507-2021 artfynd.xlsx", "A 45507-2021")</f>
        <v/>
      </c>
      <c r="T50">
        <f>HYPERLINK("https://klasma.github.io/Logging_0685/kartor/A 45507-2021 karta.png", "A 45507-2021")</f>
        <v/>
      </c>
      <c r="V50">
        <f>HYPERLINK("https://klasma.github.io/Logging_0685/klagomål/A 45507-2021 FSC-klagomål.docx", "A 45507-2021")</f>
        <v/>
      </c>
      <c r="W50">
        <f>HYPERLINK("https://klasma.github.io/Logging_0685/klagomålsmail/A 45507-2021 FSC-klagomål mail.docx", "A 45507-2021")</f>
        <v/>
      </c>
      <c r="X50">
        <f>HYPERLINK("https://klasma.github.io/Logging_0685/tillsyn/A 45507-2021 tillsynsbegäran.docx", "A 45507-2021")</f>
        <v/>
      </c>
      <c r="Y50">
        <f>HYPERLINK("https://klasma.github.io/Logging_0685/tillsynsmail/A 45507-2021 tillsynsbegäran mail.docx", "A 45507-2021")</f>
        <v/>
      </c>
    </row>
    <row r="51" ht="15" customHeight="1">
      <c r="A51" t="inlineStr">
        <is>
          <t>A 73375-2021</t>
        </is>
      </c>
      <c r="B51" s="1" t="n">
        <v>44550</v>
      </c>
      <c r="C51" s="1" t="n">
        <v>45811</v>
      </c>
      <c r="D51" t="inlineStr">
        <is>
          <t>JÖNKÖPINGS LÄN</t>
        </is>
      </c>
      <c r="E51" t="inlineStr">
        <is>
          <t>VETLANDA</t>
        </is>
      </c>
      <c r="G51" t="n">
        <v>7.4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Blåsippa</t>
        </is>
      </c>
      <c r="S51">
        <f>HYPERLINK("https://klasma.github.io/Logging_0685/artfynd/A 73375-2021 artfynd.xlsx", "A 73375-2021")</f>
        <v/>
      </c>
      <c r="T51">
        <f>HYPERLINK("https://klasma.github.io/Logging_0685/kartor/A 73375-2021 karta.png", "A 73375-2021")</f>
        <v/>
      </c>
      <c r="V51">
        <f>HYPERLINK("https://klasma.github.io/Logging_0685/klagomål/A 73375-2021 FSC-klagomål.docx", "A 73375-2021")</f>
        <v/>
      </c>
      <c r="W51">
        <f>HYPERLINK("https://klasma.github.io/Logging_0685/klagomålsmail/A 73375-2021 FSC-klagomål mail.docx", "A 73375-2021")</f>
        <v/>
      </c>
      <c r="X51">
        <f>HYPERLINK("https://klasma.github.io/Logging_0685/tillsyn/A 73375-2021 tillsynsbegäran.docx", "A 73375-2021")</f>
        <v/>
      </c>
      <c r="Y51">
        <f>HYPERLINK("https://klasma.github.io/Logging_0685/tillsynsmail/A 73375-2021 tillsynsbegäran mail.docx", "A 73375-2021")</f>
        <v/>
      </c>
      <c r="Z51">
        <f>HYPERLINK("https://klasma.github.io/Logging_0685/fåglar/A 73375-2021 prioriterade fågelarter.docx", "A 73375-2021")</f>
        <v/>
      </c>
    </row>
    <row r="52" ht="15" customHeight="1">
      <c r="A52" t="inlineStr">
        <is>
          <t>A 7078-2022</t>
        </is>
      </c>
      <c r="B52" s="1" t="n">
        <v>44603</v>
      </c>
      <c r="C52" s="1" t="n">
        <v>45811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Narrklibbfibbla
Fjällig taggsvamp s.str.</t>
        </is>
      </c>
      <c r="S52">
        <f>HYPERLINK("https://klasma.github.io/Logging_0685/artfynd/A 7078-2022 artfynd.xlsx", "A 7078-2022")</f>
        <v/>
      </c>
      <c r="T52">
        <f>HYPERLINK("https://klasma.github.io/Logging_0685/kartor/A 7078-2022 karta.png", "A 7078-2022")</f>
        <v/>
      </c>
      <c r="V52">
        <f>HYPERLINK("https://klasma.github.io/Logging_0685/klagomål/A 7078-2022 FSC-klagomål.docx", "A 7078-2022")</f>
        <v/>
      </c>
      <c r="W52">
        <f>HYPERLINK("https://klasma.github.io/Logging_0685/klagomålsmail/A 7078-2022 FSC-klagomål mail.docx", "A 7078-2022")</f>
        <v/>
      </c>
      <c r="X52">
        <f>HYPERLINK("https://klasma.github.io/Logging_0685/tillsyn/A 7078-2022 tillsynsbegäran.docx", "A 7078-2022")</f>
        <v/>
      </c>
      <c r="Y52">
        <f>HYPERLINK("https://klasma.github.io/Logging_0685/tillsynsmail/A 7078-2022 tillsynsbegäran mail.docx", "A 7078-2022")</f>
        <v/>
      </c>
    </row>
    <row r="53" ht="15" customHeight="1">
      <c r="A53" t="inlineStr">
        <is>
          <t>A 13006-2022</t>
        </is>
      </c>
      <c r="B53" s="1" t="n">
        <v>44643</v>
      </c>
      <c r="C53" s="1" t="n">
        <v>45811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12.5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13006-2022 artfynd.xlsx", "A 13006-2022")</f>
        <v/>
      </c>
      <c r="T53">
        <f>HYPERLINK("https://klasma.github.io/Logging_0685/kartor/A 13006-2022 karta.png", "A 13006-2022")</f>
        <v/>
      </c>
      <c r="U53">
        <f>HYPERLINK("https://klasma.github.io/Logging_0685/knärot/A 13006-2022 karta knärot.png", "A 13006-2022")</f>
        <v/>
      </c>
      <c r="V53">
        <f>HYPERLINK("https://klasma.github.io/Logging_0685/klagomål/A 13006-2022 FSC-klagomål.docx", "A 13006-2022")</f>
        <v/>
      </c>
      <c r="W53">
        <f>HYPERLINK("https://klasma.github.io/Logging_0685/klagomålsmail/A 13006-2022 FSC-klagomål mail.docx", "A 13006-2022")</f>
        <v/>
      </c>
      <c r="X53">
        <f>HYPERLINK("https://klasma.github.io/Logging_0685/tillsyn/A 13006-2022 tillsynsbegäran.docx", "A 13006-2022")</f>
        <v/>
      </c>
      <c r="Y53">
        <f>HYPERLINK("https://klasma.github.io/Logging_0685/tillsynsmail/A 13006-2022 tillsynsbegäran mail.docx", "A 13006-2022")</f>
        <v/>
      </c>
    </row>
    <row r="54" ht="15" customHeight="1">
      <c r="A54" t="inlineStr">
        <is>
          <t>A 17256-2023</t>
        </is>
      </c>
      <c r="B54" s="1" t="n">
        <v>45035</v>
      </c>
      <c r="C54" s="1" t="n">
        <v>45811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Klasefibbla
Vårärt</t>
        </is>
      </c>
      <c r="S54">
        <f>HYPERLINK("https://klasma.github.io/Logging_0685/artfynd/A 17256-2023 artfynd.xlsx", "A 17256-2023")</f>
        <v/>
      </c>
      <c r="T54">
        <f>HYPERLINK("https://klasma.github.io/Logging_0685/kartor/A 17256-2023 karta.png", "A 17256-2023")</f>
        <v/>
      </c>
      <c r="V54">
        <f>HYPERLINK("https://klasma.github.io/Logging_0685/klagomål/A 17256-2023 FSC-klagomål.docx", "A 17256-2023")</f>
        <v/>
      </c>
      <c r="W54">
        <f>HYPERLINK("https://klasma.github.io/Logging_0685/klagomålsmail/A 17256-2023 FSC-klagomål mail.docx", "A 17256-2023")</f>
        <v/>
      </c>
      <c r="X54">
        <f>HYPERLINK("https://klasma.github.io/Logging_0685/tillsyn/A 17256-2023 tillsynsbegäran.docx", "A 17256-2023")</f>
        <v/>
      </c>
      <c r="Y54">
        <f>HYPERLINK("https://klasma.github.io/Logging_0685/tillsynsmail/A 17256-2023 tillsynsbegäran mail.docx", "A 17256-2023")</f>
        <v/>
      </c>
    </row>
    <row r="55" ht="15" customHeight="1">
      <c r="A55" t="inlineStr">
        <is>
          <t>A 19201-2023</t>
        </is>
      </c>
      <c r="B55" s="1" t="n">
        <v>45048</v>
      </c>
      <c r="C55" s="1" t="n">
        <v>45811</v>
      </c>
      <c r="D55" t="inlineStr">
        <is>
          <t>JÖNKÖPINGS LÄN</t>
        </is>
      </c>
      <c r="E55" t="inlineStr">
        <is>
          <t>VETLANDA</t>
        </is>
      </c>
      <c r="G55" t="n">
        <v>4.6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Backsippa
Kryddspindling</t>
        </is>
      </c>
      <c r="S55">
        <f>HYPERLINK("https://klasma.github.io/Logging_0685/artfynd/A 19201-2023 artfynd.xlsx", "A 19201-2023")</f>
        <v/>
      </c>
      <c r="T55">
        <f>HYPERLINK("https://klasma.github.io/Logging_0685/kartor/A 19201-2023 karta.png", "A 19201-2023")</f>
        <v/>
      </c>
      <c r="V55">
        <f>HYPERLINK("https://klasma.github.io/Logging_0685/klagomål/A 19201-2023 FSC-klagomål.docx", "A 19201-2023")</f>
        <v/>
      </c>
      <c r="W55">
        <f>HYPERLINK("https://klasma.github.io/Logging_0685/klagomålsmail/A 19201-2023 FSC-klagomål mail.docx", "A 19201-2023")</f>
        <v/>
      </c>
      <c r="X55">
        <f>HYPERLINK("https://klasma.github.io/Logging_0685/tillsyn/A 19201-2023 tillsynsbegäran.docx", "A 19201-2023")</f>
        <v/>
      </c>
      <c r="Y55">
        <f>HYPERLINK("https://klasma.github.io/Logging_0685/tillsynsmail/A 19201-2023 tillsynsbegäran mail.docx", "A 19201-2023")</f>
        <v/>
      </c>
    </row>
    <row r="56" ht="15" customHeight="1">
      <c r="A56" t="inlineStr">
        <is>
          <t>A 43195-2023</t>
        </is>
      </c>
      <c r="B56" s="1" t="n">
        <v>45183</v>
      </c>
      <c r="C56" s="1" t="n">
        <v>45811</v>
      </c>
      <c r="D56" t="inlineStr">
        <is>
          <t>JÖNKÖPINGS LÄN</t>
        </is>
      </c>
      <c r="E56" t="inlineStr">
        <is>
          <t>VETLANDA</t>
        </is>
      </c>
      <c r="G56" t="n">
        <v>11.9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Talltita</t>
        </is>
      </c>
      <c r="S56">
        <f>HYPERLINK("https://klasma.github.io/Logging_0685/artfynd/A 43195-2023 artfynd.xlsx", "A 43195-2023")</f>
        <v/>
      </c>
      <c r="T56">
        <f>HYPERLINK("https://klasma.github.io/Logging_0685/kartor/A 43195-2023 karta.png", "A 43195-2023")</f>
        <v/>
      </c>
      <c r="U56">
        <f>HYPERLINK("https://klasma.github.io/Logging_0685/knärot/A 43195-2023 karta knärot.png", "A 43195-2023")</f>
        <v/>
      </c>
      <c r="V56">
        <f>HYPERLINK("https://klasma.github.io/Logging_0685/klagomål/A 43195-2023 FSC-klagomål.docx", "A 43195-2023")</f>
        <v/>
      </c>
      <c r="W56">
        <f>HYPERLINK("https://klasma.github.io/Logging_0685/klagomålsmail/A 43195-2023 FSC-klagomål mail.docx", "A 43195-2023")</f>
        <v/>
      </c>
      <c r="X56">
        <f>HYPERLINK("https://klasma.github.io/Logging_0685/tillsyn/A 43195-2023 tillsynsbegäran.docx", "A 43195-2023")</f>
        <v/>
      </c>
      <c r="Y56">
        <f>HYPERLINK("https://klasma.github.io/Logging_0685/tillsynsmail/A 43195-2023 tillsynsbegäran mail.docx", "A 43195-2023")</f>
        <v/>
      </c>
      <c r="Z56">
        <f>HYPERLINK("https://klasma.github.io/Logging_0685/fåglar/A 43195-2023 prioriterade fågelarter.docx", "A 43195-2023")</f>
        <v/>
      </c>
    </row>
    <row r="57" ht="15" customHeight="1">
      <c r="A57" t="inlineStr">
        <is>
          <t>A 48393-2023</t>
        </is>
      </c>
      <c r="B57" s="1" t="n">
        <v>45201</v>
      </c>
      <c r="C57" s="1" t="n">
        <v>45811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5.3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Björktrast
Röd glada</t>
        </is>
      </c>
      <c r="S57">
        <f>HYPERLINK("https://klasma.github.io/Logging_0685/artfynd/A 48393-2023 artfynd.xlsx", "A 48393-2023")</f>
        <v/>
      </c>
      <c r="T57">
        <f>HYPERLINK("https://klasma.github.io/Logging_0685/kartor/A 48393-2023 karta.png", "A 48393-2023")</f>
        <v/>
      </c>
      <c r="V57">
        <f>HYPERLINK("https://klasma.github.io/Logging_0685/klagomål/A 48393-2023 FSC-klagomål.docx", "A 48393-2023")</f>
        <v/>
      </c>
      <c r="W57">
        <f>HYPERLINK("https://klasma.github.io/Logging_0685/klagomålsmail/A 48393-2023 FSC-klagomål mail.docx", "A 48393-2023")</f>
        <v/>
      </c>
      <c r="X57">
        <f>HYPERLINK("https://klasma.github.io/Logging_0685/tillsyn/A 48393-2023 tillsynsbegäran.docx", "A 48393-2023")</f>
        <v/>
      </c>
      <c r="Y57">
        <f>HYPERLINK("https://klasma.github.io/Logging_0685/tillsynsmail/A 48393-2023 tillsynsbegäran mail.docx", "A 48393-2023")</f>
        <v/>
      </c>
      <c r="Z57">
        <f>HYPERLINK("https://klasma.github.io/Logging_0685/fåglar/A 48393-2023 prioriterade fågelarter.docx", "A 48393-2023")</f>
        <v/>
      </c>
    </row>
    <row r="58" ht="15" customHeight="1">
      <c r="A58" t="inlineStr">
        <is>
          <t>A 50867-2023</t>
        </is>
      </c>
      <c r="B58" s="1" t="n">
        <v>45218</v>
      </c>
      <c r="C58" s="1" t="n">
        <v>45811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HYPERLINK("https://klasma.github.io/Logging_0685/artfynd/A 50867-2023 artfynd.xlsx", "A 50867-2023")</f>
        <v/>
      </c>
      <c r="T58">
        <f>HYPERLINK("https://klasma.github.io/Logging_0685/kartor/A 50867-2023 karta.png", "A 50867-2023")</f>
        <v/>
      </c>
      <c r="U58">
        <f>HYPERLINK("https://klasma.github.io/Logging_0685/knärot/A 50867-2023 karta knärot.png", "A 50867-2023")</f>
        <v/>
      </c>
      <c r="V58">
        <f>HYPERLINK("https://klasma.github.io/Logging_0685/klagomål/A 50867-2023 FSC-klagomål.docx", "A 50867-2023")</f>
        <v/>
      </c>
      <c r="W58">
        <f>HYPERLINK("https://klasma.github.io/Logging_0685/klagomålsmail/A 50867-2023 FSC-klagomål mail.docx", "A 50867-2023")</f>
        <v/>
      </c>
      <c r="X58">
        <f>HYPERLINK("https://klasma.github.io/Logging_0685/tillsyn/A 50867-2023 tillsynsbegäran.docx", "A 50867-2023")</f>
        <v/>
      </c>
      <c r="Y58">
        <f>HYPERLINK("https://klasma.github.io/Logging_0685/tillsynsmail/A 50867-2023 tillsynsbegäran mail.docx", "A 50867-2023")</f>
        <v/>
      </c>
    </row>
    <row r="59" ht="15" customHeight="1">
      <c r="A59" t="inlineStr">
        <is>
          <t>A 13323-2024</t>
        </is>
      </c>
      <c r="B59" s="1" t="n">
        <v>45386</v>
      </c>
      <c r="C59" s="1" t="n">
        <v>45811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Vanlig snok</t>
        </is>
      </c>
      <c r="S59">
        <f>HYPERLINK("https://klasma.github.io/Logging_0685/artfynd/A 13323-2024 artfynd.xlsx", "A 13323-2024")</f>
        <v/>
      </c>
      <c r="T59">
        <f>HYPERLINK("https://klasma.github.io/Logging_0685/kartor/A 13323-2024 karta.png", "A 13323-2024")</f>
        <v/>
      </c>
      <c r="U59">
        <f>HYPERLINK("https://klasma.github.io/Logging_0685/knärot/A 13323-2024 karta knärot.png", "A 13323-2024")</f>
        <v/>
      </c>
      <c r="V59">
        <f>HYPERLINK("https://klasma.github.io/Logging_0685/klagomål/A 13323-2024 FSC-klagomål.docx", "A 13323-2024")</f>
        <v/>
      </c>
      <c r="W59">
        <f>HYPERLINK("https://klasma.github.io/Logging_0685/klagomålsmail/A 13323-2024 FSC-klagomål mail.docx", "A 13323-2024")</f>
        <v/>
      </c>
      <c r="X59">
        <f>HYPERLINK("https://klasma.github.io/Logging_0685/tillsyn/A 13323-2024 tillsynsbegäran.docx", "A 13323-2024")</f>
        <v/>
      </c>
      <c r="Y59">
        <f>HYPERLINK("https://klasma.github.io/Logging_0685/tillsynsmail/A 13323-2024 tillsynsbegäran mail.docx", "A 13323-2024")</f>
        <v/>
      </c>
    </row>
    <row r="60" ht="15" customHeight="1">
      <c r="A60" t="inlineStr">
        <is>
          <t>A 28300-2024</t>
        </is>
      </c>
      <c r="B60" s="1" t="n">
        <v>45477</v>
      </c>
      <c r="C60" s="1" t="n">
        <v>45811</v>
      </c>
      <c r="D60" t="inlineStr">
        <is>
          <t>JÖNKÖPINGS LÄN</t>
        </is>
      </c>
      <c r="E60" t="inlineStr">
        <is>
          <t>VETLANDA</t>
        </is>
      </c>
      <c r="G60" t="n">
        <v>7.9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Dropptaggsvamp</t>
        </is>
      </c>
      <c r="S60">
        <f>HYPERLINK("https://klasma.github.io/Logging_0685/artfynd/A 28300-2024 artfynd.xlsx", "A 28300-2024")</f>
        <v/>
      </c>
      <c r="T60">
        <f>HYPERLINK("https://klasma.github.io/Logging_0685/kartor/A 28300-2024 karta.png", "A 28300-2024")</f>
        <v/>
      </c>
      <c r="V60">
        <f>HYPERLINK("https://klasma.github.io/Logging_0685/klagomål/A 28300-2024 FSC-klagomål.docx", "A 28300-2024")</f>
        <v/>
      </c>
      <c r="W60">
        <f>HYPERLINK("https://klasma.github.io/Logging_0685/klagomålsmail/A 28300-2024 FSC-klagomål mail.docx", "A 28300-2024")</f>
        <v/>
      </c>
      <c r="X60">
        <f>HYPERLINK("https://klasma.github.io/Logging_0685/tillsyn/A 28300-2024 tillsynsbegäran.docx", "A 28300-2024")</f>
        <v/>
      </c>
      <c r="Y60">
        <f>HYPERLINK("https://klasma.github.io/Logging_0685/tillsynsmail/A 28300-2024 tillsynsbegäran mail.docx", "A 28300-2024")</f>
        <v/>
      </c>
      <c r="Z60">
        <f>HYPERLINK("https://klasma.github.io/Logging_0685/fåglar/A 28300-2024 prioriterade fågelarter.docx", "A 28300-2024")</f>
        <v/>
      </c>
    </row>
    <row r="61" ht="15" customHeight="1">
      <c r="A61" t="inlineStr">
        <is>
          <t>A 33797-2024</t>
        </is>
      </c>
      <c r="B61" s="1" t="n">
        <v>45520</v>
      </c>
      <c r="C61" s="1" t="n">
        <v>45811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Vanlig groda</t>
        </is>
      </c>
      <c r="S61">
        <f>HYPERLINK("https://klasma.github.io/Logging_0685/artfynd/A 33797-2024 artfynd.xlsx", "A 33797-2024")</f>
        <v/>
      </c>
      <c r="T61">
        <f>HYPERLINK("https://klasma.github.io/Logging_0685/kartor/A 33797-2024 karta.png", "A 33797-2024")</f>
        <v/>
      </c>
      <c r="U61">
        <f>HYPERLINK("https://klasma.github.io/Logging_0685/knärot/A 33797-2024 karta knärot.png", "A 33797-2024")</f>
        <v/>
      </c>
      <c r="V61">
        <f>HYPERLINK("https://klasma.github.io/Logging_0685/klagomål/A 33797-2024 FSC-klagomål.docx", "A 33797-2024")</f>
        <v/>
      </c>
      <c r="W61">
        <f>HYPERLINK("https://klasma.github.io/Logging_0685/klagomålsmail/A 33797-2024 FSC-klagomål mail.docx", "A 33797-2024")</f>
        <v/>
      </c>
      <c r="X61">
        <f>HYPERLINK("https://klasma.github.io/Logging_0685/tillsyn/A 33797-2024 tillsynsbegäran.docx", "A 33797-2024")</f>
        <v/>
      </c>
      <c r="Y61">
        <f>HYPERLINK("https://klasma.github.io/Logging_0685/tillsynsmail/A 33797-2024 tillsynsbegäran mail.docx", "A 33797-2024")</f>
        <v/>
      </c>
    </row>
    <row r="62" ht="15" customHeight="1">
      <c r="A62" t="inlineStr">
        <is>
          <t>A 39302-2024</t>
        </is>
      </c>
      <c r="B62" s="1" t="n">
        <v>45551</v>
      </c>
      <c r="C62" s="1" t="n">
        <v>45811</v>
      </c>
      <c r="D62" t="inlineStr">
        <is>
          <t>JÖNKÖPINGS LÄN</t>
        </is>
      </c>
      <c r="E62" t="inlineStr">
        <is>
          <t>VETLANDA</t>
        </is>
      </c>
      <c r="G62" t="n">
        <v>0.7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Dvärgpipistrell</t>
        </is>
      </c>
      <c r="S62">
        <f>HYPERLINK("https://klasma.github.io/Logging_0685/artfynd/A 39302-2024 artfynd.xlsx", "A 39302-2024")</f>
        <v/>
      </c>
      <c r="T62">
        <f>HYPERLINK("https://klasma.github.io/Logging_0685/kartor/A 39302-2024 karta.png", "A 39302-2024")</f>
        <v/>
      </c>
      <c r="V62">
        <f>HYPERLINK("https://klasma.github.io/Logging_0685/klagomål/A 39302-2024 FSC-klagomål.docx", "A 39302-2024")</f>
        <v/>
      </c>
      <c r="W62">
        <f>HYPERLINK("https://klasma.github.io/Logging_0685/klagomålsmail/A 39302-2024 FSC-klagomål mail.docx", "A 39302-2024")</f>
        <v/>
      </c>
      <c r="X62">
        <f>HYPERLINK("https://klasma.github.io/Logging_0685/tillsyn/A 39302-2024 tillsynsbegäran.docx", "A 39302-2024")</f>
        <v/>
      </c>
      <c r="Y62">
        <f>HYPERLINK("https://klasma.github.io/Logging_0685/tillsynsmail/A 39302-2024 tillsynsbegäran mail.docx", "A 39302-2024")</f>
        <v/>
      </c>
    </row>
    <row r="63" ht="15" customHeight="1">
      <c r="A63" t="inlineStr">
        <is>
          <t>A 47346-2024</t>
        </is>
      </c>
      <c r="B63" s="1" t="n">
        <v>45587</v>
      </c>
      <c r="C63" s="1" t="n">
        <v>45811</v>
      </c>
      <c r="D63" t="inlineStr">
        <is>
          <t>JÖNKÖPINGS LÄN</t>
        </is>
      </c>
      <c r="E63" t="inlineStr">
        <is>
          <t>VETLANDA</t>
        </is>
      </c>
      <c r="G63" t="n">
        <v>1.1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HYPERLINK("https://klasma.github.io/Logging_0685/artfynd/A 47346-2024 artfynd.xlsx", "A 47346-2024")</f>
        <v/>
      </c>
      <c r="T63">
        <f>HYPERLINK("https://klasma.github.io/Logging_0685/kartor/A 47346-2024 karta.png", "A 47346-2024")</f>
        <v/>
      </c>
      <c r="V63">
        <f>HYPERLINK("https://klasma.github.io/Logging_0685/klagomål/A 47346-2024 FSC-klagomål.docx", "A 47346-2024")</f>
        <v/>
      </c>
      <c r="W63">
        <f>HYPERLINK("https://klasma.github.io/Logging_0685/klagomålsmail/A 47346-2024 FSC-klagomål mail.docx", "A 47346-2024")</f>
        <v/>
      </c>
      <c r="X63">
        <f>HYPERLINK("https://klasma.github.io/Logging_0685/tillsyn/A 47346-2024 tillsynsbegäran.docx", "A 47346-2024")</f>
        <v/>
      </c>
      <c r="Y63">
        <f>HYPERLINK("https://klasma.github.io/Logging_0685/tillsynsmail/A 47346-2024 tillsynsbegäran mail.docx", "A 47346-2024")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45811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45811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45811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45811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45811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45811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45811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45811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45811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45811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45811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45811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45811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45811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45811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45811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45811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45811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45811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45811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45811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45811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45811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45811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45811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45811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45811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45811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45811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45811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45811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45811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45811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45811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45811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45811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45811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45811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45811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45811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45811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45811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45811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45811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45811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45811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45811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45811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45811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45811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45811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45811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45811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45811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45811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45811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45811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45811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45811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45811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45811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45811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45811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45811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45811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45811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45811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45811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45811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45811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45811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45811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45811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45811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45811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45811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45811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45811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45811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45811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45811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45811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45811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45811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45811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45811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45811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45811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45811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45811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45811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45811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45811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45811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45811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45811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45811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45811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45811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45811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45811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45811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45811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45811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45811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45811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45811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45811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45811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45811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45811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45811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45811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45811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45811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45811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45811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45811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45811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45811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45811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45811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45811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45811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45811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45811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45811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45811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45811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45811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45811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45811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45811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45811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45811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45811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45811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45811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45811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45811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45811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45811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45811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45811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45811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45811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45811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45811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45811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45811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45811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45811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45811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45811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45811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45811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45811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45811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45811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45811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45811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45811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45811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45811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45811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45811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45811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45811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45811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45811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45811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45811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45811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45811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45811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45811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45811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45811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45811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45811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45811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45811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45811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45811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45811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45811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45811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45811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45811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45811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45811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45811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45811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45811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45811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45811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45811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45811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45811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45811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45811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45811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45811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45811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45811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45811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45811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45811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45811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45811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45811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45811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45811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45811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45811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45811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45811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45811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45811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45811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45811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45811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45811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45811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45811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45811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45811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45811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45811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45811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45811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45811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45811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45811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45811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45811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45811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45811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45811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45811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45811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45811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45811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45811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45811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45811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45811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45811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45811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45811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45811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45811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45811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45811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45811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45811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45811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45811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45811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45811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45811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45811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45811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45811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45811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45811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45811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45811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45811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45811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45811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45811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45811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45811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45811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45811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45811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45811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45811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45811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45811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45811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45811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45811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45811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45811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45811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45811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45811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45811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45811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45811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45811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45811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45811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45811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45811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45811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45811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45811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45811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45811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45811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45811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45811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45811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45811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45811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45811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45811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45811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45811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45811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45811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45811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45811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45811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45811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45811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45811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45811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45811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45811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45811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45811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45811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45811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45811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45811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45811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45811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45811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45811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45811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45811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45811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45811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45811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45811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45811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45811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45811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45811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45811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45811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45811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45811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45811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45811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45811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45811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45811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45811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45811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45811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45811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45811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45811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45811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45811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45811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45811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45811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45811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45811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45811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45811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45811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45811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45811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45811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45811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45811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45811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45811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45811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45811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45811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45811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45811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45811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45811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45811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45811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45811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45811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45811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45811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45811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45811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45811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45811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45811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45811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45811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45811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45811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45811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45811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45811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45811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45811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45811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45811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45811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45811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45811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45811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45811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45811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45811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45811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45811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45811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45811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45811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45811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45811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45811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45811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45811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45811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45811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45811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45811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45811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45811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45811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45811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45811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45811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45811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45811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45811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45811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45811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45811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45811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45811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45811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45811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45811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45811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45811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45811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45811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45811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45811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45811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45811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45811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45811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45811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45811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45811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45811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45811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45811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45811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45811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45811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45811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45811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45811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45811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45811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45811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45811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45811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45811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45811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45811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45811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45811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45811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45811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45811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45811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45811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45811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45811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45811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45811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45811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45811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45811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45811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45811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45811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45811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45811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45811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45811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45811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45811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45811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45811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45811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45811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45811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45811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45811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45811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45811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45811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45811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45811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45811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45811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45811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45811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45811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45811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45811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45811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45811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45811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45811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45811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45811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45811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45811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45811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45811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45811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45811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45811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45811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45811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45811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45811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45811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45811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45811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45811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45811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45811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45811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45811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45811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45811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45811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45811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45811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45811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45811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45811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45811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45811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45811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45811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45811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45811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45811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45811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45811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45811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45811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45811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45811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45811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45811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45811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45811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45811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45811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45811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45811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45811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45811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45811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45811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45811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45811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45811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45811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45811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45811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45811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45811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45811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45811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45811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45811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45811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45811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45811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45811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45811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45811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45811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45811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45811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45811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45811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45811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45811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45811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45811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45811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45811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45811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45811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45811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45811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45811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45811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45811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45811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45811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45811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45811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45811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45811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45811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45811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45811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45811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45811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45811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45811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45811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45811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45811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45811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45811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45811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45811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45811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45811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45811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45811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45811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45811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45811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45811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45811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45811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45811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45811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45811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45811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45811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45811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45811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45811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45811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45811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45811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45811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45811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45811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45811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45811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45811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45811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45811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45811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45811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45811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45811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45811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45811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45811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45811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45811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45811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45811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45811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45811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45811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45811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45811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45811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45811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45811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45811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45811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45811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45811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45811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45811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45811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45811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45811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45811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45811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45811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45811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45811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45811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45811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45811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45811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45811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45811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45811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45811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45811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45811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45811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45811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45811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45811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45811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45811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45811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45811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45811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45811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45811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45811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45811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45811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45811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45811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45811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45811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45811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45811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45811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45811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45811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45811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45811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45811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45811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45811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45811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45811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45811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45811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45811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45811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45811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45811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45811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45811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45811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45811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45811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45811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45811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45811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45811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45811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45811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45811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45811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45811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45811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45811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45811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45811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45811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45811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45811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45811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45811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45811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45811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45811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45811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45811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45811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45811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45811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45811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45811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45811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45811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45811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45811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45811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45811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45811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45811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45811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45811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45811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45811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45811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45811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45811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45811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45811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45811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45811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45811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45811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45811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45811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45811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45811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45811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45811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45811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45811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45811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45811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45811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45811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45811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45811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45811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45811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45811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45811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45811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45811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45811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45811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45811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45811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45811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45811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45811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45811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45811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45811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45811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45811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45811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45811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45811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45811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45811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45811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45811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45811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45811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45811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45811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45811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45811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45811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45811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45811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45811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45811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45811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45811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45811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45811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45811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45811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45811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45811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45811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45811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45811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45811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45811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45811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45811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45811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45811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45811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45811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45811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45811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45811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45811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45811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45811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45811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45811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45811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45811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45811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45811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45811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45811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45811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45811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45811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45811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45811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45811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45811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45811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45811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45811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45811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45811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45811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45811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45811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45811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45811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45811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45811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45811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45811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45811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45811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45811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45811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45811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45811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45811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45811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45811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45811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45811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45811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45811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45811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45811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45811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45811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45811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45811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45811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45811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45811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45811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45811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45811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45811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45811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45811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45811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45811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45811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45811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45811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45811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45811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45811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45811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45811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45811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45811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45811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45811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45811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45811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45811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45811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45811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45811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45811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45811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45811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45811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45811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45811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45811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45811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45811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45811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45811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45811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45811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45811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45811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45811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45811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45811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45811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45811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45811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45811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45811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45811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45811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45811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45811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45811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45811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45811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45811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45811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45811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45811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45811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45811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45811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45811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45811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45811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45811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45811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45811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45811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45811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45811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45811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45811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45811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45811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45811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45811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45811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45811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45811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45811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45811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45811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45811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45811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45811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45811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45811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45811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45811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45811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45811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45811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45811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45811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45811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45811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45811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45811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45811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45811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45811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45811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45811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45811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45811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45811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45811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45811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45811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45811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45811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45811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45811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45811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45811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45811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45811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45811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45811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45811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45811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45811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45811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45811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45811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45811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45811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45811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45811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45811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45811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45811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45811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45811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45811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45811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45811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45811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45811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45811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45811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45811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45811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45811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45811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45811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45811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45811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45811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45811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45811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45811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45811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45811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45811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45811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45811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45811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45811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45811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45811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45811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45811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45811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45811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45811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45811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45811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45811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45811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45811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45811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45811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45811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45811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45811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45811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45811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45811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45811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45811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45811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45811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45811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45811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45811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45811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45811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45811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45811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45811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45811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45811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45811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45811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45811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45811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45811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45811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45811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45811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45811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45811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45811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45811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45811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45811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45811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45811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45811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45811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45811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45811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45811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45811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45811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45811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45811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45811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45811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45811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45811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45811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45811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45811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45811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45811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45811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45811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45811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45811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45811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45811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45811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45811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45811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45811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45811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45811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45811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45811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45811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45811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45811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45811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45811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45811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45811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45811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45811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45811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45811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45811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45811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45811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45811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45811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45811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45811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45811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45811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45811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45811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45811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45811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45811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45811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45811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45811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45811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45811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45811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45811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45811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45811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45811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45811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45811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45811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45811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45811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45811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45811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45811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45811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45811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45811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45811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45811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45811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45811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45811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45811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45811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45811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45811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45811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45811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45811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45811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45811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45811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45811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45811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45811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45811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45811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45811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45811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45811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45811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45811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45811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45811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45811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45811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45811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45811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45811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45811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45811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45811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45811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45811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45811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45811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45811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45811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45811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45811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45811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45811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45811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45811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45811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45811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45811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45811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45811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45811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45811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45811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45811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45811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45811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45811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45811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45811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45811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45811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45811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45811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45811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45811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45811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45811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45811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45811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45811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45811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45811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45811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45811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45811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45811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45811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45811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45811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45811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45811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45811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45811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45811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45811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45811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45811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45811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45811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45811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45811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45811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45811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45811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45811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45811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45811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45811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45811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45811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45811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45811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45811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45811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45811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45811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45811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45811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45811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45811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45811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45811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45811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45811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45811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45811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45811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45811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45811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45811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45811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45811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45811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45811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45811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45811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45811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45811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45811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45811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45811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45811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45811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45811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45811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45811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45811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45811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45811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45811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45811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45811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45811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45811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45811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45811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45811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45811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45811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45811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45811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45811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45811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45811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45811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45811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45811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45811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45811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45811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45811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45811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45811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45811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45811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45811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45811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45811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45811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45811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45811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45811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45811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45811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45811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45811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45811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45811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45811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45811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45811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45811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45811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45811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45811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45811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45811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45811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45811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45811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45811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45811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45811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45811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45811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45811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45811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45811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45811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45811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45811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45811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45811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45811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45811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45811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45811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45811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45811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45811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45811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45811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45811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45811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45811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45811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45811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45811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45811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45811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45811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45811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45811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45811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45811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45811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45811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45811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45811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45811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45811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45811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45811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45811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45811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45811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45811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45811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45811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45811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45811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45811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45811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45811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45811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45811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45811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45811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45811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45811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45811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45811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45811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45811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45811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45811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45811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45811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45811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45811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45811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45811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45811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45811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45811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45811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45811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45811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45811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45811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45811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45811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45811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45811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45811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45811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45811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45811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45811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45811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45811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45811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45811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45811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45811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45811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45811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45811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45811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45811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45811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45811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45811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45811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45811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45811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45811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45811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45811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45811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45811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45811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45811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45811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45811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45811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45811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45811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45811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45811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45811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45811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45811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45811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45811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45811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45811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45811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45811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45811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45811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45811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45811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45811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45811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45811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45811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45811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45811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45811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45811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45811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45811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45811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45811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45811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45811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45811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45811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45811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45811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45811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45811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45811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45811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45811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45811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45811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45811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45811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45811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45811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45811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45811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45811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45811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45811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45811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45811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45811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45811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45811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45811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45811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45811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45811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45811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45811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45811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45811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45811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45811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45811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45811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45811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45811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45811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45811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45811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45811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45811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45811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45811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45811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45811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45811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45811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45811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45811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45811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45811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45811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45811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45811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45811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45811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45811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45811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45811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45811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45811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45811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45811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45811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45811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45811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45811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45811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45811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45811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45811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45811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45811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45811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45811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45811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45811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45811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45811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45811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45811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45811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45811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45811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45811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45811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45811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45811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45811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45811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45811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45811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45811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45811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45811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45811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45811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45811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45811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45811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45811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45811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45811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45811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45811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45811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45811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45811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45811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45811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45811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45811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45811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45811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45811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45811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45811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45811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45811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45811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45811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45811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45811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45811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45811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45811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45811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45811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45811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45811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45811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45811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45811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45811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45811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45811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45811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45811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45811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45811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45811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45811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45811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45811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45811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45811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45811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45811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45811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45811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45811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45811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45811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45811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45811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45811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45811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45811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45811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45811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45811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45811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45811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45811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45811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45811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45811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45811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45811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45811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45811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45811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45811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45811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45811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45811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45811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45811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45811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45811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45811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45811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45811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45811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45811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45811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45811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45811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45811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45811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45811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45811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45811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45811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45811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45811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45811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45811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45811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45811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45811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45811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45811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45811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45811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45811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45811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45811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45811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45811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45811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45811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45811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45811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45811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45811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45811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45811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45811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45811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45811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45811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45811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45811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45811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45811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45811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45811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45811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45811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45811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45811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45811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45811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45811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45811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45811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45811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45811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45811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45811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45811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45811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45811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45811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45811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45811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45811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45811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45811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45811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45811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45811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45811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45811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45811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45811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45811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45811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45811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45811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45811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45811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45811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45811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45811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45811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45811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45811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45811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45811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45811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45811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45811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45811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45811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45811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45811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45811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45811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45811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45811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45811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45811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45811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45811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45811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45811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45811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45811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45811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45811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45811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45811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45811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45811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45811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45811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45811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45811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45811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45811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45811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45811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45811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45811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45811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45811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45811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45811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45811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45811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45811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45811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45811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45811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45811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45811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45811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45811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45811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45811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45811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45811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45811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45811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45811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45811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45811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45811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45811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45811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45811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45811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45811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45811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45811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45811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45811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45811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45811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45811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45811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45811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45811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45811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45811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45811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45811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45811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45811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45811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45811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45811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45811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45811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45811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45811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45811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45811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45811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45811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45811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45811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45811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45811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45811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45811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45811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45811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45811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45811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45811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45811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45811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45811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45811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45811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45811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45811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45811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45811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45811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45811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45811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45811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45811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45811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45811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45811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45811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45811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45811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45811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45811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45811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45811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45811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45811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45811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45811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45811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45811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45811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45811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45811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45811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45811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45811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45811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45811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45811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45811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45811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45811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45811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45811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45811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45811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45811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45811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45811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45811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45811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45811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45811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45811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45811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45811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45811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45811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45811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45811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45811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45811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45811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45811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45811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45811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45811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45811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45811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45811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45811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45811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45811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45811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45811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45811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45811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45811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45811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45811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45811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45811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45811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45811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45811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45811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45811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45811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45811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45811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45811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45811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45811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45811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45811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45811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45811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45811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45811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45811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45811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45811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45811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45811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45811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45811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45811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45811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45811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45811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45811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45811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45811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45811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45811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45811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45811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45811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45811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45811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45811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45811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45811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45811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45811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45811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45811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45811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45811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45811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45811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45811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45811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45811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45811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45811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45811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45811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45811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45811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45811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45811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45811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45811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45811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45811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45811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45811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45811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45811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45811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45811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45811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45811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45811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45811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45811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45811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45811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45811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45811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45811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45811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45811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45811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45811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45811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45811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45811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45811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45811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45811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45811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45811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45811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45811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45811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45811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45811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45811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45811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45811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45811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45811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45811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45811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45811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45811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45811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45811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45811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45811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45811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45811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45811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45811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45811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45811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45811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45811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45811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45811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45811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45811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45811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45811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45811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45811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45811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45811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45811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45811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45811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45811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45811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45811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45811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45811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45811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45811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45811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45811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45811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45811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45811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45811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45811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45811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45811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45811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45811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45811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45811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45811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45811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45811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45811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45811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45811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45811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45811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45811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45811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45811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45811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45811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45811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45811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45811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45811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45811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45811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45811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45811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45811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45811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45811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45811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45811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45811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45811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45811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45811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45811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45811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45811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45811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45811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45811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45811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45811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45811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45811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45811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45811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45811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45811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45811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45811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45811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45811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45811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45811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45811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45811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45811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45811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45811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45811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45811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45811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45811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45811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45811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45811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45811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45811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45811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45811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45811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45811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45811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45811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45811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45811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45811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45811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45811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45811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45811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45811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45811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45811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45811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45811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45811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45811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45811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45811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45811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45811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45811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45811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45811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45811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45811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45811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45811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45811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45811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45811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45811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45811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45811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45811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45811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45811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45811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45811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45811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45811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45811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45811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45811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45811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45811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45811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45811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45811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45811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45811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45811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45811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45811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45811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45811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45811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45811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45811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45811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45811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45811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45811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45811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45811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45811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45811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45811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45811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45811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45811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45811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45811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45811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45811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45811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45811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45811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45811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45811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45811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45811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45811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45811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45811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45811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45811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45811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45811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45811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45811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45811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45811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19548-2025</t>
        </is>
      </c>
      <c r="B2377" s="1" t="n">
        <v>45770</v>
      </c>
      <c r="C2377" s="1" t="n">
        <v>45811</v>
      </c>
      <c r="D2377" t="inlineStr">
        <is>
          <t>JÖNKÖPINGS LÄN</t>
        </is>
      </c>
      <c r="E2377" t="inlineStr">
        <is>
          <t>VETLANDA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19552-2025</t>
        </is>
      </c>
      <c r="B2378" s="1" t="n">
        <v>45770</v>
      </c>
      <c r="C2378" s="1" t="n">
        <v>45811</v>
      </c>
      <c r="D2378" t="inlineStr">
        <is>
          <t>JÖNKÖPINGS LÄN</t>
        </is>
      </c>
      <c r="E2378" t="inlineStr">
        <is>
          <t>VETLANDA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19557-2025</t>
        </is>
      </c>
      <c r="B2379" s="1" t="n">
        <v>45770</v>
      </c>
      <c r="C2379" s="1" t="n">
        <v>45811</v>
      </c>
      <c r="D2379" t="inlineStr">
        <is>
          <t>JÖNKÖPINGS LÄN</t>
        </is>
      </c>
      <c r="E2379" t="inlineStr">
        <is>
          <t>VETLANDA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19845-2025</t>
        </is>
      </c>
      <c r="B2380" s="1" t="n">
        <v>45771</v>
      </c>
      <c r="C2380" s="1" t="n">
        <v>45811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19802-2025</t>
        </is>
      </c>
      <c r="B2381" s="1" t="n">
        <v>45771</v>
      </c>
      <c r="C2381" s="1" t="n">
        <v>45811</v>
      </c>
      <c r="D2381" t="inlineStr">
        <is>
          <t>JÖNKÖPINGS LÄN</t>
        </is>
      </c>
      <c r="E2381" t="inlineStr">
        <is>
          <t>VETLANDA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19806-2025</t>
        </is>
      </c>
      <c r="B2382" s="1" t="n">
        <v>45771</v>
      </c>
      <c r="C2382" s="1" t="n">
        <v>45811</v>
      </c>
      <c r="D2382" t="inlineStr">
        <is>
          <t>JÖNKÖPINGS LÄN</t>
        </is>
      </c>
      <c r="E2382" t="inlineStr">
        <is>
          <t>VETLANDA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19844-2025</t>
        </is>
      </c>
      <c r="B2383" s="1" t="n">
        <v>45771</v>
      </c>
      <c r="C2383" s="1" t="n">
        <v>45811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8.699999999999999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19804-2025</t>
        </is>
      </c>
      <c r="B2384" s="1" t="n">
        <v>45771</v>
      </c>
      <c r="C2384" s="1" t="n">
        <v>45811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45811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45811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45811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45811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21676-2025</t>
        </is>
      </c>
      <c r="B2389" s="1" t="n">
        <v>45783</v>
      </c>
      <c r="C2389" s="1" t="n">
        <v>45811</v>
      </c>
      <c r="D2389" t="inlineStr">
        <is>
          <t>JÖNKÖPINGS LÄN</t>
        </is>
      </c>
      <c r="E2389" t="inlineStr">
        <is>
          <t>VETLANDA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45811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21818-2025</t>
        </is>
      </c>
      <c r="B2391" s="1" t="n">
        <v>45783</v>
      </c>
      <c r="C2391" s="1" t="n">
        <v>45811</v>
      </c>
      <c r="D2391" t="inlineStr">
        <is>
          <t>JÖNKÖPINGS LÄN</t>
        </is>
      </c>
      <c r="E2391" t="inlineStr">
        <is>
          <t>VETLANDA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45811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22155-2025</t>
        </is>
      </c>
      <c r="B2393" s="1" t="n">
        <v>45785</v>
      </c>
      <c r="C2393" s="1" t="n">
        <v>45811</v>
      </c>
      <c r="D2393" t="inlineStr">
        <is>
          <t>JÖNKÖPINGS LÄN</t>
        </is>
      </c>
      <c r="E2393" t="inlineStr">
        <is>
          <t>VETLANDA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22230-2025</t>
        </is>
      </c>
      <c r="B2394" s="1" t="n">
        <v>45785</v>
      </c>
      <c r="C2394" s="1" t="n">
        <v>45811</v>
      </c>
      <c r="D2394" t="inlineStr">
        <is>
          <t>JÖNKÖPINGS LÄN</t>
        </is>
      </c>
      <c r="E2394" t="inlineStr">
        <is>
          <t>VETLANDA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22121-2025</t>
        </is>
      </c>
      <c r="B2395" s="1" t="n">
        <v>45785</v>
      </c>
      <c r="C2395" s="1" t="n">
        <v>45811</v>
      </c>
      <c r="D2395" t="inlineStr">
        <is>
          <t>JÖNKÖPINGS LÄN</t>
        </is>
      </c>
      <c r="E2395" t="inlineStr">
        <is>
          <t>VETLANDA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45811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22258-2025</t>
        </is>
      </c>
      <c r="B2397" s="1" t="n">
        <v>45785</v>
      </c>
      <c r="C2397" s="1" t="n">
        <v>45811</v>
      </c>
      <c r="D2397" t="inlineStr">
        <is>
          <t>JÖNKÖPINGS LÄN</t>
        </is>
      </c>
      <c r="E2397" t="inlineStr">
        <is>
          <t>VETLANDA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22421-2025</t>
        </is>
      </c>
      <c r="B2398" s="1" t="n">
        <v>45786</v>
      </c>
      <c r="C2398" s="1" t="n">
        <v>45811</v>
      </c>
      <c r="D2398" t="inlineStr">
        <is>
          <t>JÖNKÖPINGS LÄN</t>
        </is>
      </c>
      <c r="E2398" t="inlineStr">
        <is>
          <t>VETLANDA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22374-2025</t>
        </is>
      </c>
      <c r="B2399" s="1" t="n">
        <v>45786</v>
      </c>
      <c r="C2399" s="1" t="n">
        <v>45811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22465-2025</t>
        </is>
      </c>
      <c r="B2400" s="1" t="n">
        <v>45786</v>
      </c>
      <c r="C2400" s="1" t="n">
        <v>45811</v>
      </c>
      <c r="D2400" t="inlineStr">
        <is>
          <t>JÖNKÖPINGS LÄN</t>
        </is>
      </c>
      <c r="E2400" t="inlineStr">
        <is>
          <t>VETLANDA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22420-2025</t>
        </is>
      </c>
      <c r="B2401" s="1" t="n">
        <v>45786</v>
      </c>
      <c r="C2401" s="1" t="n">
        <v>45811</v>
      </c>
      <c r="D2401" t="inlineStr">
        <is>
          <t>JÖNKÖPINGS LÄN</t>
        </is>
      </c>
      <c r="E2401" t="inlineStr">
        <is>
          <t>VETLANDA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22422-2025</t>
        </is>
      </c>
      <c r="B2402" s="1" t="n">
        <v>45786</v>
      </c>
      <c r="C2402" s="1" t="n">
        <v>45811</v>
      </c>
      <c r="D2402" t="inlineStr">
        <is>
          <t>JÖNKÖPINGS LÄN</t>
        </is>
      </c>
      <c r="E2402" t="inlineStr">
        <is>
          <t>VETLANDA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22419-2025</t>
        </is>
      </c>
      <c r="B2403" s="1" t="n">
        <v>45786</v>
      </c>
      <c r="C2403" s="1" t="n">
        <v>45811</v>
      </c>
      <c r="D2403" t="inlineStr">
        <is>
          <t>JÖNKÖPINGS LÄN</t>
        </is>
      </c>
      <c r="E2403" t="inlineStr">
        <is>
          <t>VETLANDA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22308-2025</t>
        </is>
      </c>
      <c r="B2404" s="1" t="n">
        <v>45786</v>
      </c>
      <c r="C2404" s="1" t="n">
        <v>45811</v>
      </c>
      <c r="D2404" t="inlineStr">
        <is>
          <t>JÖNKÖPINGS LÄN</t>
        </is>
      </c>
      <c r="E2404" t="inlineStr">
        <is>
          <t>VETLANDA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22463-2025</t>
        </is>
      </c>
      <c r="B2405" s="1" t="n">
        <v>45786</v>
      </c>
      <c r="C2405" s="1" t="n">
        <v>45811</v>
      </c>
      <c r="D2405" t="inlineStr">
        <is>
          <t>JÖNKÖPINGS LÄN</t>
        </is>
      </c>
      <c r="E2405" t="inlineStr">
        <is>
          <t>VETLANDA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23306-2025</t>
        </is>
      </c>
      <c r="B2406" s="1" t="n">
        <v>45791</v>
      </c>
      <c r="C2406" s="1" t="n">
        <v>45811</v>
      </c>
      <c r="D2406" t="inlineStr">
        <is>
          <t>JÖNKÖPINGS LÄN</t>
        </is>
      </c>
      <c r="E2406" t="inlineStr">
        <is>
          <t>VETLANDA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23113-2025</t>
        </is>
      </c>
      <c r="B2407" s="1" t="n">
        <v>45791</v>
      </c>
      <c r="C2407" s="1" t="n">
        <v>45811</v>
      </c>
      <c r="D2407" t="inlineStr">
        <is>
          <t>JÖNKÖPINGS LÄN</t>
        </is>
      </c>
      <c r="E2407" t="inlineStr">
        <is>
          <t>VETLANDA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23330-2025</t>
        </is>
      </c>
      <c r="B2408" s="1" t="n">
        <v>45791</v>
      </c>
      <c r="C2408" s="1" t="n">
        <v>45811</v>
      </c>
      <c r="D2408" t="inlineStr">
        <is>
          <t>JÖNKÖPINGS LÄN</t>
        </is>
      </c>
      <c r="E2408" t="inlineStr">
        <is>
          <t>VETLANDA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45811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23581-2025</t>
        </is>
      </c>
      <c r="B2410" s="1" t="n">
        <v>45792</v>
      </c>
      <c r="C2410" s="1" t="n">
        <v>45811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24991-2025</t>
        </is>
      </c>
      <c r="B2411" s="1" t="n">
        <v>45799</v>
      </c>
      <c r="C2411" s="1" t="n">
        <v>45811</v>
      </c>
      <c r="D2411" t="inlineStr">
        <is>
          <t>JÖNKÖPINGS LÄN</t>
        </is>
      </c>
      <c r="E2411" t="inlineStr">
        <is>
          <t>VETLANDA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25011-2025</t>
        </is>
      </c>
      <c r="B2412" s="1" t="n">
        <v>45799</v>
      </c>
      <c r="C2412" s="1" t="n">
        <v>45811</v>
      </c>
      <c r="D2412" t="inlineStr">
        <is>
          <t>JÖNKÖPINGS LÄN</t>
        </is>
      </c>
      <c r="E2412" t="inlineStr">
        <is>
          <t>VETLANDA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25197-2025</t>
        </is>
      </c>
      <c r="B2413" s="1" t="n">
        <v>45800</v>
      </c>
      <c r="C2413" s="1" t="n">
        <v>45811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25580-2025</t>
        </is>
      </c>
      <c r="B2414" s="1" t="n">
        <v>45803</v>
      </c>
      <c r="C2414" s="1" t="n">
        <v>45811</v>
      </c>
      <c r="D2414" t="inlineStr">
        <is>
          <t>JÖNKÖPINGS LÄN</t>
        </is>
      </c>
      <c r="E2414" t="inlineStr">
        <is>
          <t>VETLANDA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25576-2025</t>
        </is>
      </c>
      <c r="B2415" s="1" t="n">
        <v>45803</v>
      </c>
      <c r="C2415" s="1" t="n">
        <v>45811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26184-2025</t>
        </is>
      </c>
      <c r="B2416" s="1" t="n">
        <v>45805</v>
      </c>
      <c r="C2416" s="1" t="n">
        <v>45811</v>
      </c>
      <c r="D2416" t="inlineStr">
        <is>
          <t>JÖNKÖPINGS LÄN</t>
        </is>
      </c>
      <c r="E2416" t="inlineStr">
        <is>
          <t>VETLANDA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26067-2025</t>
        </is>
      </c>
      <c r="B2417" s="1" t="n">
        <v>45805</v>
      </c>
      <c r="C2417" s="1" t="n">
        <v>45811</v>
      </c>
      <c r="D2417" t="inlineStr">
        <is>
          <t>JÖNKÖPINGS LÄN</t>
        </is>
      </c>
      <c r="E2417" t="inlineStr">
        <is>
          <t>VETLANDA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>
      <c r="A2418" t="inlineStr">
        <is>
          <t>A 26770-2025</t>
        </is>
      </c>
      <c r="B2418" s="1" t="n">
        <v>45810</v>
      </c>
      <c r="C2418" s="1" t="n">
        <v>45811</v>
      </c>
      <c r="D2418" t="inlineStr">
        <is>
          <t>JÖNKÖPINGS LÄN</t>
        </is>
      </c>
      <c r="E2418" t="inlineStr">
        <is>
          <t>VETLANDA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2025-06-03T18:04:51Z</dcterms:created>
  <dcterms:modified xmlns:dcterms="http://purl.org/dc/terms/" xmlns:xsi="http://www.w3.org/2001/XMLSchema-instance" xsi:type="dcterms:W3CDTF">2025-06-03T18:04:53Z</dcterms:modified>
</cp:coreProperties>
</file>