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45753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45753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45753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45753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45753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45753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45753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45753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45753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45753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45753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45753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45753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45753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45753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45753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45753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45753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45753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45753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45753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45753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45753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45753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45753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45753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45753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45753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45753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45753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45753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45753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45753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45753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45753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45753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45753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45753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45753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45753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45753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45753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45753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45753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45753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45753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45753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45753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45753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45753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45753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45753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45753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45753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45753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45753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45753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45753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45753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45753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45753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45753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45753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45753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45753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45753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45753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45753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45753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45753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45753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45753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45753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45753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45753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45753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45753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45753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45753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45753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45753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45753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45753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45753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45753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45753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45753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45753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45753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45753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45753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45753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45753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45753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45753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45753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45753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45753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45753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45753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45753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45753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45753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45753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45753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45753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45753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45753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45753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45753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45753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45753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45753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45753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45753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45753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45753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45753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45753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45753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45753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45753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45753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45753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45753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45753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45753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45753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45753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45753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45753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45753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HYPERLINK("https://klasma.github.io/Logging_060685/artfynd/A 10694-2025 artfynd.xlsx", "A 10694-2025")</f>
        <v/>
      </c>
      <c r="T135">
        <f>HYPERLINK("https://klasma.github.io/Logging_060685/kartor/A 10694-2025 karta.png", "A 10694-2025")</f>
        <v/>
      </c>
      <c r="V135">
        <f>HYPERLINK("https://klasma.github.io/Logging_060685/klagomål/A 10694-2025 FSC-klagomål.docx", "A 10694-2025")</f>
        <v/>
      </c>
      <c r="W135">
        <f>HYPERLINK("https://klasma.github.io/Logging_060685/klagomålsmail/A 10694-2025 FSC-klagomål mail.docx", "A 10694-2025")</f>
        <v/>
      </c>
      <c r="X135">
        <f>HYPERLINK("https://klasma.github.io/Logging_060685/tillsyn/A 10694-2025 tillsynsbegäran.docx", "A 10694-2025")</f>
        <v/>
      </c>
      <c r="Y135">
        <f>HYPERLINK("https://klasma.github.io/Logging_060685/tillsynsmail/A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45753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HYPERLINK("https://klasma.github.io/Logging_060685/artfynd/A 13613-2025 artfynd.xlsx", "A 13613-2025")</f>
        <v/>
      </c>
      <c r="T136">
        <f>HYPERLINK("https://klasma.github.io/Logging_060685/kartor/A 13613-2025 karta.png", "A 13613-2025")</f>
        <v/>
      </c>
      <c r="U136">
        <f>HYPERLINK("https://klasma.github.io/Logging_060685/knärot/A 13613-2025 karta knärot.png", "A 13613-2025")</f>
        <v/>
      </c>
      <c r="V136">
        <f>HYPERLINK("https://klasma.github.io/Logging_060685/klagomål/A 13613-2025 FSC-klagomål.docx", "A 13613-2025")</f>
        <v/>
      </c>
      <c r="W136">
        <f>HYPERLINK("https://klasma.github.io/Logging_060685/klagomålsmail/A 13613-2025 FSC-klagomål mail.docx", "A 13613-2025")</f>
        <v/>
      </c>
      <c r="X136">
        <f>HYPERLINK("https://klasma.github.io/Logging_060685/tillsyn/A 13613-2025 tillsynsbegäran.docx", "A 13613-2025")</f>
        <v/>
      </c>
      <c r="Y136">
        <f>HYPERLINK("https://klasma.github.io/Logging_060685/tillsynsmail/A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45753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45753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45753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45753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45753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45753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45753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45753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45753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45753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45753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45753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45753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45753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45753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45753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45753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45753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45753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45753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45753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45753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45753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45753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45753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45753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45753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45753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45753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45753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45753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45753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45753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45753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45753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45753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45753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45753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45753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45753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45753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45753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45753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45753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45753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45753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45753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45753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45753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45753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45753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45753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45753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45753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45753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45753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45753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45753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45753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45753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45753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45753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45753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45753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45753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45753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45753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45753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45753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45753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45753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45753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45753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45753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45753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45753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45753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45753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45753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45753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45753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45753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45753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45753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45753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45753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45753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45753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45753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45753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45753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45753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45753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45753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45753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45753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45753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45753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45753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45753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45753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45753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45753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45753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45753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45753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45753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45753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45753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45753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45753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45753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45753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45753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45753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45753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45753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45753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45753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45753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45753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45753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45753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45753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45753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45753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45753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45753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45753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45753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45753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45753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45753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45753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45753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45753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45753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45753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45753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45753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45753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45753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45753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45753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45753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45753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45753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45753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45753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45753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45753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45753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45753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45753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45753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45753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45753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45753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45753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45753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45753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45753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45753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45753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45753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45753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45753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45753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45753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45753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45753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45753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45753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45753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45753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45753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45753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45753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45753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45753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45753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45753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45753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45753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45753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45753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45753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45753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45753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45753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45753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45753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45753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45753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45753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45753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45753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45753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45753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45753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45753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45753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45753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45753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45753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45753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45753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45753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45753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45753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45753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45753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45753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45753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45753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45753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45753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45753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45753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45753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45753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45753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45753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45753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45753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45753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45753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45753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45753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45753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45753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45753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45753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45753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45753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45753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45753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45753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45753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45753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45753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45753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45753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45753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45753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45753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45753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45753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45753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45753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45753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45753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45753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45753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45753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45753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45753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45753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45753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45753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45753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45753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45753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45753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45753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45753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45753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45753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45753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45753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45753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45753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45753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45753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45753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45753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45753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45753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45753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45753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45753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45753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45753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45753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45753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45753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45753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45753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45753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45753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45753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45753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45753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45753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45753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45753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45753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45753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45753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45753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45753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45753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45753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45753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45753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45753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45753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45753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45753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45753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45753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45753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45753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45753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45753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45753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45753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45753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45753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45753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45753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45753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45753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45753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45753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45753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45753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45753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45753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45753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45753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45753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45753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45753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45753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45753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45753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45753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45753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45753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45753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45753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45753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45753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45753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45753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45753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45753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45753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45753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45753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45753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45753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45753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45753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45753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45753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45753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45753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45753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45753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45753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45753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45753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45753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45753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45753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45753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45753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45753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45753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45753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45753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45753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45753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45753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45753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45753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45753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45753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45753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45753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45753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45753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45753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45753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45753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45753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45753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45753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45753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45753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45753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45753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45753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45753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45753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45753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45753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45753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45753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45753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45753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45753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45753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45753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45753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45753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45753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45753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45753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45753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45753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45753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45753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45753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45753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45753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45753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45753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45753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45753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45753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45753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45753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45753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45753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45753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45753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45753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45753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45753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45753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45753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45753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45753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45753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45753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45753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45753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45753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45753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45753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45753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45753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45753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45753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45753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45753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45753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45753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45753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45753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45753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45753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45753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45753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45753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45753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45753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45753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45753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45753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45753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45753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45753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45753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45753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45753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45753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45753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45753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45753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45753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45753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45753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45753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45753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45753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45753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45753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45753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45753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45753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45753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45753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45753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45753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45753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45753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45753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45753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45753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45753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45753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45753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45753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45753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45753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45753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45753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45753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45753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45753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45753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45753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45753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45753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45753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45753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45753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45753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45753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45753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45753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45753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45753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45753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45753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45753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45753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45753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45753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45753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45753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45753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45753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45753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45753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45753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45753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45753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45753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45753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45753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45753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45753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45753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45753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45753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45753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45753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45753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45753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45753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45753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45753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45753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45753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45753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45753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45753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45753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45753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45753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45753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45753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45753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45753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45753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45753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45753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45753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45753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45753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45753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45753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45753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45753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45753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45753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45753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45753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45753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45753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45753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45753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45753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45753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45753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45753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45753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45753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45753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45753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45753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45753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45753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45753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45753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45753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45753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45753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45753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45753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45753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45753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45753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45753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45753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45753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45753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45753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45753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45753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45753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45753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45753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45753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45753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45753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45753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45753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45753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45753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45753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45753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45753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45753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45753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45753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45753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45753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45753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45753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45753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45753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45753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45753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45753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45753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45753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45753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45753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45753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45753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45753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45753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45753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45753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45753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45753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45753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45753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45753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45753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45753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45753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45753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45753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45753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45753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45753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45753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45753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45753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45753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45753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45753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45753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45753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45753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45753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45753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45753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45753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45753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45753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45753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45753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45753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45753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45753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45753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45753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45753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45753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45753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45753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45753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45753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45753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45753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45753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45753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45753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45753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45753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45753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45753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45753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45753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45753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45753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45753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45753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45753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45753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45753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45753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45753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45753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45753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45753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45753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45753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45753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45753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45753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45753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45753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45753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45753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45753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45753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45753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45753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45753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45753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45753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45753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45753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45753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45753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45753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45753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45753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45753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45753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45753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45753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45753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45753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45753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45753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45753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45753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45753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45753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45753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45753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45753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45753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45753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45753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45753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45753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45753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45753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45753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45753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45753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45753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45753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45753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45753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45753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45753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45753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45753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45753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45753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45753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45753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45753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45753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45753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45753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45753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45753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45753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45753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45753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45753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45753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45753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45753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45753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45753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45753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45753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45753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45753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45753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45753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45753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45753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45753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45753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45753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45753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45753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45753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45753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45753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45753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45753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45753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45753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45753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45753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45753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45753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45753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45753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45753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45753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45753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45753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45753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45753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45753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45753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45753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45753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45753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45753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45753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45753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45753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45753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45753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45753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45753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45753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45753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45753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45753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45753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45753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45753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45753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45753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45753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45753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45753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45753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45753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45753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45753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45753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45753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45753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45753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45753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45753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45753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45753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45753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45753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45753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45753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45753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45753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45753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45753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45753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45753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45753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45753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45753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45753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45753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45753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45753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45753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45753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45753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45753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45753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45753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45753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45753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45753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45753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45753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45753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45753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45753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45753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45753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45753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45753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45753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45753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45753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45753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45753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45753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45753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45753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45753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45753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45753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45753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45753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45753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45753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45753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45753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45753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45753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45753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45753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45753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45753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45753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45753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45753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45753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45753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45753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45753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45753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45753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45753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45753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45753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45753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45753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45753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45753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45753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45753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45753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45753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45753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45753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45753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45753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45753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45753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45753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45753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45753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45753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45753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45753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45753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45753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45753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45753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45753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45753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45753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45753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45753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45753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45753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45753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45753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45753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45753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45753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45753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45753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45753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45753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45753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45753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45753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45753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45753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45753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45753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45753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45753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45753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45753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45753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45753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45753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45753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45753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45753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45753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45753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45753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45753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45753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45753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45753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45753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45753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45753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45753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45753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45753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45753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45753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45753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45753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45753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45753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45753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45753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45753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45753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45753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45753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45753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45753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45753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45753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45753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45753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45753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45753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45753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45753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45753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45753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45753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45753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45753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45753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45753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45753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45753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45753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45753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45753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45753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45753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45753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45753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45753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45753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45753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45753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45753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45753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45753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45753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45753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45753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45753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45753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45753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45753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45753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45753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45753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45753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45753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45753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45753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45753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45753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45753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45753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45753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45753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45753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45753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45753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45753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45753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45753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45753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45753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45753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45753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45753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45753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45753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45753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45753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45753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45753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45753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45753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45753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45753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45753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45753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45753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45753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45753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45753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45753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45753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45753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45753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45753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45753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45753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45753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45753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45753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45753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45753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45753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45753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45753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45753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45753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45753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45753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45753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45753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45753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45753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45753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45753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45753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45753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45753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45753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45753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45753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45753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45753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45753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45753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45753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45753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45753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45753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45753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45753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45753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45753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45753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45753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45753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45753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45753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45753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45753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45753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45753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45753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45753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45753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45753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45753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45753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45753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45753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45753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45753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45753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45753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45753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45753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45753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45753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45753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45753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45753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45753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45753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45753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45753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45753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45753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45753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45753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45753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45753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45753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45753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45753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45753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45753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45753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45753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45753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45753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45753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45753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45753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45753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45753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45753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45753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45753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45753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45753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45753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45753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45753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45753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45753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45753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45753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45753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45753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45753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45753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45753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45753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45753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45753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45753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45753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45753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45753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45753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45753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45753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45753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45753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45753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45753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45753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45753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45753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45753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45753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45753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45753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45753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45753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45753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45753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45753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45753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45753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45753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45753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45753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45753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45753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45753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45753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45753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45753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45753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45753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45753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45753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45753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45753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45753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45753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45753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45753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45753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45753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45753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45753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45753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45753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45753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45753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45753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45753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45753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45753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45753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45753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45753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45753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45753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45753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45753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45753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45753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45753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45753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45753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45753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45753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45753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45753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45753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45753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45753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45753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45753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45753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45753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45753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45753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45753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45753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45753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45753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45753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45753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45753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45753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45753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45753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45753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45753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45753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45753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45753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45753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45753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45753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45753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45753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45753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45753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45753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45753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45753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45753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45753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45753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45753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45753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45753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45753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45753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45753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45753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45753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45753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45753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45753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45753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45753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45753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45753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45753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45753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45753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45753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45753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45753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45753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45753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45753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45753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45753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45753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45753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45753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45753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45753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45753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45753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45753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45753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45753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45753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45753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45753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45753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45753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45753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45753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45753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45753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45753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45753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45753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45753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45753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45753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45753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45753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45753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45753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45753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45753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45753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45753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45753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45753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45753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45753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45753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45753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45753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45753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45753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45753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45753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45753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45753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45753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45753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45753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45753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45753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45753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45753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45753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45753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45753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45753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45753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45753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45753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45753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45753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45753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45753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45753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45753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45753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45753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45753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45753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45753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45753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45753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45753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45753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45753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45753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45753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45753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45753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45753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45753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45753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45753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45753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45753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45753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45753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45753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45753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45753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45753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45753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45753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45753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45753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45753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45753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45753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45753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45753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45753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45753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45753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45753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45753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45753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45753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45753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45753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45753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45753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45753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45753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45753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45753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45753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45753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45753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45753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45753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45753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45753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45753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45753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45753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45753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45753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45753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45753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45753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45753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45753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45753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45753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45753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45753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45753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45753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45753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45753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45753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45753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45753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45753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45753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45753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45753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45753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45753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45753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45753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45753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45753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45753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45753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45753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45753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45753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45753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45753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45753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45753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45753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45753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45753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45753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45753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45753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45753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45753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45753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45753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45753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45753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45753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45753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45753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45753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45753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45753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45753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45753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45753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45753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45753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45753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45753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45753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45753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45753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45753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45753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45753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45753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45753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45753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45753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45753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45753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45753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45753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45753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45753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45753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45753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45753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45753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45753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45753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45753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45753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45753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45753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45753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45753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45753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45753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45753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45753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45753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45753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45753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45753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45753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45753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45753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45753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45753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45753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45753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45753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45753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45753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45753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45753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45753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45753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45753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45753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45753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45753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45753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45753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45753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45753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45753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45753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45753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45753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45753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45753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45753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45753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45753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45753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45753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45753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45753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45753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45753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45753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45753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45753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45753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45753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45753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45753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45753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45753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45753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45753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45753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45753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45753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45753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45753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45753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45753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45753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45753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45753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45753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45753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45753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45753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45753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45753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45753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45753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45753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45753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45753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45753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45753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45753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45753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45753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45753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45753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45753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45753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45753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45753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45753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45753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45753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45753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45753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45753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45753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45753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45753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45753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45753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45753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45753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45753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45753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45753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45753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45753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45753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45753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45753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45753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45753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45753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45753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45753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45753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45753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45753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45753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45753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45753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45753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45753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45753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45753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45753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45753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45753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45753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45753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45753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45753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45753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45753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45753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45753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45753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45753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45753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45753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45753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45753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45753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45753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45753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45753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45753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45753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45753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45753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45753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45753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45753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45753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45753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45753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45753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45753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45753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45753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45753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45753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45753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45753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45753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45753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45753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45753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45753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45753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45753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45753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45753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45753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45753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45753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45753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45753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45753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45753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45753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45753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45753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45753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45753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45753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45753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45753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45753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45753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45753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45753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45753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45753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45753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45753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45753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45753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45753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45753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45753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45753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45753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45753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45753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45753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45753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45753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45753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45753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45753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45753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45753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45753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45753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45753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45753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45753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45753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45753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45753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45753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45753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45753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45753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45753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45753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45753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45753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45753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45753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45753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45753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45753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45753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45753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45753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45753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45753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45753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45753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45753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45753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45753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45753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45753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45753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45753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45753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45753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45753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45753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45753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45753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45753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45753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45753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45753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45753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45753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45753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45753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45753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45753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45753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45753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45753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45753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45753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45753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45753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45753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45753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45753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45753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45753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45753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45753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45753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45753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45753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45753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45753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45753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45753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45753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45753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45753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45753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45753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45753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45753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45753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45753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45753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45753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45753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45753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45753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45753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45753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45753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45753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45753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45753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45753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45753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45753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45753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45753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45753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45753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45753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45753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45753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45753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45753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45753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45753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45753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45753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45753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45753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45753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45753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45753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45753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45753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45753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45753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45753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45753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45753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45753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45753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45753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45753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45753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45753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45753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45753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45753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45753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45753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45753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45753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45753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45753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45753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45753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45753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45753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45753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45753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45753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45753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45753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45753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45753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45753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45753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45753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45753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45753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45753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45753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45753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45753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45753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45753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45753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45753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45753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45753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45753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45753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45753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45753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45753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45753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45753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45753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45753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45753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45753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45753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45753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45753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45753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45753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45753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45753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45753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45753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45753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45753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45753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45753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45753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45753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45753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45753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45753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45753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45753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45753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45753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45753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45753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45753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45753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45753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45753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45753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45753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45753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45753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45753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45753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45753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45753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45753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45753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45753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45753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45753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45753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45753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45753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45753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45753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45753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45753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45753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45753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45753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45753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45753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45753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45753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45753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45753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45753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45753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45753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45753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45753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45753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45753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45753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45753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45753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45753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45753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45753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45753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45753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45753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45753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45753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45753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45753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45753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45753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45753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45753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45753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45753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45753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45753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45753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45753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45753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45753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45753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45753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45753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45753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45753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45753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45753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45753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45753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45753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45753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45753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45753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45753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45753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45753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45753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45753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45753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45753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45753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45753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45753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45753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45753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45753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45753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45753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45753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45753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45753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45753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45753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45753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45753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45753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45753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45753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45753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45753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45753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45753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45753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45753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45753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45753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45753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45753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45753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45753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45753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45753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45753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45753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45753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45753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45753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45753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45753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45753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45753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45753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45753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45753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45753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45753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45753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45753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45753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45753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45753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45753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45753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45753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45753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45753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45753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45753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45753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45753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45753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45753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45753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45753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45753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45753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45753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45753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45753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45753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45753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45753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45753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45753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45753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45753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45753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45753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45753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45753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45753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45753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45753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45753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45753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45753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45753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45753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45753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45753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45753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45753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45753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45753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45753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45753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10009-2025</t>
        </is>
      </c>
      <c r="B2272" s="1" t="n">
        <v>45719</v>
      </c>
      <c r="C2272" s="1" t="n">
        <v>45753</v>
      </c>
      <c r="D2272" t="inlineStr">
        <is>
          <t>JÖNKÖPINGS LÄN</t>
        </is>
      </c>
      <c r="E2272" t="inlineStr">
        <is>
          <t>VETLANDA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45753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10311-2025</t>
        </is>
      </c>
      <c r="B2274" s="1" t="n">
        <v>45720</v>
      </c>
      <c r="C2274" s="1" t="n">
        <v>45753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45753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45753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45753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45753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45753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45753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45753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45753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45753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45753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45753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45753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45753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45753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45753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45753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45753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45753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45753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45753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45753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12910-2025</t>
        </is>
      </c>
      <c r="B2296" s="1" t="n">
        <v>45733</v>
      </c>
      <c r="C2296" s="1" t="n">
        <v>45753</v>
      </c>
      <c r="D2296" t="inlineStr">
        <is>
          <t>JÖNKÖPINGS LÄN</t>
        </is>
      </c>
      <c r="E2296" t="inlineStr">
        <is>
          <t>VETLANDA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12729-2025</t>
        </is>
      </c>
      <c r="B2297" s="1" t="n">
        <v>45733</v>
      </c>
      <c r="C2297" s="1" t="n">
        <v>45753</v>
      </c>
      <c r="D2297" t="inlineStr">
        <is>
          <t>JÖNKÖPINGS LÄN</t>
        </is>
      </c>
      <c r="E2297" t="inlineStr">
        <is>
          <t>VETLANDA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45753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45753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45753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45753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45753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45753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13813-2025</t>
        </is>
      </c>
      <c r="B2304" s="1" t="n">
        <v>45737</v>
      </c>
      <c r="C2304" s="1" t="n">
        <v>45753</v>
      </c>
      <c r="D2304" t="inlineStr">
        <is>
          <t>JÖNKÖPINGS LÄN</t>
        </is>
      </c>
      <c r="E2304" t="inlineStr">
        <is>
          <t>VETLANDA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13816-2025</t>
        </is>
      </c>
      <c r="B2305" s="1" t="n">
        <v>45737</v>
      </c>
      <c r="C2305" s="1" t="n">
        <v>45753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13812-2025</t>
        </is>
      </c>
      <c r="B2306" s="1" t="n">
        <v>45737</v>
      </c>
      <c r="C2306" s="1" t="n">
        <v>45753</v>
      </c>
      <c r="D2306" t="inlineStr">
        <is>
          <t>JÖNKÖPINGS LÄN</t>
        </is>
      </c>
      <c r="E2306" t="inlineStr">
        <is>
          <t>VETLANDA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13811-2025</t>
        </is>
      </c>
      <c r="B2307" s="1" t="n">
        <v>45737</v>
      </c>
      <c r="C2307" s="1" t="n">
        <v>45753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45753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45753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45753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45753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45753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45753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45753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45753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45753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45753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45753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14561-2025</t>
        </is>
      </c>
      <c r="B2319" s="1" t="n">
        <v>45741</v>
      </c>
      <c r="C2319" s="1" t="n">
        <v>45753</v>
      </c>
      <c r="D2319" t="inlineStr">
        <is>
          <t>JÖNKÖPINGS LÄN</t>
        </is>
      </c>
      <c r="E2319" t="inlineStr">
        <is>
          <t>VETLANDA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14439-2025</t>
        </is>
      </c>
      <c r="B2320" s="1" t="n">
        <v>45741</v>
      </c>
      <c r="C2320" s="1" t="n">
        <v>45753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45753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14750-2025</t>
        </is>
      </c>
      <c r="B2322" s="1" t="n">
        <v>45742</v>
      </c>
      <c r="C2322" s="1" t="n">
        <v>45753</v>
      </c>
      <c r="D2322" t="inlineStr">
        <is>
          <t>JÖNKÖPINGS LÄN</t>
        </is>
      </c>
      <c r="E2322" t="inlineStr">
        <is>
          <t>VETLANDA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14609-2025</t>
        </is>
      </c>
      <c r="B2323" s="1" t="n">
        <v>45742</v>
      </c>
      <c r="C2323" s="1" t="n">
        <v>45753</v>
      </c>
      <c r="D2323" t="inlineStr">
        <is>
          <t>JÖNKÖPINGS LÄN</t>
        </is>
      </c>
      <c r="E2323" t="inlineStr">
        <is>
          <t>VETLANDA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14639-2025</t>
        </is>
      </c>
      <c r="B2324" s="1" t="n">
        <v>45742</v>
      </c>
      <c r="C2324" s="1" t="n">
        <v>45753</v>
      </c>
      <c r="D2324" t="inlineStr">
        <is>
          <t>JÖNKÖPINGS LÄN</t>
        </is>
      </c>
      <c r="E2324" t="inlineStr">
        <is>
          <t>VETLANDA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45753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45753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45753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14941-2025</t>
        </is>
      </c>
      <c r="B2328" s="1" t="n">
        <v>45743</v>
      </c>
      <c r="C2328" s="1" t="n">
        <v>45753</v>
      </c>
      <c r="D2328" t="inlineStr">
        <is>
          <t>JÖNKÖPINGS LÄN</t>
        </is>
      </c>
      <c r="E2328" t="inlineStr">
        <is>
          <t>VETLANDA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45753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14959-2025</t>
        </is>
      </c>
      <c r="B2330" s="1" t="n">
        <v>45743</v>
      </c>
      <c r="C2330" s="1" t="n">
        <v>45753</v>
      </c>
      <c r="D2330" t="inlineStr">
        <is>
          <t>JÖNKÖPINGS LÄN</t>
        </is>
      </c>
      <c r="E2330" t="inlineStr">
        <is>
          <t>VETLANDA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14937-2025</t>
        </is>
      </c>
      <c r="B2331" s="1" t="n">
        <v>45743</v>
      </c>
      <c r="C2331" s="1" t="n">
        <v>45753</v>
      </c>
      <c r="D2331" t="inlineStr">
        <is>
          <t>JÖNKÖPINGS LÄN</t>
        </is>
      </c>
      <c r="E2331" t="inlineStr">
        <is>
          <t>VETLANDA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15498-2025</t>
        </is>
      </c>
      <c r="B2332" s="1" t="n">
        <v>45747</v>
      </c>
      <c r="C2332" s="1" t="n">
        <v>45753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15492-2025</t>
        </is>
      </c>
      <c r="B2333" s="1" t="n">
        <v>45747</v>
      </c>
      <c r="C2333" s="1" t="n">
        <v>45753</v>
      </c>
      <c r="D2333" t="inlineStr">
        <is>
          <t>JÖNKÖPINGS LÄN</t>
        </is>
      </c>
      <c r="E2333" t="inlineStr">
        <is>
          <t>VETLANDA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15369-2025</t>
        </is>
      </c>
      <c r="B2334" s="1" t="n">
        <v>45747</v>
      </c>
      <c r="C2334" s="1" t="n">
        <v>45753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45753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45753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45753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45753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45753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45753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16039-2025</t>
        </is>
      </c>
      <c r="B2341" s="1" t="n">
        <v>45748</v>
      </c>
      <c r="C2341" s="1" t="n">
        <v>45753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45753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45753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>
      <c r="A2344" t="inlineStr">
        <is>
          <t>A 16483-2025</t>
        </is>
      </c>
      <c r="B2344" s="1" t="n">
        <v>45751</v>
      </c>
      <c r="C2344" s="1" t="n">
        <v>45753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2025-04-06T16:51:31Z</dcterms:created>
  <dcterms:modified xmlns:dcterms="http://purl.org/dc/terms/" xmlns:xsi="http://www.w3.org/2001/XMLSchema-instance" xsi:type="dcterms:W3CDTF">2025-04-06T16:51:33Z</dcterms:modified>
</cp:coreProperties>
</file>