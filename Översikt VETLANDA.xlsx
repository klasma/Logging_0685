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46186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11238-2024</t>
        </is>
      </c>
      <c r="B3" s="1" t="n">
        <v>45371</v>
      </c>
      <c r="C3" s="1" t="n">
        <v>46186</v>
      </c>
      <c r="D3" t="inlineStr">
        <is>
          <t>JÖNKÖPINGS LÄN</t>
        </is>
      </c>
      <c r="E3" t="inlineStr">
        <is>
          <t>VETLANDA</t>
        </is>
      </c>
      <c r="G3" t="n">
        <v>35.1</v>
      </c>
      <c r="H3" t="n">
        <v>2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Ask
Backklöver
Desmeknopp
Loppstarr
Svinrot
Tvåblad
Gullviva</t>
        </is>
      </c>
      <c r="S3">
        <f>HYPERLINK("https://klasma.github.io/Logging_0685/artfynd/A 11238-2024 artfynd.xlsx", "A 11238-2024")</f>
        <v/>
      </c>
      <c r="T3">
        <f>HYPERLINK("https://klasma.github.io/Logging_0685/kartor/A 11238-2024 karta.png", "A 11238-2024")</f>
        <v/>
      </c>
      <c r="V3">
        <f>HYPERLINK("https://klasma.github.io/Logging_0685/klagomål/A 11238-2024 FSC-klagomål.docx", "A 11238-2024")</f>
        <v/>
      </c>
      <c r="W3">
        <f>HYPERLINK("https://klasma.github.io/Logging_0685/klagomålsmail/A 11238-2024 FSC-klagomål mail.docx", "A 11238-2024")</f>
        <v/>
      </c>
      <c r="X3">
        <f>HYPERLINK("https://klasma.github.io/Logging_0685/tillsyn/A 11238-2024 tillsynsbegäran.docx", "A 11238-2024")</f>
        <v/>
      </c>
      <c r="Y3">
        <f>HYPERLINK("https://klasma.github.io/Logging_0685/tillsynsmail/A 11238-2024 tillsynsbegäran mail.docx", "A 11238-2024")</f>
        <v/>
      </c>
    </row>
    <row r="4" ht="15" customHeight="1">
      <c r="A4" t="inlineStr">
        <is>
          <t>A 39152-2022</t>
        </is>
      </c>
      <c r="B4" s="1" t="n">
        <v>44817</v>
      </c>
      <c r="C4" s="1" t="n">
        <v>46186</v>
      </c>
      <c r="D4" t="inlineStr">
        <is>
          <t>JÖNKÖPINGS LÄN</t>
        </is>
      </c>
      <c r="E4" t="inlineStr">
        <is>
          <t>VETLANDA</t>
        </is>
      </c>
      <c r="G4" t="n">
        <v>5.6</v>
      </c>
      <c r="H4" t="n">
        <v>1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Gropticka
Skogsbräsma
Svart trolldruva
Tibast
Vätteros
Vårärt
Blåsippa</t>
        </is>
      </c>
      <c r="S4">
        <f>HYPERLINK("https://klasma.github.io/Logging_0685/artfynd/A 39152-2022 artfynd.xlsx", "A 39152-2022")</f>
        <v/>
      </c>
      <c r="T4">
        <f>HYPERLINK("https://klasma.github.io/Logging_0685/kartor/A 39152-2022 karta.png", "A 39152-2022")</f>
        <v/>
      </c>
      <c r="V4">
        <f>HYPERLINK("https://klasma.github.io/Logging_0685/klagomål/A 39152-2022 FSC-klagomål.docx", "A 39152-2022")</f>
        <v/>
      </c>
      <c r="W4">
        <f>HYPERLINK("https://klasma.github.io/Logging_0685/klagomålsmail/A 39152-2022 FSC-klagomål mail.docx", "A 39152-2022")</f>
        <v/>
      </c>
      <c r="X4">
        <f>HYPERLINK("https://klasma.github.io/Logging_0685/tillsyn/A 39152-2022 tillsynsbegäran.docx", "A 39152-2022")</f>
        <v/>
      </c>
      <c r="Y4">
        <f>HYPERLINK("https://klasma.github.io/Logging_0685/tillsynsmail/A 39152-2022 tillsynsbegäran mail.docx", "A 39152-2022")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46186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43195-2023</t>
        </is>
      </c>
      <c r="B6" s="1" t="n">
        <v>45183</v>
      </c>
      <c r="C6" s="1" t="n">
        <v>46186</v>
      </c>
      <c r="D6" t="inlineStr">
        <is>
          <t>JÖNKÖPINGS LÄN</t>
        </is>
      </c>
      <c r="E6" t="inlineStr">
        <is>
          <t>VETLANDA</t>
        </is>
      </c>
      <c r="G6" t="n">
        <v>11.9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Gränsticka
Talltita
Ullticka
Fjällig taggsvamp s.str.
Vedticka</t>
        </is>
      </c>
      <c r="S6">
        <f>HYPERLINK("https://klasma.github.io/Logging_0685/artfynd/A 43195-2023 artfynd.xlsx", "A 43195-2023")</f>
        <v/>
      </c>
      <c r="T6">
        <f>HYPERLINK("https://klasma.github.io/Logging_0685/kartor/A 43195-2023 karta.png", "A 43195-2023")</f>
        <v/>
      </c>
      <c r="U6">
        <f>HYPERLINK("https://klasma.github.io/Logging_0685/knärot/A 43195-2023 karta knärot.png", "A 43195-2023")</f>
        <v/>
      </c>
      <c r="V6">
        <f>HYPERLINK("https://klasma.github.io/Logging_0685/klagomål/A 43195-2023 FSC-klagomål.docx", "A 43195-2023")</f>
        <v/>
      </c>
      <c r="W6">
        <f>HYPERLINK("https://klasma.github.io/Logging_0685/klagomålsmail/A 43195-2023 FSC-klagomål mail.docx", "A 43195-2023")</f>
        <v/>
      </c>
      <c r="X6">
        <f>HYPERLINK("https://klasma.github.io/Logging_0685/tillsyn/A 43195-2023 tillsynsbegäran.docx", "A 43195-2023")</f>
        <v/>
      </c>
      <c r="Y6">
        <f>HYPERLINK("https://klasma.github.io/Logging_0685/tillsynsmail/A 43195-2023 tillsynsbegäran mail.docx", "A 43195-2023")</f>
        <v/>
      </c>
      <c r="Z6">
        <f>HYPERLINK("https://klasma.github.io/Logging_0685/fåglar/A 43195-2023 prioriterade fågelarter.docx", "A 43195-2023")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46186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47348-2025</t>
        </is>
      </c>
      <c r="B8" s="1" t="n">
        <v>45930</v>
      </c>
      <c r="C8" s="1" t="n">
        <v>46186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1.5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Slåttergubbe
Motaggsvamp
Blåmossa
Grönpyrola
Blåsippa</t>
        </is>
      </c>
      <c r="S8">
        <f>HYPERLINK("https://klasma.github.io/Logging_0685/artfynd/A 47348-2025 artfynd.xlsx", "A 47348-2025")</f>
        <v/>
      </c>
      <c r="T8">
        <f>HYPERLINK("https://klasma.github.io/Logging_0685/kartor/A 47348-2025 karta.png", "A 47348-2025")</f>
        <v/>
      </c>
      <c r="V8">
        <f>HYPERLINK("https://klasma.github.io/Logging_0685/klagomål/A 47348-2025 FSC-klagomål.docx", "A 47348-2025")</f>
        <v/>
      </c>
      <c r="W8">
        <f>HYPERLINK("https://klasma.github.io/Logging_0685/klagomålsmail/A 47348-2025 FSC-klagomål mail.docx", "A 47348-2025")</f>
        <v/>
      </c>
      <c r="X8">
        <f>HYPERLINK("https://klasma.github.io/Logging_0685/tillsyn/A 47348-2025 tillsynsbegäran.docx", "A 47348-2025")</f>
        <v/>
      </c>
      <c r="Y8">
        <f>HYPERLINK("https://klasma.github.io/Logging_0685/tillsynsmail/A 47348-2025 tillsynsbegäran mail.docx", "A 47348-2025")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46186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61805-2025</t>
        </is>
      </c>
      <c r="B10" s="1" t="n">
        <v>46002</v>
      </c>
      <c r="C10" s="1" t="n">
        <v>46186</v>
      </c>
      <c r="D10" t="inlineStr">
        <is>
          <t>JÖNKÖPINGS LÄN</t>
        </is>
      </c>
      <c r="E10" t="inlineStr">
        <is>
          <t>VETLANDA</t>
        </is>
      </c>
      <c r="G10" t="n">
        <v>6.7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Granbarkgnagare
Gulnål
Vågbandad barkbock</t>
        </is>
      </c>
      <c r="S10">
        <f>HYPERLINK("https://klasma.github.io/Logging_0685/artfynd/A 61805-2025 artfynd.xlsx", "A 61805-2025")</f>
        <v/>
      </c>
      <c r="T10">
        <f>HYPERLINK("https://klasma.github.io/Logging_0685/kartor/A 61805-2025 karta.png", "A 61805-2025")</f>
        <v/>
      </c>
      <c r="V10">
        <f>HYPERLINK("https://klasma.github.io/Logging_0685/klagomål/A 61805-2025 FSC-klagomål.docx", "A 61805-2025")</f>
        <v/>
      </c>
      <c r="W10">
        <f>HYPERLINK("https://klasma.github.io/Logging_0685/klagomålsmail/A 61805-2025 FSC-klagomål mail.docx", "A 61805-2025")</f>
        <v/>
      </c>
      <c r="X10">
        <f>HYPERLINK("https://klasma.github.io/Logging_0685/tillsyn/A 61805-2025 tillsynsbegäran.docx", "A 61805-2025")</f>
        <v/>
      </c>
      <c r="Y10">
        <f>HYPERLINK("https://klasma.github.io/Logging_0685/tillsynsmail/A 61805-2025 tillsynsbegäran mail.docx", "A 61805-2025")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46186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46186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46186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46186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46186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46186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46186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45507-2021</t>
        </is>
      </c>
      <c r="B18" s="1" t="n">
        <v>44440</v>
      </c>
      <c r="C18" s="1" t="n">
        <v>46186</v>
      </c>
      <c r="D18" t="inlineStr">
        <is>
          <t>JÖNKÖPINGS LÄN</t>
        </is>
      </c>
      <c r="E18" t="inlineStr">
        <is>
          <t>VETLANDA</t>
        </is>
      </c>
      <c r="G18" t="n">
        <v>2.4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Bredbrämad bastardsvärmare
Mindre bastardsvärmare</t>
        </is>
      </c>
      <c r="S18">
        <f>HYPERLINK("https://klasma.github.io/Logging_0685/artfynd/A 45507-2021 artfynd.xlsx", "A 45507-2021")</f>
        <v/>
      </c>
      <c r="T18">
        <f>HYPERLINK("https://klasma.github.io/Logging_0685/kartor/A 45507-2021 karta.png", "A 45507-2021")</f>
        <v/>
      </c>
      <c r="V18">
        <f>HYPERLINK("https://klasma.github.io/Logging_0685/klagomål/A 45507-2021 FSC-klagomål.docx", "A 45507-2021")</f>
        <v/>
      </c>
      <c r="W18">
        <f>HYPERLINK("https://klasma.github.io/Logging_0685/klagomålsmail/A 45507-2021 FSC-klagomål mail.docx", "A 45507-2021")</f>
        <v/>
      </c>
      <c r="X18">
        <f>HYPERLINK("https://klasma.github.io/Logging_0685/tillsyn/A 45507-2021 tillsynsbegäran.docx", "A 45507-2021")</f>
        <v/>
      </c>
      <c r="Y18">
        <f>HYPERLINK("https://klasma.github.io/Logging_0685/tillsynsmail/A 45507-2021 tillsynsbegäran mail.docx", "A 45507-2021")</f>
        <v/>
      </c>
    </row>
    <row r="19" ht="15" customHeight="1">
      <c r="A19" t="inlineStr">
        <is>
          <t>A 13006-2022</t>
        </is>
      </c>
      <c r="B19" s="1" t="n">
        <v>44643</v>
      </c>
      <c r="C19" s="1" t="n">
        <v>46186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12.5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HYPERLINK("https://klasma.github.io/Logging_0685/artfynd/A 13006-2022 artfynd.xlsx", "A 13006-2022")</f>
        <v/>
      </c>
      <c r="T19">
        <f>HYPERLINK("https://klasma.github.io/Logging_0685/kartor/A 13006-2022 karta.png", "A 13006-2022")</f>
        <v/>
      </c>
      <c r="U19">
        <f>HYPERLINK("https://klasma.github.io/Logging_0685/knärot/A 13006-2022 karta knärot.png", "A 13006-2022")</f>
        <v/>
      </c>
      <c r="V19">
        <f>HYPERLINK("https://klasma.github.io/Logging_0685/klagomål/A 13006-2022 FSC-klagomål.docx", "A 13006-2022")</f>
        <v/>
      </c>
      <c r="W19">
        <f>HYPERLINK("https://klasma.github.io/Logging_0685/klagomålsmail/A 13006-2022 FSC-klagomål mail.docx", "A 13006-2022")</f>
        <v/>
      </c>
      <c r="X19">
        <f>HYPERLINK("https://klasma.github.io/Logging_0685/tillsyn/A 13006-2022 tillsynsbegäran.docx", "A 13006-2022")</f>
        <v/>
      </c>
      <c r="Y19">
        <f>HYPERLINK("https://klasma.github.io/Logging_0685/tillsynsmail/A 13006-2022 tillsynsbegäran mail.docx", "A 13006-2022")</f>
        <v/>
      </c>
    </row>
    <row r="20" ht="15" customHeight="1">
      <c r="A20" t="inlineStr">
        <is>
          <t>A 33797-2024</t>
        </is>
      </c>
      <c r="B20" s="1" t="n">
        <v>45520.59846064815</v>
      </c>
      <c r="C20" s="1" t="n">
        <v>46186</v>
      </c>
      <c r="D20" t="inlineStr">
        <is>
          <t>JÖNKÖPINGS LÄN</t>
        </is>
      </c>
      <c r="E20" t="inlineStr">
        <is>
          <t>VETLANDA</t>
        </is>
      </c>
      <c r="G20" t="n">
        <v>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Vanlig groda</t>
        </is>
      </c>
      <c r="S20">
        <f>HYPERLINK("https://klasma.github.io/Logging_0685/artfynd/A 33797-2024 artfynd.xlsx", "A 33797-2024")</f>
        <v/>
      </c>
      <c r="T20">
        <f>HYPERLINK("https://klasma.github.io/Logging_0685/kartor/A 33797-2024 karta.png", "A 33797-2024")</f>
        <v/>
      </c>
      <c r="U20">
        <f>HYPERLINK("https://klasma.github.io/Logging_0685/knärot/A 33797-2024 karta knärot.png", "A 33797-2024")</f>
        <v/>
      </c>
      <c r="V20">
        <f>HYPERLINK("https://klasma.github.io/Logging_0685/klagomål/A 33797-2024 FSC-klagomål.docx", "A 33797-2024")</f>
        <v/>
      </c>
      <c r="W20">
        <f>HYPERLINK("https://klasma.github.io/Logging_0685/klagomålsmail/A 33797-2024 FSC-klagomål mail.docx", "A 33797-2024")</f>
        <v/>
      </c>
      <c r="X20">
        <f>HYPERLINK("https://klasma.github.io/Logging_0685/tillsyn/A 33797-2024 tillsynsbegäran.docx", "A 33797-2024")</f>
        <v/>
      </c>
      <c r="Y20">
        <f>HYPERLINK("https://klasma.github.io/Logging_0685/tillsynsmail/A 33797-2024 tillsynsbegäran mail.docx", "A 33797-2024")</f>
        <v/>
      </c>
    </row>
    <row r="21" ht="15" customHeight="1">
      <c r="A21" t="inlineStr">
        <is>
          <t>A 8838-2025</t>
        </is>
      </c>
      <c r="B21" s="1" t="n">
        <v>45713.26855324074</v>
      </c>
      <c r="C21" s="1" t="n">
        <v>46186</v>
      </c>
      <c r="D21" t="inlineStr">
        <is>
          <t>JÖNKÖPINGS LÄN</t>
        </is>
      </c>
      <c r="E21" t="inlineStr">
        <is>
          <t>VETLANDA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Brunlångöra
Nordfladdermus</t>
        </is>
      </c>
      <c r="S21">
        <f>HYPERLINK("https://klasma.github.io/Logging_0685/artfynd/A 8838-2025 artfynd.xlsx", "A 8838-2025")</f>
        <v/>
      </c>
      <c r="T21">
        <f>HYPERLINK("https://klasma.github.io/Logging_0685/kartor/A 8838-2025 karta.png", "A 8838-2025")</f>
        <v/>
      </c>
      <c r="V21">
        <f>HYPERLINK("https://klasma.github.io/Logging_0685/klagomål/A 8838-2025 FSC-klagomål.docx", "A 8838-2025")</f>
        <v/>
      </c>
      <c r="W21">
        <f>HYPERLINK("https://klasma.github.io/Logging_0685/klagomålsmail/A 8838-2025 FSC-klagomål mail.docx", "A 8838-2025")</f>
        <v/>
      </c>
      <c r="X21">
        <f>HYPERLINK("https://klasma.github.io/Logging_0685/tillsyn/A 8838-2025 tillsynsbegäran.docx", "A 8838-2025")</f>
        <v/>
      </c>
      <c r="Y21">
        <f>HYPERLINK("https://klasma.github.io/Logging_0685/tillsynsmail/A 8838-2025 tillsynsbegäran mail.docx", "A 8838-2025")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46186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33068-2025</t>
        </is>
      </c>
      <c r="B23" s="1" t="n">
        <v>45840.448125</v>
      </c>
      <c r="C23" s="1" t="n">
        <v>46186</v>
      </c>
      <c r="D23" t="inlineStr">
        <is>
          <t>JÖNKÖPINGS LÄN</t>
        </is>
      </c>
      <c r="E23" t="inlineStr">
        <is>
          <t>VETLANDA</t>
        </is>
      </c>
      <c r="G23" t="n">
        <v>2.1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Klofibbla</t>
        </is>
      </c>
      <c r="S23">
        <f>HYPERLINK("https://klasma.github.io/Logging_0685/artfynd/A 33068-2025 artfynd.xlsx", "A 33068-2025")</f>
        <v/>
      </c>
      <c r="T23">
        <f>HYPERLINK("https://klasma.github.io/Logging_0685/kartor/A 33068-2025 karta.png", "A 33068-2025")</f>
        <v/>
      </c>
      <c r="V23">
        <f>HYPERLINK("https://klasma.github.io/Logging_0685/klagomål/A 33068-2025 FSC-klagomål.docx", "A 33068-2025")</f>
        <v/>
      </c>
      <c r="W23">
        <f>HYPERLINK("https://klasma.github.io/Logging_0685/klagomålsmail/A 33068-2025 FSC-klagomål mail.docx", "A 33068-2025")</f>
        <v/>
      </c>
      <c r="X23">
        <f>HYPERLINK("https://klasma.github.io/Logging_0685/tillsyn/A 33068-2025 tillsynsbegäran.docx", "A 33068-2025")</f>
        <v/>
      </c>
      <c r="Y23">
        <f>HYPERLINK("https://klasma.github.io/Logging_0685/tillsynsmail/A 33068-2025 tillsynsbegäran mail.docx", "A 33068-2025")</f>
        <v/>
      </c>
    </row>
    <row r="24" ht="15" customHeight="1">
      <c r="A24" t="inlineStr">
        <is>
          <t>A 1269-2022</t>
        </is>
      </c>
      <c r="B24" s="1" t="n">
        <v>44572.64711805555</v>
      </c>
      <c r="C24" s="1" t="n">
        <v>46186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Gullklöver
Tibast</t>
        </is>
      </c>
      <c r="S24">
        <f>HYPERLINK("https://klasma.github.io/Logging_0685/artfynd/A 1269-2022 artfynd.xlsx", "A 1269-2022")</f>
        <v/>
      </c>
      <c r="T24">
        <f>HYPERLINK("https://klasma.github.io/Logging_0685/kartor/A 1269-2022 karta.png", "A 1269-2022")</f>
        <v/>
      </c>
      <c r="V24">
        <f>HYPERLINK("https://klasma.github.io/Logging_0685/klagomål/A 1269-2022 FSC-klagomål.docx", "A 1269-2022")</f>
        <v/>
      </c>
      <c r="W24">
        <f>HYPERLINK("https://klasma.github.io/Logging_0685/klagomålsmail/A 1269-2022 FSC-klagomål mail.docx", "A 1269-2022")</f>
        <v/>
      </c>
      <c r="X24">
        <f>HYPERLINK("https://klasma.github.io/Logging_0685/tillsyn/A 1269-2022 tillsynsbegäran.docx", "A 1269-2022")</f>
        <v/>
      </c>
      <c r="Y24">
        <f>HYPERLINK("https://klasma.github.io/Logging_0685/tillsynsmail/A 1269-2022 tillsynsbegäran mail.docx", "A 1269-2022")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46186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46186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8976-2024</t>
        </is>
      </c>
      <c r="B27" s="1" t="n">
        <v>45357.50277777778</v>
      </c>
      <c r="C27" s="1" t="n">
        <v>46186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Lopplummer (aggregat)</t>
        </is>
      </c>
      <c r="S27">
        <f>HYPERLINK("https://klasma.github.io/Logging_0685/artfynd/A 8976-2024 artfynd.xlsx", "A 8976-2024")</f>
        <v/>
      </c>
      <c r="T27">
        <f>HYPERLINK("https://klasma.github.io/Logging_0685/kartor/A 8976-2024 karta.png", "A 8976-2024")</f>
        <v/>
      </c>
      <c r="V27">
        <f>HYPERLINK("https://klasma.github.io/Logging_0685/klagomål/A 8976-2024 FSC-klagomål.docx", "A 8976-2024")</f>
        <v/>
      </c>
      <c r="W27">
        <f>HYPERLINK("https://klasma.github.io/Logging_0685/klagomålsmail/A 8976-2024 FSC-klagomål mail.docx", "A 8976-2024")</f>
        <v/>
      </c>
      <c r="X27">
        <f>HYPERLINK("https://klasma.github.io/Logging_0685/tillsyn/A 8976-2024 tillsynsbegäran.docx", "A 8976-2024")</f>
        <v/>
      </c>
      <c r="Y27">
        <f>HYPERLINK("https://klasma.github.io/Logging_0685/tillsynsmail/A 8976-2024 tillsynsbegäran mail.docx", "A 8976-2024")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46186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46186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43385-2022</t>
        </is>
      </c>
      <c r="B30" s="1" t="n">
        <v>44834</v>
      </c>
      <c r="C30" s="1" t="n">
        <v>46186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Senfibbla</t>
        </is>
      </c>
      <c r="S30">
        <f>HYPERLINK("https://klasma.github.io/Logging_0685/artfynd/A 43385-2022 artfynd.xlsx", "A 43385-2022")</f>
        <v/>
      </c>
      <c r="T30">
        <f>HYPERLINK("https://klasma.github.io/Logging_0685/kartor/A 43385-2022 karta.png", "A 43385-2022")</f>
        <v/>
      </c>
      <c r="V30">
        <f>HYPERLINK("https://klasma.github.io/Logging_0685/klagomål/A 43385-2022 FSC-klagomål.docx", "A 43385-2022")</f>
        <v/>
      </c>
      <c r="W30">
        <f>HYPERLINK("https://klasma.github.io/Logging_0685/klagomålsmail/A 43385-2022 FSC-klagomål mail.docx", "A 43385-2022")</f>
        <v/>
      </c>
      <c r="X30">
        <f>HYPERLINK("https://klasma.github.io/Logging_0685/tillsyn/A 43385-2022 tillsynsbegäran.docx", "A 43385-2022")</f>
        <v/>
      </c>
      <c r="Y30">
        <f>HYPERLINK("https://klasma.github.io/Logging_0685/tillsynsmail/A 43385-2022 tillsynsbegäran mail.docx", "A 43385-2022")</f>
        <v/>
      </c>
    </row>
    <row r="31" ht="15" customHeight="1">
      <c r="A31" t="inlineStr">
        <is>
          <t>A 51852-2021</t>
        </is>
      </c>
      <c r="B31" s="1" t="n">
        <v>44462</v>
      </c>
      <c r="C31" s="1" t="n">
        <v>46186</v>
      </c>
      <c r="D31" t="inlineStr">
        <is>
          <t>JÖNKÖPINGS LÄN</t>
        </is>
      </c>
      <c r="E31" t="inlineStr">
        <is>
          <t>VETLANDA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HYPERLINK("https://klasma.github.io/Logging_0685/artfynd/A 51852-2021 artfynd.xlsx", "A 51852-2021")</f>
        <v/>
      </c>
      <c r="T31">
        <f>HYPERLINK("https://klasma.github.io/Logging_0685/kartor/A 51852-2021 karta.png", "A 51852-2021")</f>
        <v/>
      </c>
      <c r="V31">
        <f>HYPERLINK("https://klasma.github.io/Logging_0685/klagomål/A 51852-2021 FSC-klagomål.docx", "A 51852-2021")</f>
        <v/>
      </c>
      <c r="W31">
        <f>HYPERLINK("https://klasma.github.io/Logging_0685/klagomålsmail/A 51852-2021 FSC-klagomål mail.docx", "A 51852-2021")</f>
        <v/>
      </c>
      <c r="X31">
        <f>HYPERLINK("https://klasma.github.io/Logging_0685/tillsyn/A 51852-2021 tillsynsbegäran.docx", "A 51852-2021")</f>
        <v/>
      </c>
      <c r="Y31">
        <f>HYPERLINK("https://klasma.github.io/Logging_0685/tillsynsmail/A 51852-2021 tillsynsbegäran mail.docx", "A 51852-2021")</f>
        <v/>
      </c>
    </row>
    <row r="32" ht="15" customHeight="1">
      <c r="A32" t="inlineStr">
        <is>
          <t>A 28349-2022</t>
        </is>
      </c>
      <c r="B32" s="1" t="n">
        <v>44747</v>
      </c>
      <c r="C32" s="1" t="n">
        <v>46186</v>
      </c>
      <c r="D32" t="inlineStr">
        <is>
          <t>JÖNKÖPINGS LÄN</t>
        </is>
      </c>
      <c r="E32" t="inlineStr">
        <is>
          <t>VETLANDA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HYPERLINK("https://klasma.github.io/Logging_0685/artfynd/A 28349-2022 artfynd.xlsx", "A 28349-2022")</f>
        <v/>
      </c>
      <c r="T32">
        <f>HYPERLINK("https://klasma.github.io/Logging_0685/kartor/A 28349-2022 karta.png", "A 28349-2022")</f>
        <v/>
      </c>
      <c r="V32">
        <f>HYPERLINK("https://klasma.github.io/Logging_0685/klagomål/A 28349-2022 FSC-klagomål.docx", "A 28349-2022")</f>
        <v/>
      </c>
      <c r="W32">
        <f>HYPERLINK("https://klasma.github.io/Logging_0685/klagomålsmail/A 28349-2022 FSC-klagomål mail.docx", "A 28349-2022")</f>
        <v/>
      </c>
      <c r="X32">
        <f>HYPERLINK("https://klasma.github.io/Logging_0685/tillsyn/A 28349-2022 tillsynsbegäran.docx", "A 28349-2022")</f>
        <v/>
      </c>
      <c r="Y32">
        <f>HYPERLINK("https://klasma.github.io/Logging_0685/tillsynsmail/A 28349-2022 tillsynsbegäran mail.docx", "A 28349-2022")</f>
        <v/>
      </c>
    </row>
    <row r="33" ht="15" customHeight="1">
      <c r="A33" t="inlineStr">
        <is>
          <t>A 49388-2021</t>
        </is>
      </c>
      <c r="B33" s="1" t="n">
        <v>44454</v>
      </c>
      <c r="C33" s="1" t="n">
        <v>46186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HYPERLINK("https://klasma.github.io/Logging_0685/artfynd/A 49388-2021 artfynd.xlsx", "A 49388-2021")</f>
        <v/>
      </c>
      <c r="T33">
        <f>HYPERLINK("https://klasma.github.io/Logging_0685/kartor/A 49388-2021 karta.png", "A 49388-2021")</f>
        <v/>
      </c>
      <c r="V33">
        <f>HYPERLINK("https://klasma.github.io/Logging_0685/klagomål/A 49388-2021 FSC-klagomål.docx", "A 49388-2021")</f>
        <v/>
      </c>
      <c r="W33">
        <f>HYPERLINK("https://klasma.github.io/Logging_0685/klagomålsmail/A 49388-2021 FSC-klagomål mail.docx", "A 49388-2021")</f>
        <v/>
      </c>
      <c r="X33">
        <f>HYPERLINK("https://klasma.github.io/Logging_0685/tillsyn/A 49388-2021 tillsynsbegäran.docx", "A 49388-2021")</f>
        <v/>
      </c>
      <c r="Y33">
        <f>HYPERLINK("https://klasma.github.io/Logging_0685/tillsynsmail/A 49388-2021 tillsynsbegäran mail.docx", "A 49388-2021")</f>
        <v/>
      </c>
    </row>
    <row r="34" ht="15" customHeight="1">
      <c r="A34" t="inlineStr">
        <is>
          <t>A 26920-2022</t>
        </is>
      </c>
      <c r="B34" s="1" t="n">
        <v>44740</v>
      </c>
      <c r="C34" s="1" t="n">
        <v>46186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Adam och eva</t>
        </is>
      </c>
      <c r="S34">
        <f>HYPERLINK("https://klasma.github.io/Logging_0685/artfynd/A 26920-2022 artfynd.xlsx", "A 26920-2022")</f>
        <v/>
      </c>
      <c r="T34">
        <f>HYPERLINK("https://klasma.github.io/Logging_0685/kartor/A 26920-2022 karta.png", "A 26920-2022")</f>
        <v/>
      </c>
      <c r="V34">
        <f>HYPERLINK("https://klasma.github.io/Logging_0685/klagomål/A 26920-2022 FSC-klagomål.docx", "A 26920-2022")</f>
        <v/>
      </c>
      <c r="W34">
        <f>HYPERLINK("https://klasma.github.io/Logging_0685/klagomålsmail/A 26920-2022 FSC-klagomål mail.docx", "A 26920-2022")</f>
        <v/>
      </c>
      <c r="X34">
        <f>HYPERLINK("https://klasma.github.io/Logging_0685/tillsyn/A 26920-2022 tillsynsbegäran.docx", "A 26920-2022")</f>
        <v/>
      </c>
      <c r="Y34">
        <f>HYPERLINK("https://klasma.github.io/Logging_0685/tillsynsmail/A 26920-2022 tillsynsbegäran mail.docx", "A 26920-2022")</f>
        <v/>
      </c>
    </row>
    <row r="35" ht="15" customHeight="1">
      <c r="A35" t="inlineStr">
        <is>
          <t>A 42142-2022</t>
        </is>
      </c>
      <c r="B35" s="1" t="n">
        <v>44830</v>
      </c>
      <c r="C35" s="1" t="n">
        <v>46186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42142-2022 artfynd.xlsx", "A 42142-2022")</f>
        <v/>
      </c>
      <c r="T35">
        <f>HYPERLINK("https://klasma.github.io/Logging_0685/kartor/A 42142-2022 karta.png", "A 42142-2022")</f>
        <v/>
      </c>
      <c r="V35">
        <f>HYPERLINK("https://klasma.github.io/Logging_0685/klagomål/A 42142-2022 FSC-klagomål.docx", "A 42142-2022")</f>
        <v/>
      </c>
      <c r="W35">
        <f>HYPERLINK("https://klasma.github.io/Logging_0685/klagomålsmail/A 42142-2022 FSC-klagomål mail.docx", "A 42142-2022")</f>
        <v/>
      </c>
      <c r="X35">
        <f>HYPERLINK("https://klasma.github.io/Logging_0685/tillsyn/A 42142-2022 tillsynsbegäran.docx", "A 42142-2022")</f>
        <v/>
      </c>
      <c r="Y35">
        <f>HYPERLINK("https://klasma.github.io/Logging_0685/tillsynsmail/A 42142-2022 tillsynsbegäran mail.docx", "A 42142-2022")</f>
        <v/>
      </c>
    </row>
    <row r="36" ht="15" customHeight="1">
      <c r="A36" t="inlineStr">
        <is>
          <t>A 48121-2024</t>
        </is>
      </c>
      <c r="B36" s="1" t="n">
        <v>45589.63901620371</v>
      </c>
      <c r="C36" s="1" t="n">
        <v>46186</v>
      </c>
      <c r="D36" t="inlineStr">
        <is>
          <t>JÖNKÖPINGS LÄN</t>
        </is>
      </c>
      <c r="E36" t="inlineStr">
        <is>
          <t>VETLANDA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HYPERLINK("https://klasma.github.io/Logging_0685/artfynd/A 48121-2024 artfynd.xlsx", "A 48121-2024")</f>
        <v/>
      </c>
      <c r="T36">
        <f>HYPERLINK("https://klasma.github.io/Logging_0685/kartor/A 48121-2024 karta.png", "A 48121-2024")</f>
        <v/>
      </c>
      <c r="V36">
        <f>HYPERLINK("https://klasma.github.io/Logging_0685/klagomål/A 48121-2024 FSC-klagomål.docx", "A 48121-2024")</f>
        <v/>
      </c>
      <c r="W36">
        <f>HYPERLINK("https://klasma.github.io/Logging_0685/klagomålsmail/A 48121-2024 FSC-klagomål mail.docx", "A 48121-2024")</f>
        <v/>
      </c>
      <c r="X36">
        <f>HYPERLINK("https://klasma.github.io/Logging_0685/tillsyn/A 48121-2024 tillsynsbegäran.docx", "A 48121-2024")</f>
        <v/>
      </c>
      <c r="Y36">
        <f>HYPERLINK("https://klasma.github.io/Logging_0685/tillsynsmail/A 48121-2024 tillsynsbegäran mail.docx", "A 48121-2024")</f>
        <v/>
      </c>
    </row>
    <row r="37" ht="15" customHeight="1">
      <c r="A37" t="inlineStr">
        <is>
          <t>A 8677-2024</t>
        </is>
      </c>
      <c r="B37" s="1" t="n">
        <v>45352</v>
      </c>
      <c r="C37" s="1" t="n">
        <v>46186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8677-2024 artfynd.xlsx", "A 8677-2024")</f>
        <v/>
      </c>
      <c r="T37">
        <f>HYPERLINK("https://klasma.github.io/Logging_0685/kartor/A 8677-2024 karta.png", "A 8677-2024")</f>
        <v/>
      </c>
      <c r="V37">
        <f>HYPERLINK("https://klasma.github.io/Logging_0685/klagomål/A 8677-2024 FSC-klagomål.docx", "A 8677-2024")</f>
        <v/>
      </c>
      <c r="W37">
        <f>HYPERLINK("https://klasma.github.io/Logging_0685/klagomålsmail/A 8677-2024 FSC-klagomål mail.docx", "A 8677-2024")</f>
        <v/>
      </c>
      <c r="X37">
        <f>HYPERLINK("https://klasma.github.io/Logging_0685/tillsyn/A 8677-2024 tillsynsbegäran.docx", "A 8677-2024")</f>
        <v/>
      </c>
      <c r="Y37">
        <f>HYPERLINK("https://klasma.github.io/Logging_0685/tillsynsmail/A 8677-2024 tillsynsbegäran mail.docx", "A 8677-2024")</f>
        <v/>
      </c>
    </row>
    <row r="38" ht="15" customHeight="1">
      <c r="A38" t="inlineStr">
        <is>
          <t>A 42185-2025</t>
        </is>
      </c>
      <c r="B38" s="1" t="n">
        <v>45904.45417824074</v>
      </c>
      <c r="C38" s="1" t="n">
        <v>46186</v>
      </c>
      <c r="D38" t="inlineStr">
        <is>
          <t>JÖNKÖPINGS LÄN</t>
        </is>
      </c>
      <c r="E38" t="inlineStr">
        <is>
          <t>VETLANDA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Sydspärgel</t>
        </is>
      </c>
      <c r="S38">
        <f>HYPERLINK("https://klasma.github.io/Logging_0685/artfynd/A 42185-2025 artfynd.xlsx", "A 42185-2025")</f>
        <v/>
      </c>
      <c r="T38">
        <f>HYPERLINK("https://klasma.github.io/Logging_0685/kartor/A 42185-2025 karta.png", "A 42185-2025")</f>
        <v/>
      </c>
      <c r="V38">
        <f>HYPERLINK("https://klasma.github.io/Logging_0685/klagomål/A 42185-2025 FSC-klagomål.docx", "A 42185-2025")</f>
        <v/>
      </c>
      <c r="W38">
        <f>HYPERLINK("https://klasma.github.io/Logging_0685/klagomålsmail/A 42185-2025 FSC-klagomål mail.docx", "A 42185-2025")</f>
        <v/>
      </c>
      <c r="X38">
        <f>HYPERLINK("https://klasma.github.io/Logging_0685/tillsyn/A 42185-2025 tillsynsbegäran.docx", "A 42185-2025")</f>
        <v/>
      </c>
      <c r="Y38">
        <f>HYPERLINK("https://klasma.github.io/Logging_0685/tillsynsmail/A 42185-2025 tillsynsbegäran mail.docx", "A 42185-2025")</f>
        <v/>
      </c>
    </row>
    <row r="39" ht="15" customHeight="1">
      <c r="A39" t="inlineStr">
        <is>
          <t>A 23335-2025</t>
        </is>
      </c>
      <c r="B39" s="1" t="n">
        <v>45791.6516550926</v>
      </c>
      <c r="C39" s="1" t="n">
        <v>46186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HYPERLINK("https://klasma.github.io/Logging_0685/artfynd/A 23335-2025 artfynd.xlsx", "A 23335-2025")</f>
        <v/>
      </c>
      <c r="T39">
        <f>HYPERLINK("https://klasma.github.io/Logging_0685/kartor/A 23335-2025 karta.png", "A 23335-2025")</f>
        <v/>
      </c>
      <c r="V39">
        <f>HYPERLINK("https://klasma.github.io/Logging_0685/klagomål/A 23335-2025 FSC-klagomål.docx", "A 23335-2025")</f>
        <v/>
      </c>
      <c r="W39">
        <f>HYPERLINK("https://klasma.github.io/Logging_0685/klagomålsmail/A 23335-2025 FSC-klagomål mail.docx", "A 23335-2025")</f>
        <v/>
      </c>
      <c r="X39">
        <f>HYPERLINK("https://klasma.github.io/Logging_0685/tillsyn/A 23335-2025 tillsynsbegäran.docx", "A 23335-2025")</f>
        <v/>
      </c>
      <c r="Y39">
        <f>HYPERLINK("https://klasma.github.io/Logging_0685/tillsynsmail/A 23335-2025 tillsynsbegäran mail.docx", "A 23335-2025")</f>
        <v/>
      </c>
    </row>
    <row r="40" ht="15" customHeight="1">
      <c r="A40" t="inlineStr">
        <is>
          <t>A 40417-2024</t>
        </is>
      </c>
      <c r="B40" s="1" t="n">
        <v>45555.45984953704</v>
      </c>
      <c r="C40" s="1" t="n">
        <v>46186</v>
      </c>
      <c r="D40" t="inlineStr">
        <is>
          <t>JÖNKÖPINGS LÄN</t>
        </is>
      </c>
      <c r="E40" t="inlineStr">
        <is>
          <t>VETLANDA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HYPERLINK("https://klasma.github.io/Logging_0685/artfynd/A 40417-2024 artfynd.xlsx", "A 40417-2024")</f>
        <v/>
      </c>
      <c r="T40">
        <f>HYPERLINK("https://klasma.github.io/Logging_0685/kartor/A 40417-2024 karta.png", "A 40417-2024")</f>
        <v/>
      </c>
      <c r="V40">
        <f>HYPERLINK("https://klasma.github.io/Logging_0685/klagomål/A 40417-2024 FSC-klagomål.docx", "A 40417-2024")</f>
        <v/>
      </c>
      <c r="W40">
        <f>HYPERLINK("https://klasma.github.io/Logging_0685/klagomålsmail/A 40417-2024 FSC-klagomål mail.docx", "A 40417-2024")</f>
        <v/>
      </c>
      <c r="X40">
        <f>HYPERLINK("https://klasma.github.io/Logging_0685/tillsyn/A 40417-2024 tillsynsbegäran.docx", "A 40417-2024")</f>
        <v/>
      </c>
      <c r="Y40">
        <f>HYPERLINK("https://klasma.github.io/Logging_0685/tillsynsmail/A 40417-2024 tillsynsbegäran mail.docx", "A 40417-2024")</f>
        <v/>
      </c>
    </row>
    <row r="41" ht="15" customHeight="1">
      <c r="A41" t="inlineStr">
        <is>
          <t>A 56147-2023</t>
        </is>
      </c>
      <c r="B41" s="1" t="n">
        <v>45240</v>
      </c>
      <c r="C41" s="1" t="n">
        <v>46186</v>
      </c>
      <c r="D41" t="inlineStr">
        <is>
          <t>JÖNKÖPINGS LÄN</t>
        </is>
      </c>
      <c r="E41" t="inlineStr">
        <is>
          <t>VETLANDA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Gräsull</t>
        </is>
      </c>
      <c r="S41">
        <f>HYPERLINK("https://klasma.github.io/Logging_0685/artfynd/A 56147-2023 artfynd.xlsx", "A 56147-2023")</f>
        <v/>
      </c>
      <c r="T41">
        <f>HYPERLINK("https://klasma.github.io/Logging_0685/kartor/A 56147-2023 karta.png", "A 56147-2023")</f>
        <v/>
      </c>
      <c r="V41">
        <f>HYPERLINK("https://klasma.github.io/Logging_0685/klagomål/A 56147-2023 FSC-klagomål.docx", "A 56147-2023")</f>
        <v/>
      </c>
      <c r="W41">
        <f>HYPERLINK("https://klasma.github.io/Logging_0685/klagomålsmail/A 56147-2023 FSC-klagomål mail.docx", "A 56147-2023")</f>
        <v/>
      </c>
      <c r="X41">
        <f>HYPERLINK("https://klasma.github.io/Logging_0685/tillsyn/A 56147-2023 tillsynsbegäran.docx", "A 56147-2023")</f>
        <v/>
      </c>
      <c r="Y41">
        <f>HYPERLINK("https://klasma.github.io/Logging_0685/tillsynsmail/A 56147-2023 tillsynsbegäran mail.docx", "A 56147-2023")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46186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47327-2025</t>
        </is>
      </c>
      <c r="B43" s="1" t="n">
        <v>45930</v>
      </c>
      <c r="C43" s="1" t="n">
        <v>46186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7.2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47327-2025 artfynd.xlsx", "A 47327-2025")</f>
        <v/>
      </c>
      <c r="T43">
        <f>HYPERLINK("https://klasma.github.io/Logging_0685/kartor/A 47327-2025 karta.png", "A 47327-2025")</f>
        <v/>
      </c>
      <c r="U43">
        <f>HYPERLINK("https://klasma.github.io/Logging_0685/knärot/A 47327-2025 karta knärot.png", "A 47327-2025")</f>
        <v/>
      </c>
      <c r="V43">
        <f>HYPERLINK("https://klasma.github.io/Logging_0685/klagomål/A 47327-2025 FSC-klagomål.docx", "A 47327-2025")</f>
        <v/>
      </c>
      <c r="W43">
        <f>HYPERLINK("https://klasma.github.io/Logging_0685/klagomålsmail/A 47327-2025 FSC-klagomål mail.docx", "A 47327-2025")</f>
        <v/>
      </c>
      <c r="X43">
        <f>HYPERLINK("https://klasma.github.io/Logging_0685/tillsyn/A 47327-2025 tillsynsbegäran.docx", "A 47327-2025")</f>
        <v/>
      </c>
      <c r="Y43">
        <f>HYPERLINK("https://klasma.github.io/Logging_0685/tillsynsmail/A 47327-2025 tillsynsbegäran mail.docx", "A 47327-2025")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46186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8932-2026</t>
        </is>
      </c>
      <c r="B45" s="1" t="n">
        <v>46069.34824074074</v>
      </c>
      <c r="C45" s="1" t="n">
        <v>46186</v>
      </c>
      <c r="D45" t="inlineStr">
        <is>
          <t>JÖNKÖPINGS LÄN</t>
        </is>
      </c>
      <c r="E45" t="inlineStr">
        <is>
          <t>VETLANDA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8932-2026 artfynd.xlsx", "A 8932-2026")</f>
        <v/>
      </c>
      <c r="T45">
        <f>HYPERLINK("https://klasma.github.io/Logging_0685/kartor/A 8932-2026 karta.png", "A 8932-2026")</f>
        <v/>
      </c>
      <c r="V45">
        <f>HYPERLINK("https://klasma.github.io/Logging_0685/klagomål/A 8932-2026 FSC-klagomål.docx", "A 8932-2026")</f>
        <v/>
      </c>
      <c r="W45">
        <f>HYPERLINK("https://klasma.github.io/Logging_0685/klagomålsmail/A 8932-2026 FSC-klagomål mail.docx", "A 8932-2026")</f>
        <v/>
      </c>
      <c r="X45">
        <f>HYPERLINK("https://klasma.github.io/Logging_0685/tillsyn/A 8932-2026 tillsynsbegäran.docx", "A 8932-2026")</f>
        <v/>
      </c>
      <c r="Y45">
        <f>HYPERLINK("https://klasma.github.io/Logging_0685/tillsynsmail/A 8932-2026 tillsynsbegäran mail.docx", "A 8932-2026")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46186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57111-2023</t>
        </is>
      </c>
      <c r="B47" s="1" t="n">
        <v>45239</v>
      </c>
      <c r="C47" s="1" t="n">
        <v>46186</v>
      </c>
      <c r="D47" t="inlineStr">
        <is>
          <t>JÖNKÖPINGS LÄN</t>
        </is>
      </c>
      <c r="E47" t="inlineStr">
        <is>
          <t>VETLANDA</t>
        </is>
      </c>
      <c r="F47" t="inlineStr">
        <is>
          <t>Kyrkan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57111-2023 artfynd.xlsx", "A 57111-2023")</f>
        <v/>
      </c>
      <c r="T47">
        <f>HYPERLINK("https://klasma.github.io/Logging_0685/kartor/A 57111-2023 karta.png", "A 57111-2023")</f>
        <v/>
      </c>
      <c r="V47">
        <f>HYPERLINK("https://klasma.github.io/Logging_0685/klagomål/A 57111-2023 FSC-klagomål.docx", "A 57111-2023")</f>
        <v/>
      </c>
      <c r="W47">
        <f>HYPERLINK("https://klasma.github.io/Logging_0685/klagomålsmail/A 57111-2023 FSC-klagomål mail.docx", "A 57111-2023")</f>
        <v/>
      </c>
      <c r="X47">
        <f>HYPERLINK("https://klasma.github.io/Logging_0685/tillsyn/A 57111-2023 tillsynsbegäran.docx", "A 57111-2023")</f>
        <v/>
      </c>
      <c r="Y47">
        <f>HYPERLINK("https://klasma.github.io/Logging_0685/tillsynsmail/A 57111-2023 tillsynsbegäran mail.docx", "A 57111-2023")</f>
        <v/>
      </c>
    </row>
    <row r="48" ht="15" customHeight="1">
      <c r="A48" t="inlineStr">
        <is>
          <t>A 9122-2025</t>
        </is>
      </c>
      <c r="B48" s="1" t="n">
        <v>45713</v>
      </c>
      <c r="C48" s="1" t="n">
        <v>46186</v>
      </c>
      <c r="D48" t="inlineStr">
        <is>
          <t>JÖNKÖPINGS LÄN</t>
        </is>
      </c>
      <c r="E48" t="inlineStr">
        <is>
          <t>VETLANDA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HYPERLINK("https://klasma.github.io/Logging_0685/artfynd/A 9122-2025 artfynd.xlsx", "A 9122-2025")</f>
        <v/>
      </c>
      <c r="T48">
        <f>HYPERLINK("https://klasma.github.io/Logging_0685/kartor/A 9122-2025 karta.png", "A 9122-2025")</f>
        <v/>
      </c>
      <c r="V48">
        <f>HYPERLINK("https://klasma.github.io/Logging_0685/klagomål/A 9122-2025 FSC-klagomål.docx", "A 9122-2025")</f>
        <v/>
      </c>
      <c r="W48">
        <f>HYPERLINK("https://klasma.github.io/Logging_0685/klagomålsmail/A 9122-2025 FSC-klagomål mail.docx", "A 9122-2025")</f>
        <v/>
      </c>
      <c r="X48">
        <f>HYPERLINK("https://klasma.github.io/Logging_0685/tillsyn/A 9122-2025 tillsynsbegäran.docx", "A 9122-2025")</f>
        <v/>
      </c>
      <c r="Y48">
        <f>HYPERLINK("https://klasma.github.io/Logging_0685/tillsynsmail/A 9122-2025 tillsynsbegäran mail.docx", "A 9122-2025")</f>
        <v/>
      </c>
      <c r="Z48">
        <f>HYPERLINK("https://klasma.github.io/Logging_0685/fåglar/A 9122-2025 prioriterade fågelarter.docx", "A 9122-2025")</f>
        <v/>
      </c>
    </row>
    <row r="49" ht="15" customHeight="1">
      <c r="A49" t="inlineStr">
        <is>
          <t>A 12223-2023</t>
        </is>
      </c>
      <c r="B49" s="1" t="n">
        <v>44998</v>
      </c>
      <c r="C49" s="1" t="n">
        <v>46186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HYPERLINK("https://klasma.github.io/Logging_0685/artfynd/A 12223-2023 artfynd.xlsx", "A 12223-2023")</f>
        <v/>
      </c>
      <c r="T49">
        <f>HYPERLINK("https://klasma.github.io/Logging_0685/kartor/A 12223-2023 karta.png", "A 12223-2023")</f>
        <v/>
      </c>
      <c r="V49">
        <f>HYPERLINK("https://klasma.github.io/Logging_0685/klagomål/A 12223-2023 FSC-klagomål.docx", "A 12223-2023")</f>
        <v/>
      </c>
      <c r="W49">
        <f>HYPERLINK("https://klasma.github.io/Logging_0685/klagomålsmail/A 12223-2023 FSC-klagomål mail.docx", "A 12223-2023")</f>
        <v/>
      </c>
      <c r="X49">
        <f>HYPERLINK("https://klasma.github.io/Logging_0685/tillsyn/A 12223-2023 tillsynsbegäran.docx", "A 12223-2023")</f>
        <v/>
      </c>
      <c r="Y49">
        <f>HYPERLINK("https://klasma.github.io/Logging_0685/tillsynsmail/A 12223-2023 tillsynsbegäran mail.docx", "A 12223-2023")</f>
        <v/>
      </c>
    </row>
    <row r="50" ht="15" customHeight="1">
      <c r="A50" t="inlineStr">
        <is>
          <t>A 53741-2022</t>
        </is>
      </c>
      <c r="B50" s="1" t="n">
        <v>44880</v>
      </c>
      <c r="C50" s="1" t="n">
        <v>46186</v>
      </c>
      <c r="D50" t="inlineStr">
        <is>
          <t>JÖNKÖPINGS LÄN</t>
        </is>
      </c>
      <c r="E50" t="inlineStr">
        <is>
          <t>VETLANDA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Sommarfibbla</t>
        </is>
      </c>
      <c r="S50">
        <f>HYPERLINK("https://klasma.github.io/Logging_0685/artfynd/A 53741-2022 artfynd.xlsx", "A 53741-2022")</f>
        <v/>
      </c>
      <c r="T50">
        <f>HYPERLINK("https://klasma.github.io/Logging_0685/kartor/A 53741-2022 karta.png", "A 53741-2022")</f>
        <v/>
      </c>
      <c r="V50">
        <f>HYPERLINK("https://klasma.github.io/Logging_0685/klagomål/A 53741-2022 FSC-klagomål.docx", "A 53741-2022")</f>
        <v/>
      </c>
      <c r="W50">
        <f>HYPERLINK("https://klasma.github.io/Logging_0685/klagomålsmail/A 53741-2022 FSC-klagomål mail.docx", "A 53741-2022")</f>
        <v/>
      </c>
      <c r="X50">
        <f>HYPERLINK("https://klasma.github.io/Logging_0685/tillsyn/A 53741-2022 tillsynsbegäran.docx", "A 53741-2022")</f>
        <v/>
      </c>
      <c r="Y50">
        <f>HYPERLINK("https://klasma.github.io/Logging_0685/tillsynsmail/A 53741-2022 tillsynsbegäran mail.docx", "A 53741-2022")</f>
        <v/>
      </c>
    </row>
    <row r="51" ht="15" customHeight="1">
      <c r="A51" t="inlineStr">
        <is>
          <t>A 59894-2022</t>
        </is>
      </c>
      <c r="B51" s="1" t="n">
        <v>44908</v>
      </c>
      <c r="C51" s="1" t="n">
        <v>46186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Backklöver</t>
        </is>
      </c>
      <c r="S51">
        <f>HYPERLINK("https://klasma.github.io/Logging_0685/artfynd/A 59894-2022 artfynd.xlsx", "A 59894-2022")</f>
        <v/>
      </c>
      <c r="T51">
        <f>HYPERLINK("https://klasma.github.io/Logging_0685/kartor/A 59894-2022 karta.png", "A 59894-2022")</f>
        <v/>
      </c>
      <c r="V51">
        <f>HYPERLINK("https://klasma.github.io/Logging_0685/klagomål/A 59894-2022 FSC-klagomål.docx", "A 59894-2022")</f>
        <v/>
      </c>
      <c r="W51">
        <f>HYPERLINK("https://klasma.github.io/Logging_0685/klagomålsmail/A 59894-2022 FSC-klagomål mail.docx", "A 59894-2022")</f>
        <v/>
      </c>
      <c r="X51">
        <f>HYPERLINK("https://klasma.github.io/Logging_0685/tillsyn/A 59894-2022 tillsynsbegäran.docx", "A 59894-2022")</f>
        <v/>
      </c>
      <c r="Y51">
        <f>HYPERLINK("https://klasma.github.io/Logging_0685/tillsynsmail/A 59894-2022 tillsynsbegäran mail.docx", "A 59894-2022")</f>
        <v/>
      </c>
    </row>
    <row r="52" ht="15" customHeight="1">
      <c r="A52" t="inlineStr">
        <is>
          <t>A 35845-2023</t>
        </is>
      </c>
      <c r="B52" s="1" t="n">
        <v>45148.4965162037</v>
      </c>
      <c r="C52" s="1" t="n">
        <v>46186</v>
      </c>
      <c r="D52" t="inlineStr">
        <is>
          <t>JÖNKÖPINGS LÄN</t>
        </is>
      </c>
      <c r="E52" t="inlineStr">
        <is>
          <t>VETLANDA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HYPERLINK("https://klasma.github.io/Logging_0685/artfynd/A 35845-2023 artfynd.xlsx", "A 35845-2023")</f>
        <v/>
      </c>
      <c r="T52">
        <f>HYPERLINK("https://klasma.github.io/Logging_0685/kartor/A 35845-2023 karta.png", "A 35845-2023")</f>
        <v/>
      </c>
      <c r="V52">
        <f>HYPERLINK("https://klasma.github.io/Logging_0685/klagomål/A 35845-2023 FSC-klagomål.docx", "A 35845-2023")</f>
        <v/>
      </c>
      <c r="W52">
        <f>HYPERLINK("https://klasma.github.io/Logging_0685/klagomålsmail/A 35845-2023 FSC-klagomål mail.docx", "A 35845-2023")</f>
        <v/>
      </c>
      <c r="X52">
        <f>HYPERLINK("https://klasma.github.io/Logging_0685/tillsyn/A 35845-2023 tillsynsbegäran.docx", "A 35845-2023")</f>
        <v/>
      </c>
      <c r="Y52">
        <f>HYPERLINK("https://klasma.github.io/Logging_0685/tillsynsmail/A 35845-2023 tillsynsbegäran mail.docx", "A 35845-2023")</f>
        <v/>
      </c>
    </row>
    <row r="53" ht="15" customHeight="1">
      <c r="A53" t="inlineStr">
        <is>
          <t>A 17874-2024</t>
        </is>
      </c>
      <c r="B53" s="1" t="n">
        <v>45419.45423611111</v>
      </c>
      <c r="C53" s="1" t="n">
        <v>46186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HYPERLINK("https://klasma.github.io/Logging_0685/artfynd/A 17874-2024 artfynd.xlsx", "A 17874-2024")</f>
        <v/>
      </c>
      <c r="T53">
        <f>HYPERLINK("https://klasma.github.io/Logging_0685/kartor/A 17874-2024 karta.png", "A 17874-2024")</f>
        <v/>
      </c>
      <c r="V53">
        <f>HYPERLINK("https://klasma.github.io/Logging_0685/klagomål/A 17874-2024 FSC-klagomål.docx", "A 17874-2024")</f>
        <v/>
      </c>
      <c r="W53">
        <f>HYPERLINK("https://klasma.github.io/Logging_0685/klagomålsmail/A 17874-2024 FSC-klagomål mail.docx", "A 17874-2024")</f>
        <v/>
      </c>
      <c r="X53">
        <f>HYPERLINK("https://klasma.github.io/Logging_0685/tillsyn/A 17874-2024 tillsynsbegäran.docx", "A 17874-2024")</f>
        <v/>
      </c>
      <c r="Y53">
        <f>HYPERLINK("https://klasma.github.io/Logging_0685/tillsynsmail/A 17874-2024 tillsynsbegäran mail.docx", "A 17874-2024")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46186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16508-2024</t>
        </is>
      </c>
      <c r="B55" s="1" t="n">
        <v>45408.38405092592</v>
      </c>
      <c r="C55" s="1" t="n">
        <v>46186</v>
      </c>
      <c r="D55" t="inlineStr">
        <is>
          <t>JÖNKÖPINGS LÄN</t>
        </is>
      </c>
      <c r="E55" t="inlineStr">
        <is>
          <t>VETLANDA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16508-2024 artfynd.xlsx", "A 16508-2024")</f>
        <v/>
      </c>
      <c r="T55">
        <f>HYPERLINK("https://klasma.github.io/Logging_0685/kartor/A 16508-2024 karta.png", "A 16508-2024")</f>
        <v/>
      </c>
      <c r="V55">
        <f>HYPERLINK("https://klasma.github.io/Logging_0685/klagomål/A 16508-2024 FSC-klagomål.docx", "A 16508-2024")</f>
        <v/>
      </c>
      <c r="W55">
        <f>HYPERLINK("https://klasma.github.io/Logging_0685/klagomålsmail/A 16508-2024 FSC-klagomål mail.docx", "A 16508-2024")</f>
        <v/>
      </c>
      <c r="X55">
        <f>HYPERLINK("https://klasma.github.io/Logging_0685/tillsyn/A 16508-2024 tillsynsbegäran.docx", "A 16508-2024")</f>
        <v/>
      </c>
      <c r="Y55">
        <f>HYPERLINK("https://klasma.github.io/Logging_0685/tillsynsmail/A 16508-2024 tillsynsbegäran mail.docx", "A 16508-2024")</f>
        <v/>
      </c>
    </row>
    <row r="56" ht="15" customHeight="1">
      <c r="A56" t="inlineStr">
        <is>
          <t>A 39857-2022</t>
        </is>
      </c>
      <c r="B56" s="1" t="n">
        <v>44819</v>
      </c>
      <c r="C56" s="1" t="n">
        <v>46186</v>
      </c>
      <c r="D56" t="inlineStr">
        <is>
          <t>JÖNKÖPINGS LÄN</t>
        </is>
      </c>
      <c r="E56" t="inlineStr">
        <is>
          <t>VETLANDA</t>
        </is>
      </c>
      <c r="G56" t="n">
        <v>11.8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HYPERLINK("https://klasma.github.io/Logging_0685/artfynd/A 39857-2022 artfynd.xlsx", "A 39857-2022")</f>
        <v/>
      </c>
      <c r="T56">
        <f>HYPERLINK("https://klasma.github.io/Logging_0685/kartor/A 39857-2022 karta.png", "A 39857-2022")</f>
        <v/>
      </c>
      <c r="V56">
        <f>HYPERLINK("https://klasma.github.io/Logging_0685/klagomål/A 39857-2022 FSC-klagomål.docx", "A 39857-2022")</f>
        <v/>
      </c>
      <c r="W56">
        <f>HYPERLINK("https://klasma.github.io/Logging_0685/klagomålsmail/A 39857-2022 FSC-klagomål mail.docx", "A 39857-2022")</f>
        <v/>
      </c>
      <c r="X56">
        <f>HYPERLINK("https://klasma.github.io/Logging_0685/tillsyn/A 39857-2022 tillsynsbegäran.docx", "A 39857-2022")</f>
        <v/>
      </c>
      <c r="Y56">
        <f>HYPERLINK("https://klasma.github.io/Logging_0685/tillsynsmail/A 39857-2022 tillsynsbegäran mail.docx", "A 39857-2022")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46186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44177-2021</t>
        </is>
      </c>
      <c r="B58" s="1" t="n">
        <v>44434</v>
      </c>
      <c r="C58" s="1" t="n">
        <v>46186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HYPERLINK("https://klasma.github.io/Logging_0685/artfynd/A 44177-2021 artfynd.xlsx", "A 44177-2021")</f>
        <v/>
      </c>
      <c r="T58">
        <f>HYPERLINK("https://klasma.github.io/Logging_0685/kartor/A 44177-2021 karta.png", "A 44177-2021")</f>
        <v/>
      </c>
      <c r="V58">
        <f>HYPERLINK("https://klasma.github.io/Logging_0685/klagomål/A 44177-2021 FSC-klagomål.docx", "A 44177-2021")</f>
        <v/>
      </c>
      <c r="W58">
        <f>HYPERLINK("https://klasma.github.io/Logging_0685/klagomålsmail/A 44177-2021 FSC-klagomål mail.docx", "A 44177-2021")</f>
        <v/>
      </c>
      <c r="X58">
        <f>HYPERLINK("https://klasma.github.io/Logging_0685/tillsyn/A 44177-2021 tillsynsbegäran.docx", "A 44177-2021")</f>
        <v/>
      </c>
      <c r="Y58">
        <f>HYPERLINK("https://klasma.github.io/Logging_0685/tillsynsmail/A 44177-2021 tillsynsbegäran mail.docx", "A 44177-2021")</f>
        <v/>
      </c>
    </row>
    <row r="59" ht="15" customHeight="1">
      <c r="A59" t="inlineStr">
        <is>
          <t>A 39794-2025</t>
        </is>
      </c>
      <c r="B59" s="1" t="n">
        <v>45891.48929398148</v>
      </c>
      <c r="C59" s="1" t="n">
        <v>46186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39794-2025 artfynd.xlsx", "A 39794-2025")</f>
        <v/>
      </c>
      <c r="T59">
        <f>HYPERLINK("https://klasma.github.io/Logging_0685/kartor/A 39794-2025 karta.png", "A 39794-2025")</f>
        <v/>
      </c>
      <c r="V59">
        <f>HYPERLINK("https://klasma.github.io/Logging_0685/klagomål/A 39794-2025 FSC-klagomål.docx", "A 39794-2025")</f>
        <v/>
      </c>
      <c r="W59">
        <f>HYPERLINK("https://klasma.github.io/Logging_0685/klagomålsmail/A 39794-2025 FSC-klagomål mail.docx", "A 39794-2025")</f>
        <v/>
      </c>
      <c r="X59">
        <f>HYPERLINK("https://klasma.github.io/Logging_0685/tillsyn/A 39794-2025 tillsynsbegäran.docx", "A 39794-2025")</f>
        <v/>
      </c>
      <c r="Y59">
        <f>HYPERLINK("https://klasma.github.io/Logging_0685/tillsynsmail/A 39794-2025 tillsynsbegäran mail.docx", "A 39794-2025")</f>
        <v/>
      </c>
    </row>
    <row r="60" ht="15" customHeight="1">
      <c r="A60" t="inlineStr">
        <is>
          <t>A 20783-2026</t>
        </is>
      </c>
      <c r="B60" s="1" t="n">
        <v>46141.63559027778</v>
      </c>
      <c r="C60" s="1" t="n">
        <v>46186</v>
      </c>
      <c r="D60" t="inlineStr">
        <is>
          <t>JÖNKÖPINGS LÄN</t>
        </is>
      </c>
      <c r="E60" t="inlineStr">
        <is>
          <t>VETLANDA</t>
        </is>
      </c>
      <c r="G60" t="n">
        <v>8.300000000000001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HYPERLINK("https://klasma.github.io/Logging_0685/artfynd/A 20783-2026 artfynd.xlsx", "A 20783-2026")</f>
        <v/>
      </c>
      <c r="T60">
        <f>HYPERLINK("https://klasma.github.io/Logging_0685/kartor/A 20783-2026 karta.png", "A 20783-2026")</f>
        <v/>
      </c>
      <c r="V60">
        <f>HYPERLINK("https://klasma.github.io/Logging_0685/klagomål/A 20783-2026 FSC-klagomål.docx", "A 20783-2026")</f>
        <v/>
      </c>
      <c r="W60">
        <f>HYPERLINK("https://klasma.github.io/Logging_0685/klagomålsmail/A 20783-2026 FSC-klagomål mail.docx", "A 20783-2026")</f>
        <v/>
      </c>
      <c r="X60">
        <f>HYPERLINK("https://klasma.github.io/Logging_0685/tillsyn/A 20783-2026 tillsynsbegäran.docx", "A 20783-2026")</f>
        <v/>
      </c>
      <c r="Y60">
        <f>HYPERLINK("https://klasma.github.io/Logging_0685/tillsynsmail/A 20783-2026 tillsynsbegäran mail.docx", "A 20783-2026")</f>
        <v/>
      </c>
      <c r="Z60">
        <f>HYPERLINK("https://klasma.github.io/Logging_0685/fåglar/A 20783-2026 prioriterade fågelarter.docx", "A 20783-2026")</f>
        <v/>
      </c>
    </row>
    <row r="61" ht="15" customHeight="1">
      <c r="A61" t="inlineStr">
        <is>
          <t>A 60971-2023</t>
        </is>
      </c>
      <c r="B61" s="1" t="n">
        <v>45261</v>
      </c>
      <c r="C61" s="1" t="n">
        <v>46186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60971-2023 artfynd.xlsx", "A 60971-2023")</f>
        <v/>
      </c>
      <c r="T61">
        <f>HYPERLINK("https://klasma.github.io/Logging_0685/kartor/A 60971-2023 karta.png", "A 60971-2023")</f>
        <v/>
      </c>
      <c r="V61">
        <f>HYPERLINK("https://klasma.github.io/Logging_0685/klagomål/A 60971-2023 FSC-klagomål.docx", "A 60971-2023")</f>
        <v/>
      </c>
      <c r="W61">
        <f>HYPERLINK("https://klasma.github.io/Logging_0685/klagomålsmail/A 60971-2023 FSC-klagomål mail.docx", "A 60971-2023")</f>
        <v/>
      </c>
      <c r="X61">
        <f>HYPERLINK("https://klasma.github.io/Logging_0685/tillsyn/A 60971-2023 tillsynsbegäran.docx", "A 60971-2023")</f>
        <v/>
      </c>
      <c r="Y61">
        <f>HYPERLINK("https://klasma.github.io/Logging_0685/tillsynsmail/A 60971-2023 tillsynsbegäran mail.docx", "A 60971-2023")</f>
        <v/>
      </c>
    </row>
    <row r="62" ht="15" customHeight="1">
      <c r="A62" t="inlineStr">
        <is>
          <t>A 23827-2026</t>
        </is>
      </c>
      <c r="B62" s="1" t="n">
        <v>46166.69366898148</v>
      </c>
      <c r="C62" s="1" t="n">
        <v>46186</v>
      </c>
      <c r="D62" t="inlineStr">
        <is>
          <t>JÖNKÖPINGS LÄN</t>
        </is>
      </c>
      <c r="E62" t="inlineStr">
        <is>
          <t>VETLANDA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HYPERLINK("https://klasma.github.io/Logging_0685/artfynd/A 23827-2026 artfynd.xlsx", "A 23827-2026")</f>
        <v/>
      </c>
      <c r="T62">
        <f>HYPERLINK("https://klasma.github.io/Logging_0685/kartor/A 23827-2026 karta.png", "A 23827-2026")</f>
        <v/>
      </c>
      <c r="V62">
        <f>HYPERLINK("https://klasma.github.io/Logging_0685/klagomål/A 23827-2026 FSC-klagomål.docx", "A 23827-2026")</f>
        <v/>
      </c>
      <c r="W62">
        <f>HYPERLINK("https://klasma.github.io/Logging_0685/klagomålsmail/A 23827-2026 FSC-klagomål mail.docx", "A 23827-2026")</f>
        <v/>
      </c>
      <c r="X62">
        <f>HYPERLINK("https://klasma.github.io/Logging_0685/tillsyn/A 23827-2026 tillsynsbegäran.docx", "A 23827-2026")</f>
        <v/>
      </c>
      <c r="Y62">
        <f>HYPERLINK("https://klasma.github.io/Logging_0685/tillsynsmail/A 23827-2026 tillsynsbegäran mail.docx", "A 23827-2026")</f>
        <v/>
      </c>
    </row>
    <row r="63" ht="15" customHeight="1">
      <c r="A63" t="inlineStr">
        <is>
          <t>A 15177-2024</t>
        </is>
      </c>
      <c r="B63" s="1" t="n">
        <v>45400</v>
      </c>
      <c r="C63" s="1" t="n">
        <v>46186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20.9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15177-2024 artfynd.xlsx", "A 15177-2024")</f>
        <v/>
      </c>
      <c r="T63">
        <f>HYPERLINK("https://klasma.github.io/Logging_0685/kartor/A 15177-2024 karta.png", "A 15177-2024")</f>
        <v/>
      </c>
      <c r="U63">
        <f>HYPERLINK("https://klasma.github.io/Logging_0685/knärot/A 15177-2024 karta knärot.png", "A 15177-2024")</f>
        <v/>
      </c>
      <c r="V63">
        <f>HYPERLINK("https://klasma.github.io/Logging_0685/klagomål/A 15177-2024 FSC-klagomål.docx", "A 15177-2024")</f>
        <v/>
      </c>
      <c r="W63">
        <f>HYPERLINK("https://klasma.github.io/Logging_0685/klagomålsmail/A 15177-2024 FSC-klagomål mail.docx", "A 15177-2024")</f>
        <v/>
      </c>
      <c r="X63">
        <f>HYPERLINK("https://klasma.github.io/Logging_0685/tillsyn/A 15177-2024 tillsynsbegäran.docx", "A 15177-2024")</f>
        <v/>
      </c>
      <c r="Y63">
        <f>HYPERLINK("https://klasma.github.io/Logging_0685/tillsynsmail/A 15177-2024 tillsynsbegäran mail.docx", "A 15177-2024")</f>
        <v/>
      </c>
    </row>
    <row r="64" ht="15" customHeight="1">
      <c r="A64" t="inlineStr">
        <is>
          <t>A 29027-2023</t>
        </is>
      </c>
      <c r="B64" s="1" t="n">
        <v>45104</v>
      </c>
      <c r="C64" s="1" t="n">
        <v>46186</v>
      </c>
      <c r="D64" t="inlineStr">
        <is>
          <t>JÖNKÖPINGS LÄN</t>
        </is>
      </c>
      <c r="E64" t="inlineStr">
        <is>
          <t>VETLANDA</t>
        </is>
      </c>
      <c r="G64" t="n">
        <v>10.1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29027-2023 artfynd.xlsx", "A 29027-2023")</f>
        <v/>
      </c>
      <c r="T64">
        <f>HYPERLINK("https://klasma.github.io/Logging_0685/kartor/A 29027-2023 karta.png", "A 29027-2023")</f>
        <v/>
      </c>
      <c r="U64">
        <f>HYPERLINK("https://klasma.github.io/Logging_0685/knärot/A 29027-2023 karta knärot.png", "A 29027-2023")</f>
        <v/>
      </c>
      <c r="V64">
        <f>HYPERLINK("https://klasma.github.io/Logging_0685/klagomål/A 29027-2023 FSC-klagomål.docx", "A 29027-2023")</f>
        <v/>
      </c>
      <c r="W64">
        <f>HYPERLINK("https://klasma.github.io/Logging_0685/klagomålsmail/A 29027-2023 FSC-klagomål mail.docx", "A 29027-2023")</f>
        <v/>
      </c>
      <c r="X64">
        <f>HYPERLINK("https://klasma.github.io/Logging_0685/tillsyn/A 29027-2023 tillsynsbegäran.docx", "A 29027-2023")</f>
        <v/>
      </c>
      <c r="Y64">
        <f>HYPERLINK("https://klasma.github.io/Logging_0685/tillsynsmail/A 29027-2023 tillsynsbegäran mail.docx", "A 29027-2023")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46186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46186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46186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48907-2021</t>
        </is>
      </c>
      <c r="B68" s="1" t="n">
        <v>44453</v>
      </c>
      <c r="C68" s="1" t="n">
        <v>46186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42058-2021</t>
        </is>
      </c>
      <c r="B69" s="1" t="n">
        <v>44426</v>
      </c>
      <c r="C69" s="1" t="n">
        <v>46186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59259-2021</t>
        </is>
      </c>
      <c r="B70" s="1" t="n">
        <v>44490.66787037037</v>
      </c>
      <c r="C70" s="1" t="n">
        <v>46186</v>
      </c>
      <c r="D70" t="inlineStr">
        <is>
          <t>JÖNKÖPINGS LÄN</t>
        </is>
      </c>
      <c r="E70" t="inlineStr">
        <is>
          <t>VETLANDA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44987-2021</t>
        </is>
      </c>
      <c r="B71" s="1" t="n">
        <v>44438.86667824074</v>
      </c>
      <c r="C71" s="1" t="n">
        <v>46186</v>
      </c>
      <c r="D71" t="inlineStr">
        <is>
          <t>JÖNKÖPINGS LÄN</t>
        </is>
      </c>
      <c r="E71" t="inlineStr">
        <is>
          <t>VETLANDA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48212-2022</t>
        </is>
      </c>
      <c r="B72" s="1" t="n">
        <v>44858.42625</v>
      </c>
      <c r="C72" s="1" t="n">
        <v>46186</v>
      </c>
      <c r="D72" t="inlineStr">
        <is>
          <t>JÖNKÖPINGS LÄN</t>
        </is>
      </c>
      <c r="E72" t="inlineStr">
        <is>
          <t>VETLANDA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32270-2022</t>
        </is>
      </c>
      <c r="B73" s="1" t="n">
        <v>44781</v>
      </c>
      <c r="C73" s="1" t="n">
        <v>46186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43901-2022</t>
        </is>
      </c>
      <c r="B74" s="1" t="n">
        <v>44838.49244212963</v>
      </c>
      <c r="C74" s="1" t="n">
        <v>46186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38080-2021</t>
        </is>
      </c>
      <c r="B75" s="1" t="n">
        <v>44404</v>
      </c>
      <c r="C75" s="1" t="n">
        <v>46186</v>
      </c>
      <c r="D75" t="inlineStr">
        <is>
          <t>JÖNKÖPINGS LÄN</t>
        </is>
      </c>
      <c r="E75" t="inlineStr">
        <is>
          <t>VETLANDA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25599-2022</t>
        </is>
      </c>
      <c r="B76" s="1" t="n">
        <v>44732</v>
      </c>
      <c r="C76" s="1" t="n">
        <v>46186</v>
      </c>
      <c r="D76" t="inlineStr">
        <is>
          <t>JÖNKÖPINGS LÄN</t>
        </is>
      </c>
      <c r="E76" t="inlineStr">
        <is>
          <t>VETLANDA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32372-2022</t>
        </is>
      </c>
      <c r="B77" s="1" t="n">
        <v>44781</v>
      </c>
      <c r="C77" s="1" t="n">
        <v>46186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63459-2021</t>
        </is>
      </c>
      <c r="B78" s="1" t="n">
        <v>44508.59416666667</v>
      </c>
      <c r="C78" s="1" t="n">
        <v>46186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65306-2021</t>
        </is>
      </c>
      <c r="B79" s="1" t="n">
        <v>44515.61378472222</v>
      </c>
      <c r="C79" s="1" t="n">
        <v>46186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62681-2021</t>
        </is>
      </c>
      <c r="B80" s="1" t="n">
        <v>44504.28572916667</v>
      </c>
      <c r="C80" s="1" t="n">
        <v>46186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60373-2021</t>
        </is>
      </c>
      <c r="B81" s="1" t="n">
        <v>44496.35259259259</v>
      </c>
      <c r="C81" s="1" t="n">
        <v>46186</v>
      </c>
      <c r="D81" t="inlineStr">
        <is>
          <t>JÖNKÖPINGS LÄN</t>
        </is>
      </c>
      <c r="E81" t="inlineStr">
        <is>
          <t>VETLANDA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56004-2022</t>
        </is>
      </c>
      <c r="B82" s="1" t="n">
        <v>44889.49348379629</v>
      </c>
      <c r="C82" s="1" t="n">
        <v>46186</v>
      </c>
      <c r="D82" t="inlineStr">
        <is>
          <t>JÖNKÖPINGS LÄN</t>
        </is>
      </c>
      <c r="E82" t="inlineStr">
        <is>
          <t>VETLANDA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2401-2022</t>
        </is>
      </c>
      <c r="B83" s="1" t="n">
        <v>44579</v>
      </c>
      <c r="C83" s="1" t="n">
        <v>46186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6547-2022</t>
        </is>
      </c>
      <c r="B84" s="1" t="n">
        <v>44601.54201388889</v>
      </c>
      <c r="C84" s="1" t="n">
        <v>46186</v>
      </c>
      <c r="D84" t="inlineStr">
        <is>
          <t>JÖNKÖPINGS LÄN</t>
        </is>
      </c>
      <c r="E84" t="inlineStr">
        <is>
          <t>VETLANDA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40012-2021</t>
        </is>
      </c>
      <c r="B85" s="1" t="n">
        <v>44418.4027199074</v>
      </c>
      <c r="C85" s="1" t="n">
        <v>46186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72138-2021</t>
        </is>
      </c>
      <c r="B86" s="1" t="n">
        <v>44544.60025462963</v>
      </c>
      <c r="C86" s="1" t="n">
        <v>46186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45942-2021</t>
        </is>
      </c>
      <c r="B87" s="1" t="n">
        <v>44441.64387731482</v>
      </c>
      <c r="C87" s="1" t="n">
        <v>46186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42950-2021</t>
        </is>
      </c>
      <c r="B88" s="1" t="n">
        <v>44431.39714120371</v>
      </c>
      <c r="C88" s="1" t="n">
        <v>46186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64190-2021</t>
        </is>
      </c>
      <c r="B89" s="1" t="n">
        <v>44510.59653935185</v>
      </c>
      <c r="C89" s="1" t="n">
        <v>46186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53207-2021</t>
        </is>
      </c>
      <c r="B90" s="1" t="n">
        <v>44468.40091435185</v>
      </c>
      <c r="C90" s="1" t="n">
        <v>46186</v>
      </c>
      <c r="D90" t="inlineStr">
        <is>
          <t>JÖNKÖPINGS LÄN</t>
        </is>
      </c>
      <c r="E90" t="inlineStr">
        <is>
          <t>VETLANDA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65957-2021</t>
        </is>
      </c>
      <c r="B91" s="1" t="n">
        <v>44517</v>
      </c>
      <c r="C91" s="1" t="n">
        <v>46186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64192-2021</t>
        </is>
      </c>
      <c r="B92" s="1" t="n">
        <v>44510.59922453704</v>
      </c>
      <c r="C92" s="1" t="n">
        <v>46186</v>
      </c>
      <c r="D92" t="inlineStr">
        <is>
          <t>JÖNKÖPINGS LÄN</t>
        </is>
      </c>
      <c r="E92" t="inlineStr">
        <is>
          <t>VETLANDA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62740-2021</t>
        </is>
      </c>
      <c r="B93" s="1" t="n">
        <v>44503</v>
      </c>
      <c r="C93" s="1" t="n">
        <v>46186</v>
      </c>
      <c r="D93" t="inlineStr">
        <is>
          <t>JÖNKÖPINGS LÄN</t>
        </is>
      </c>
      <c r="E93" t="inlineStr">
        <is>
          <t>VETLANDA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50690-2021</t>
        </is>
      </c>
      <c r="B94" s="1" t="n">
        <v>44459</v>
      </c>
      <c r="C94" s="1" t="n">
        <v>46186</v>
      </c>
      <c r="D94" t="inlineStr">
        <is>
          <t>JÖNKÖPINGS LÄN</t>
        </is>
      </c>
      <c r="E94" t="inlineStr">
        <is>
          <t>VETLANDA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36329-2021</t>
        </is>
      </c>
      <c r="B95" s="1" t="n">
        <v>44390.47409722222</v>
      </c>
      <c r="C95" s="1" t="n">
        <v>46186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36334-2021</t>
        </is>
      </c>
      <c r="B96" s="1" t="n">
        <v>44390.49347222222</v>
      </c>
      <c r="C96" s="1" t="n">
        <v>46186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4643-2022</t>
        </is>
      </c>
      <c r="B97" s="1" t="n">
        <v>44592</v>
      </c>
      <c r="C97" s="1" t="n">
        <v>46186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39736-2022</t>
        </is>
      </c>
      <c r="B98" s="1" t="n">
        <v>44819.35295138889</v>
      </c>
      <c r="C98" s="1" t="n">
        <v>46186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29415-2022</t>
        </is>
      </c>
      <c r="B99" s="1" t="n">
        <v>44750</v>
      </c>
      <c r="C99" s="1" t="n">
        <v>46186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41605-2022</t>
        </is>
      </c>
      <c r="B100" s="1" t="n">
        <v>44825</v>
      </c>
      <c r="C100" s="1" t="n">
        <v>46186</v>
      </c>
      <c r="D100" t="inlineStr">
        <is>
          <t>JÖNKÖPINGS LÄN</t>
        </is>
      </c>
      <c r="E100" t="inlineStr">
        <is>
          <t>VETLANDA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40176-2021</t>
        </is>
      </c>
      <c r="B101" s="1" t="n">
        <v>44418.68799768519</v>
      </c>
      <c r="C101" s="1" t="n">
        <v>46186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54260-2021</t>
        </is>
      </c>
      <c r="B102" s="1" t="n">
        <v>44469</v>
      </c>
      <c r="C102" s="1" t="n">
        <v>46186</v>
      </c>
      <c r="D102" t="inlineStr">
        <is>
          <t>JÖNKÖPINGS LÄN</t>
        </is>
      </c>
      <c r="E102" t="inlineStr">
        <is>
          <t>VETLANDA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41632-2021</t>
        </is>
      </c>
      <c r="B103" s="1" t="n">
        <v>44424</v>
      </c>
      <c r="C103" s="1" t="n">
        <v>46186</v>
      </c>
      <c r="D103" t="inlineStr">
        <is>
          <t>JÖNKÖPINGS LÄN</t>
        </is>
      </c>
      <c r="E103" t="inlineStr">
        <is>
          <t>VETLANDA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51298-2021</t>
        </is>
      </c>
      <c r="B104" s="1" t="n">
        <v>44460</v>
      </c>
      <c r="C104" s="1" t="n">
        <v>46186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58347-2021</t>
        </is>
      </c>
      <c r="B105" s="1" t="n">
        <v>44488.42238425926</v>
      </c>
      <c r="C105" s="1" t="n">
        <v>46186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6811-2022</t>
        </is>
      </c>
      <c r="B106" s="1" t="n">
        <v>44602</v>
      </c>
      <c r="C106" s="1" t="n">
        <v>46186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34364-2021</t>
        </is>
      </c>
      <c r="B107" s="1" t="n">
        <v>44379.73503472222</v>
      </c>
      <c r="C107" s="1" t="n">
        <v>46186</v>
      </c>
      <c r="D107" t="inlineStr">
        <is>
          <t>JÖNKÖPINGS LÄN</t>
        </is>
      </c>
      <c r="E107" t="inlineStr">
        <is>
          <t>VETLANDA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12438-2022</t>
        </is>
      </c>
      <c r="B108" s="1" t="n">
        <v>44638</v>
      </c>
      <c r="C108" s="1" t="n">
        <v>46186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23519-2022</t>
        </is>
      </c>
      <c r="B109" s="1" t="n">
        <v>44721</v>
      </c>
      <c r="C109" s="1" t="n">
        <v>46186</v>
      </c>
      <c r="D109" t="inlineStr">
        <is>
          <t>JÖNKÖPINGS LÄN</t>
        </is>
      </c>
      <c r="E109" t="inlineStr">
        <is>
          <t>VETLANDA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64242-2021</t>
        </is>
      </c>
      <c r="B110" s="1" t="n">
        <v>44510</v>
      </c>
      <c r="C110" s="1" t="n">
        <v>46186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33021-2022</t>
        </is>
      </c>
      <c r="B111" s="1" t="n">
        <v>44785.33260416667</v>
      </c>
      <c r="C111" s="1" t="n">
        <v>46186</v>
      </c>
      <c r="D111" t="inlineStr">
        <is>
          <t>JÖNKÖPINGS LÄN</t>
        </is>
      </c>
      <c r="E111" t="inlineStr">
        <is>
          <t>VETLANDA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4641-2022</t>
        </is>
      </c>
      <c r="B112" s="1" t="n">
        <v>44592.42363425926</v>
      </c>
      <c r="C112" s="1" t="n">
        <v>46186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3828-2022</t>
        </is>
      </c>
      <c r="B113" s="1" t="n">
        <v>44587</v>
      </c>
      <c r="C113" s="1" t="n">
        <v>46186</v>
      </c>
      <c r="D113" t="inlineStr">
        <is>
          <t>JÖNKÖPINGS LÄN</t>
        </is>
      </c>
      <c r="E113" t="inlineStr">
        <is>
          <t>VETLANDA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35458-2021</t>
        </is>
      </c>
      <c r="B114" s="1" t="n">
        <v>44385.55563657408</v>
      </c>
      <c r="C114" s="1" t="n">
        <v>46186</v>
      </c>
      <c r="D114" t="inlineStr">
        <is>
          <t>JÖNKÖPINGS LÄN</t>
        </is>
      </c>
      <c r="E114" t="inlineStr">
        <is>
          <t>VETLANDA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32398-2022</t>
        </is>
      </c>
      <c r="B115" s="1" t="n">
        <v>44782</v>
      </c>
      <c r="C115" s="1" t="n">
        <v>46186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38723-2022</t>
        </is>
      </c>
      <c r="B116" s="1" t="n">
        <v>44815.8621875</v>
      </c>
      <c r="C116" s="1" t="n">
        <v>46186</v>
      </c>
      <c r="D116" t="inlineStr">
        <is>
          <t>JÖNKÖPINGS LÄN</t>
        </is>
      </c>
      <c r="E116" t="inlineStr">
        <is>
          <t>VETLANDA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43419-2021</t>
        </is>
      </c>
      <c r="B117" s="1" t="n">
        <v>44432</v>
      </c>
      <c r="C117" s="1" t="n">
        <v>46186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44433-2021</t>
        </is>
      </c>
      <c r="B118" s="1" t="n">
        <v>44435</v>
      </c>
      <c r="C118" s="1" t="n">
        <v>46186</v>
      </c>
      <c r="D118" t="inlineStr">
        <is>
          <t>JÖNKÖPINGS LÄN</t>
        </is>
      </c>
      <c r="E118" t="inlineStr">
        <is>
          <t>VETLANDA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32814-2021</t>
        </is>
      </c>
      <c r="B119" s="1" t="n">
        <v>44375.609375</v>
      </c>
      <c r="C119" s="1" t="n">
        <v>46186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48998-2021</t>
        </is>
      </c>
      <c r="B120" s="1" t="n">
        <v>44453.44710648148</v>
      </c>
      <c r="C120" s="1" t="n">
        <v>46186</v>
      </c>
      <c r="D120" t="inlineStr">
        <is>
          <t>JÖNKÖPINGS LÄN</t>
        </is>
      </c>
      <c r="E120" t="inlineStr">
        <is>
          <t>VETLANDA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62724-2021</t>
        </is>
      </c>
      <c r="B121" s="1" t="n">
        <v>44504</v>
      </c>
      <c r="C121" s="1" t="n">
        <v>46186</v>
      </c>
      <c r="D121" t="inlineStr">
        <is>
          <t>JÖNKÖPINGS LÄN</t>
        </is>
      </c>
      <c r="E121" t="inlineStr">
        <is>
          <t>VETLANDA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2646-2022</t>
        </is>
      </c>
      <c r="B122" s="1" t="n">
        <v>44580</v>
      </c>
      <c r="C122" s="1" t="n">
        <v>46186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19024-2022</t>
        </is>
      </c>
      <c r="B123" s="1" t="n">
        <v>44691.34113425926</v>
      </c>
      <c r="C123" s="1" t="n">
        <v>46186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53757-2022</t>
        </is>
      </c>
      <c r="B124" s="1" t="n">
        <v>44880</v>
      </c>
      <c r="C124" s="1" t="n">
        <v>46186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42964-2021</t>
        </is>
      </c>
      <c r="B125" s="1" t="n">
        <v>44431.41829861111</v>
      </c>
      <c r="C125" s="1" t="n">
        <v>46186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50801-2021</t>
        </is>
      </c>
      <c r="B126" s="1" t="n">
        <v>44460.47375</v>
      </c>
      <c r="C126" s="1" t="n">
        <v>46186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31529-2021</t>
        </is>
      </c>
      <c r="B127" s="1" t="n">
        <v>44369</v>
      </c>
      <c r="C127" s="1" t="n">
        <v>46186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30790-2022</t>
        </is>
      </c>
      <c r="B128" s="1" t="n">
        <v>44764.63974537037</v>
      </c>
      <c r="C128" s="1" t="n">
        <v>46186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44428-2021</t>
        </is>
      </c>
      <c r="B129" s="1" t="n">
        <v>44435</v>
      </c>
      <c r="C129" s="1" t="n">
        <v>46186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49014-2021</t>
        </is>
      </c>
      <c r="B130" s="1" t="n">
        <v>44453.48915509259</v>
      </c>
      <c r="C130" s="1" t="n">
        <v>46186</v>
      </c>
      <c r="D130" t="inlineStr">
        <is>
          <t>JÖNKÖPINGS LÄN</t>
        </is>
      </c>
      <c r="E130" t="inlineStr">
        <is>
          <t>VETLANDA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44115-2021</t>
        </is>
      </c>
      <c r="B131" s="1" t="n">
        <v>44434.61055555556</v>
      </c>
      <c r="C131" s="1" t="n">
        <v>46186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72408-2021</t>
        </is>
      </c>
      <c r="B132" s="1" t="n">
        <v>44545.61800925926</v>
      </c>
      <c r="C132" s="1" t="n">
        <v>46186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52161-2021</t>
        </is>
      </c>
      <c r="B133" s="1" t="n">
        <v>44462</v>
      </c>
      <c r="C133" s="1" t="n">
        <v>46186</v>
      </c>
      <c r="D133" t="inlineStr">
        <is>
          <t>JÖNKÖPINGS LÄN</t>
        </is>
      </c>
      <c r="E133" t="inlineStr">
        <is>
          <t>VETLANDA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10638-2022</t>
        </is>
      </c>
      <c r="B134" s="1" t="n">
        <v>44624</v>
      </c>
      <c r="C134" s="1" t="n">
        <v>46186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29280-2022</t>
        </is>
      </c>
      <c r="B135" s="1" t="n">
        <v>44750.81856481481</v>
      </c>
      <c r="C135" s="1" t="n">
        <v>46186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46898-2021</t>
        </is>
      </c>
      <c r="B136" s="1" t="n">
        <v>44446</v>
      </c>
      <c r="C136" s="1" t="n">
        <v>46186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65365-2021</t>
        </is>
      </c>
      <c r="B137" s="1" t="n">
        <v>44515</v>
      </c>
      <c r="C137" s="1" t="n">
        <v>46186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55950-2021</t>
        </is>
      </c>
      <c r="B138" s="1" t="n">
        <v>44477.3272337963</v>
      </c>
      <c r="C138" s="1" t="n">
        <v>46186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5493-2022</t>
        </is>
      </c>
      <c r="B139" s="1" t="n">
        <v>44595.53233796296</v>
      </c>
      <c r="C139" s="1" t="n">
        <v>46186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36692-2021</t>
        </is>
      </c>
      <c r="B140" s="1" t="n">
        <v>44392</v>
      </c>
      <c r="C140" s="1" t="n">
        <v>46186</v>
      </c>
      <c r="D140" t="inlineStr">
        <is>
          <t>JÖNKÖPINGS LÄN</t>
        </is>
      </c>
      <c r="E140" t="inlineStr">
        <is>
          <t>VETLANDA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32859-2021</t>
        </is>
      </c>
      <c r="B141" s="1" t="n">
        <v>44375.66003472222</v>
      </c>
      <c r="C141" s="1" t="n">
        <v>46186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35473-2021</t>
        </is>
      </c>
      <c r="B142" s="1" t="n">
        <v>44384</v>
      </c>
      <c r="C142" s="1" t="n">
        <v>46186</v>
      </c>
      <c r="D142" t="inlineStr">
        <is>
          <t>JÖNKÖPINGS LÄN</t>
        </is>
      </c>
      <c r="E142" t="inlineStr">
        <is>
          <t>VETLANDA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7744-2022</t>
        </is>
      </c>
      <c r="B143" s="1" t="n">
        <v>44608</v>
      </c>
      <c r="C143" s="1" t="n">
        <v>46186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40178-2022</t>
        </is>
      </c>
      <c r="B144" s="1" t="n">
        <v>44820.5830787037</v>
      </c>
      <c r="C144" s="1" t="n">
        <v>46186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38916-2022</t>
        </is>
      </c>
      <c r="B145" s="1" t="n">
        <v>44816</v>
      </c>
      <c r="C145" s="1" t="n">
        <v>46186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49228-2021</t>
        </is>
      </c>
      <c r="B146" s="1" t="n">
        <v>44454.38134259259</v>
      </c>
      <c r="C146" s="1" t="n">
        <v>46186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51304-2021</t>
        </is>
      </c>
      <c r="B147" s="1" t="n">
        <v>44460</v>
      </c>
      <c r="C147" s="1" t="n">
        <v>46186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51085-2021</t>
        </is>
      </c>
      <c r="B148" s="1" t="n">
        <v>44461.37037037037</v>
      </c>
      <c r="C148" s="1" t="n">
        <v>46186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13378-2022</t>
        </is>
      </c>
      <c r="B149" s="1" t="n">
        <v>44645</v>
      </c>
      <c r="C149" s="1" t="n">
        <v>46186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39741-2022</t>
        </is>
      </c>
      <c r="B150" s="1" t="n">
        <v>44819.35944444445</v>
      </c>
      <c r="C150" s="1" t="n">
        <v>46186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14785-2022</t>
        </is>
      </c>
      <c r="B151" s="1" t="n">
        <v>44656.46634259259</v>
      </c>
      <c r="C151" s="1" t="n">
        <v>46186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32882-2022</t>
        </is>
      </c>
      <c r="B152" s="1" t="n">
        <v>44784.54667824074</v>
      </c>
      <c r="C152" s="1" t="n">
        <v>46186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25771-2022</t>
        </is>
      </c>
      <c r="B153" s="1" t="n">
        <v>44721</v>
      </c>
      <c r="C153" s="1" t="n">
        <v>46186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3507-2022</t>
        </is>
      </c>
      <c r="B154" s="1" t="n">
        <v>44585</v>
      </c>
      <c r="C154" s="1" t="n">
        <v>46186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3504-2022</t>
        </is>
      </c>
      <c r="B155" s="1" t="n">
        <v>44585</v>
      </c>
      <c r="C155" s="1" t="n">
        <v>46186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3506-2022</t>
        </is>
      </c>
      <c r="B156" s="1" t="n">
        <v>44585</v>
      </c>
      <c r="C156" s="1" t="n">
        <v>46186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8452-2022</t>
        </is>
      </c>
      <c r="B157" s="1" t="n">
        <v>44612</v>
      </c>
      <c r="C157" s="1" t="n">
        <v>46186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HYPERLINK("https://klasma.github.io/Logging_0685/knärot/A 8452-2022 karta knärot.png", "A 8452-2022")</f>
        <v/>
      </c>
      <c r="V157">
        <f>HYPERLINK("https://klasma.github.io/Logging_0685/klagomål/A 8452-2022 FSC-klagomål.docx", "A 8452-2022")</f>
        <v/>
      </c>
      <c r="W157">
        <f>HYPERLINK("https://klasma.github.io/Logging_0685/klagomålsmail/A 8452-2022 FSC-klagomål mail.docx", "A 8452-2022")</f>
        <v/>
      </c>
      <c r="X157">
        <f>HYPERLINK("https://klasma.github.io/Logging_0685/tillsyn/A 8452-2022 tillsynsbegäran.docx", "A 8452-2022")</f>
        <v/>
      </c>
      <c r="Y157">
        <f>HYPERLINK("https://klasma.github.io/Logging_0685/tillsynsmail/A 8452-2022 tillsynsbegäran mail.docx", "A 8452-2022")</f>
        <v/>
      </c>
    </row>
    <row r="158" ht="15" customHeight="1">
      <c r="A158" t="inlineStr">
        <is>
          <t>A 43199-2022</t>
        </is>
      </c>
      <c r="B158" s="1" t="n">
        <v>44834.35900462963</v>
      </c>
      <c r="C158" s="1" t="n">
        <v>46186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26905-2022</t>
        </is>
      </c>
      <c r="B159" s="1" t="n">
        <v>44740</v>
      </c>
      <c r="C159" s="1" t="n">
        <v>46186</v>
      </c>
      <c r="D159" t="inlineStr">
        <is>
          <t>JÖNKÖPINGS LÄN</t>
        </is>
      </c>
      <c r="E159" t="inlineStr">
        <is>
          <t>VETLANDA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29178-2022</t>
        </is>
      </c>
      <c r="B160" s="1" t="n">
        <v>44750</v>
      </c>
      <c r="C160" s="1" t="n">
        <v>46186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45498-2021</t>
        </is>
      </c>
      <c r="B161" s="1" t="n">
        <v>44440</v>
      </c>
      <c r="C161" s="1" t="n">
        <v>46186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4370-2022</t>
        </is>
      </c>
      <c r="B162" s="1" t="n">
        <v>44587</v>
      </c>
      <c r="C162" s="1" t="n">
        <v>46186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54004-2021</t>
        </is>
      </c>
      <c r="B163" s="1" t="n">
        <v>44470.34335648148</v>
      </c>
      <c r="C163" s="1" t="n">
        <v>46186</v>
      </c>
      <c r="D163" t="inlineStr">
        <is>
          <t>JÖNKÖPINGS LÄN</t>
        </is>
      </c>
      <c r="E163" t="inlineStr">
        <is>
          <t>VETLANDA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41569-2021</t>
        </is>
      </c>
      <c r="B164" s="1" t="n">
        <v>44424</v>
      </c>
      <c r="C164" s="1" t="n">
        <v>46186</v>
      </c>
      <c r="D164" t="inlineStr">
        <is>
          <t>JÖNKÖPINGS LÄN</t>
        </is>
      </c>
      <c r="E164" t="inlineStr">
        <is>
          <t>VETLANDA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27792-2022</t>
        </is>
      </c>
      <c r="B165" s="1" t="n">
        <v>44743</v>
      </c>
      <c r="C165" s="1" t="n">
        <v>46186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95-2022</t>
        </is>
      </c>
      <c r="B166" s="1" t="n">
        <v>44564</v>
      </c>
      <c r="C166" s="1" t="n">
        <v>46186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55031-2021</t>
        </is>
      </c>
      <c r="B167" s="1" t="n">
        <v>44474</v>
      </c>
      <c r="C167" s="1" t="n">
        <v>46186</v>
      </c>
      <c r="D167" t="inlineStr">
        <is>
          <t>JÖNKÖPINGS LÄN</t>
        </is>
      </c>
      <c r="E167" t="inlineStr">
        <is>
          <t>VETLANDA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37205-2021</t>
        </is>
      </c>
      <c r="B168" s="1" t="n">
        <v>44396.6427662037</v>
      </c>
      <c r="C168" s="1" t="n">
        <v>46186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36679-2021</t>
        </is>
      </c>
      <c r="B169" s="1" t="n">
        <v>44392</v>
      </c>
      <c r="C169" s="1" t="n">
        <v>46186</v>
      </c>
      <c r="D169" t="inlineStr">
        <is>
          <t>JÖNKÖPINGS LÄN</t>
        </is>
      </c>
      <c r="E169" t="inlineStr">
        <is>
          <t>VETLANDA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6191-2022</t>
        </is>
      </c>
      <c r="B170" s="1" t="n">
        <v>44600.34350694445</v>
      </c>
      <c r="C170" s="1" t="n">
        <v>46186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48694-2022</t>
        </is>
      </c>
      <c r="B171" s="1" t="n">
        <v>44859</v>
      </c>
      <c r="C171" s="1" t="n">
        <v>46186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5103-2022</t>
        </is>
      </c>
      <c r="B172" s="1" t="n">
        <v>44593.88670138889</v>
      </c>
      <c r="C172" s="1" t="n">
        <v>46186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29763-2021</t>
        </is>
      </c>
      <c r="B173" s="1" t="n">
        <v>44362.50704861111</v>
      </c>
      <c r="C173" s="1" t="n">
        <v>46186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30836-2022</t>
        </is>
      </c>
      <c r="B174" s="1" t="n">
        <v>44743</v>
      </c>
      <c r="C174" s="1" t="n">
        <v>46186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29428-2022</t>
        </is>
      </c>
      <c r="B175" s="1" t="n">
        <v>44752</v>
      </c>
      <c r="C175" s="1" t="n">
        <v>46186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32007-2022</t>
        </is>
      </c>
      <c r="B176" s="1" t="n">
        <v>44778.37704861111</v>
      </c>
      <c r="C176" s="1" t="n">
        <v>46186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62682-2021</t>
        </is>
      </c>
      <c r="B177" s="1" t="n">
        <v>44504.29353009259</v>
      </c>
      <c r="C177" s="1" t="n">
        <v>46186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55957-2021</t>
        </is>
      </c>
      <c r="B178" s="1" t="n">
        <v>44477.338125</v>
      </c>
      <c r="C178" s="1" t="n">
        <v>46186</v>
      </c>
      <c r="D178" t="inlineStr">
        <is>
          <t>JÖNKÖPINGS LÄN</t>
        </is>
      </c>
      <c r="E178" t="inlineStr">
        <is>
          <t>VETLANDA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56952-2021</t>
        </is>
      </c>
      <c r="B179" s="1" t="n">
        <v>44482</v>
      </c>
      <c r="C179" s="1" t="n">
        <v>46186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63879-2021</t>
        </is>
      </c>
      <c r="B180" s="1" t="n">
        <v>44509.63892361111</v>
      </c>
      <c r="C180" s="1" t="n">
        <v>46186</v>
      </c>
      <c r="D180" t="inlineStr">
        <is>
          <t>JÖNKÖPINGS LÄN</t>
        </is>
      </c>
      <c r="E180" t="inlineStr">
        <is>
          <t>VETLANDA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4820-2022</t>
        </is>
      </c>
      <c r="B181" s="1" t="n">
        <v>44592.71334490741</v>
      </c>
      <c r="C181" s="1" t="n">
        <v>46186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65868-2021</t>
        </is>
      </c>
      <c r="B182" s="1" t="n">
        <v>44517</v>
      </c>
      <c r="C182" s="1" t="n">
        <v>46186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23477-2022</t>
        </is>
      </c>
      <c r="B183" s="1" t="n">
        <v>44721.33517361111</v>
      </c>
      <c r="C183" s="1" t="n">
        <v>46186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1267-2022</t>
        </is>
      </c>
      <c r="B184" s="1" t="n">
        <v>44572.64497685185</v>
      </c>
      <c r="C184" s="1" t="n">
        <v>46186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44790-2022</t>
        </is>
      </c>
      <c r="B185" s="1" t="n">
        <v>44841.35984953704</v>
      </c>
      <c r="C185" s="1" t="n">
        <v>46186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55595-2022</t>
        </is>
      </c>
      <c r="B186" s="1" t="n">
        <v>44888.42260416667</v>
      </c>
      <c r="C186" s="1" t="n">
        <v>46186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31118-2021</t>
        </is>
      </c>
      <c r="B187" s="1" t="n">
        <v>44368.54241898148</v>
      </c>
      <c r="C187" s="1" t="n">
        <v>46186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30370-2021</t>
        </is>
      </c>
      <c r="B188" s="1" t="n">
        <v>44364.465</v>
      </c>
      <c r="C188" s="1" t="n">
        <v>46186</v>
      </c>
      <c r="D188" t="inlineStr">
        <is>
          <t>JÖNKÖPINGS LÄN</t>
        </is>
      </c>
      <c r="E188" t="inlineStr">
        <is>
          <t>VETLANDA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32826-2021</t>
        </is>
      </c>
      <c r="B189" s="1" t="n">
        <v>44375.6222337963</v>
      </c>
      <c r="C189" s="1" t="n">
        <v>46186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3836-2022</t>
        </is>
      </c>
      <c r="B190" s="1" t="n">
        <v>44587.36517361111</v>
      </c>
      <c r="C190" s="1" t="n">
        <v>46186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14511-2022</t>
        </is>
      </c>
      <c r="B191" s="1" t="n">
        <v>44655.39390046296</v>
      </c>
      <c r="C191" s="1" t="n">
        <v>46186</v>
      </c>
      <c r="D191" t="inlineStr">
        <is>
          <t>JÖNKÖPINGS LÄN</t>
        </is>
      </c>
      <c r="E191" t="inlineStr">
        <is>
          <t>VETLANDA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51340-2021</t>
        </is>
      </c>
      <c r="B192" s="1" t="n">
        <v>44461</v>
      </c>
      <c r="C192" s="1" t="n">
        <v>46186</v>
      </c>
      <c r="D192" t="inlineStr">
        <is>
          <t>JÖNKÖPINGS LÄN</t>
        </is>
      </c>
      <c r="E192" t="inlineStr">
        <is>
          <t>VETLANDA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49318-2021</t>
        </is>
      </c>
      <c r="B193" s="1" t="n">
        <v>44454</v>
      </c>
      <c r="C193" s="1" t="n">
        <v>46186</v>
      </c>
      <c r="D193" t="inlineStr">
        <is>
          <t>JÖNKÖPINGS LÄN</t>
        </is>
      </c>
      <c r="E193" t="inlineStr">
        <is>
          <t>VETLANDA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43404-2022</t>
        </is>
      </c>
      <c r="B194" s="1" t="n">
        <v>44834.76903935185</v>
      </c>
      <c r="C194" s="1" t="n">
        <v>46186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50676-2021</t>
        </is>
      </c>
      <c r="B195" s="1" t="n">
        <v>44459</v>
      </c>
      <c r="C195" s="1" t="n">
        <v>46186</v>
      </c>
      <c r="D195" t="inlineStr">
        <is>
          <t>JÖNKÖPINGS LÄN</t>
        </is>
      </c>
      <c r="E195" t="inlineStr">
        <is>
          <t>VETLANDA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61894-2021</t>
        </is>
      </c>
      <c r="B196" s="1" t="n">
        <v>44502.32267361111</v>
      </c>
      <c r="C196" s="1" t="n">
        <v>46186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65267-2021</t>
        </is>
      </c>
      <c r="B197" s="1" t="n">
        <v>44515</v>
      </c>
      <c r="C197" s="1" t="n">
        <v>46186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4842-2022</t>
        </is>
      </c>
      <c r="B198" s="1" t="n">
        <v>44592</v>
      </c>
      <c r="C198" s="1" t="n">
        <v>46186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52056-2021</t>
        </is>
      </c>
      <c r="B199" s="1" t="n">
        <v>44462</v>
      </c>
      <c r="C199" s="1" t="n">
        <v>46186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98-2022</t>
        </is>
      </c>
      <c r="B200" s="1" t="n">
        <v>44564.49002314815</v>
      </c>
      <c r="C200" s="1" t="n">
        <v>46186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37468-2021</t>
        </is>
      </c>
      <c r="B201" s="1" t="n">
        <v>44398.715</v>
      </c>
      <c r="C201" s="1" t="n">
        <v>46186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32369-2022</t>
        </is>
      </c>
      <c r="B202" s="1" t="n">
        <v>44781</v>
      </c>
      <c r="C202" s="1" t="n">
        <v>46186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69471-2021</t>
        </is>
      </c>
      <c r="B203" s="1" t="n">
        <v>44531</v>
      </c>
      <c r="C203" s="1" t="n">
        <v>46186</v>
      </c>
      <c r="D203" t="inlineStr">
        <is>
          <t>JÖNKÖPINGS LÄN</t>
        </is>
      </c>
      <c r="E203" t="inlineStr">
        <is>
          <t>VETLANDA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30772-2021</t>
        </is>
      </c>
      <c r="B204" s="1" t="n">
        <v>44365</v>
      </c>
      <c r="C204" s="1" t="n">
        <v>46186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4672-2022</t>
        </is>
      </c>
      <c r="B205" s="1" t="n">
        <v>44592</v>
      </c>
      <c r="C205" s="1" t="n">
        <v>46186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12032-2022</t>
        </is>
      </c>
      <c r="B206" s="1" t="n">
        <v>44636.34431712963</v>
      </c>
      <c r="C206" s="1" t="n">
        <v>46186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43195-2022</t>
        </is>
      </c>
      <c r="B207" s="1" t="n">
        <v>44834</v>
      </c>
      <c r="C207" s="1" t="n">
        <v>46186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25786-2022</t>
        </is>
      </c>
      <c r="B208" s="1" t="n">
        <v>44733</v>
      </c>
      <c r="C208" s="1" t="n">
        <v>46186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17855-2022</t>
        </is>
      </c>
      <c r="B209" s="1" t="n">
        <v>44683</v>
      </c>
      <c r="C209" s="1" t="n">
        <v>46186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52278-2021</t>
        </is>
      </c>
      <c r="B210" s="1" t="n">
        <v>44463</v>
      </c>
      <c r="C210" s="1" t="n">
        <v>46186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6884-2022</t>
        </is>
      </c>
      <c r="B211" s="1" t="n">
        <v>44602</v>
      </c>
      <c r="C211" s="1" t="n">
        <v>46186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34395-2022</t>
        </is>
      </c>
      <c r="B212" s="1" t="n">
        <v>44792.50780092592</v>
      </c>
      <c r="C212" s="1" t="n">
        <v>46186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41667-2022</t>
        </is>
      </c>
      <c r="B213" s="1" t="n">
        <v>44827</v>
      </c>
      <c r="C213" s="1" t="n">
        <v>46186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14990-2022</t>
        </is>
      </c>
      <c r="B214" s="1" t="n">
        <v>44657</v>
      </c>
      <c r="C214" s="1" t="n">
        <v>46186</v>
      </c>
      <c r="D214" t="inlineStr">
        <is>
          <t>JÖNKÖPINGS LÄN</t>
        </is>
      </c>
      <c r="E214" t="inlineStr">
        <is>
          <t>VETLANDA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58542-2022</t>
        </is>
      </c>
      <c r="B215" s="1" t="n">
        <v>44902.45950231481</v>
      </c>
      <c r="C215" s="1" t="n">
        <v>46186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58511-2021</t>
        </is>
      </c>
      <c r="B216" s="1" t="n">
        <v>44488</v>
      </c>
      <c r="C216" s="1" t="n">
        <v>46186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49575-2024</t>
        </is>
      </c>
      <c r="B217" s="1" t="n">
        <v>45596.51546296296</v>
      </c>
      <c r="C217" s="1" t="n">
        <v>46186</v>
      </c>
      <c r="D217" t="inlineStr">
        <is>
          <t>JÖNKÖPINGS LÄN</t>
        </is>
      </c>
      <c r="E217" t="inlineStr">
        <is>
          <t>VETLANDA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55944-2021</t>
        </is>
      </c>
      <c r="B218" s="1" t="n">
        <v>44477.29997685185</v>
      </c>
      <c r="C218" s="1" t="n">
        <v>46186</v>
      </c>
      <c r="D218" t="inlineStr">
        <is>
          <t>JÖNKÖPINGS LÄN</t>
        </is>
      </c>
      <c r="E218" t="inlineStr">
        <is>
          <t>VETLANDA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8207-2024</t>
        </is>
      </c>
      <c r="B219" s="1" t="n">
        <v>45351.72865740741</v>
      </c>
      <c r="C219" s="1" t="n">
        <v>46186</v>
      </c>
      <c r="D219" t="inlineStr">
        <is>
          <t>JÖNKÖPINGS LÄN</t>
        </is>
      </c>
      <c r="E219" t="inlineStr">
        <is>
          <t>VETLANDA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50878-2024</t>
        </is>
      </c>
      <c r="B220" s="1" t="n">
        <v>45602</v>
      </c>
      <c r="C220" s="1" t="n">
        <v>46186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44994-2024</t>
        </is>
      </c>
      <c r="B221" s="1" t="n">
        <v>45575.48229166667</v>
      </c>
      <c r="C221" s="1" t="n">
        <v>46186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41877-2024</t>
        </is>
      </c>
      <c r="B222" s="1" t="n">
        <v>45561</v>
      </c>
      <c r="C222" s="1" t="n">
        <v>46186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58572-2023</t>
        </is>
      </c>
      <c r="B223" s="1" t="n">
        <v>45251.44596064815</v>
      </c>
      <c r="C223" s="1" t="n">
        <v>46186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6896-2023</t>
        </is>
      </c>
      <c r="B224" s="1" t="n">
        <v>44967.50171296296</v>
      </c>
      <c r="C224" s="1" t="n">
        <v>46186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6897-2023</t>
        </is>
      </c>
      <c r="B225" s="1" t="n">
        <v>44967.50269675926</v>
      </c>
      <c r="C225" s="1" t="n">
        <v>46186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20420-2025</t>
        </is>
      </c>
      <c r="B226" s="1" t="n">
        <v>45775.46554398148</v>
      </c>
      <c r="C226" s="1" t="n">
        <v>46186</v>
      </c>
      <c r="D226" t="inlineStr">
        <is>
          <t>JÖNKÖPINGS LÄN</t>
        </is>
      </c>
      <c r="E226" t="inlineStr">
        <is>
          <t>VETLANDA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34394-2022</t>
        </is>
      </c>
      <c r="B227" s="1" t="n">
        <v>44792.50753472222</v>
      </c>
      <c r="C227" s="1" t="n">
        <v>46186</v>
      </c>
      <c r="D227" t="inlineStr">
        <is>
          <t>JÖNKÖPINGS LÄN</t>
        </is>
      </c>
      <c r="E227" t="inlineStr">
        <is>
          <t>VETLANDA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4706-2022</t>
        </is>
      </c>
      <c r="B228" s="1" t="n">
        <v>44592.50039351852</v>
      </c>
      <c r="C228" s="1" t="n">
        <v>46186</v>
      </c>
      <c r="D228" t="inlineStr">
        <is>
          <t>JÖNKÖPINGS LÄN</t>
        </is>
      </c>
      <c r="E228" t="inlineStr">
        <is>
          <t>VETLANDA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49945-2024</t>
        </is>
      </c>
      <c r="B229" s="1" t="n">
        <v>45597.60236111111</v>
      </c>
      <c r="C229" s="1" t="n">
        <v>46186</v>
      </c>
      <c r="D229" t="inlineStr">
        <is>
          <t>JÖNKÖPINGS LÄN</t>
        </is>
      </c>
      <c r="E229" t="inlineStr">
        <is>
          <t>VETLANDA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62056-2023</t>
        </is>
      </c>
      <c r="B230" s="1" t="n">
        <v>45265</v>
      </c>
      <c r="C230" s="1" t="n">
        <v>46186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62234-2023</t>
        </is>
      </c>
      <c r="B231" s="1" t="n">
        <v>45267.5896412037</v>
      </c>
      <c r="C231" s="1" t="n">
        <v>46186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53796-2022</t>
        </is>
      </c>
      <c r="B232" s="1" t="n">
        <v>44880.50373842593</v>
      </c>
      <c r="C232" s="1" t="n">
        <v>46186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43698-2024</t>
        </is>
      </c>
      <c r="B233" s="1" t="n">
        <v>45569</v>
      </c>
      <c r="C233" s="1" t="n">
        <v>46186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2465-2025</t>
        </is>
      </c>
      <c r="B234" s="1" t="n">
        <v>45674.46950231482</v>
      </c>
      <c r="C234" s="1" t="n">
        <v>46186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58768-2022</t>
        </is>
      </c>
      <c r="B235" s="1" t="n">
        <v>44903</v>
      </c>
      <c r="C235" s="1" t="n">
        <v>46186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45945-2024</t>
        </is>
      </c>
      <c r="B236" s="1" t="n">
        <v>45580.55204861111</v>
      </c>
      <c r="C236" s="1" t="n">
        <v>46186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12270-2023</t>
        </is>
      </c>
      <c r="B237" s="1" t="n">
        <v>44998.67371527778</v>
      </c>
      <c r="C237" s="1" t="n">
        <v>46186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63789-2023</t>
        </is>
      </c>
      <c r="B238" s="1" t="n">
        <v>45278</v>
      </c>
      <c r="C238" s="1" t="n">
        <v>46186</v>
      </c>
      <c r="D238" t="inlineStr">
        <is>
          <t>JÖNKÖPINGS LÄN</t>
        </is>
      </c>
      <c r="E238" t="inlineStr">
        <is>
          <t>VETLANDA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1363-2023</t>
        </is>
      </c>
      <c r="B239" s="1" t="n">
        <v>44936</v>
      </c>
      <c r="C239" s="1" t="n">
        <v>46186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41421-2023</t>
        </is>
      </c>
      <c r="B240" s="1" t="n">
        <v>45175.33553240741</v>
      </c>
      <c r="C240" s="1" t="n">
        <v>46186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61391-2023</t>
        </is>
      </c>
      <c r="B241" s="1" t="n">
        <v>45264.64685185185</v>
      </c>
      <c r="C241" s="1" t="n">
        <v>46186</v>
      </c>
      <c r="D241" t="inlineStr">
        <is>
          <t>JÖNKÖPINGS LÄN</t>
        </is>
      </c>
      <c r="E241" t="inlineStr">
        <is>
          <t>VETLANDA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62103-2021</t>
        </is>
      </c>
      <c r="B242" s="1" t="n">
        <v>44502.63461805556</v>
      </c>
      <c r="C242" s="1" t="n">
        <v>46186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7113-2025</t>
        </is>
      </c>
      <c r="B243" s="1" t="n">
        <v>45702</v>
      </c>
      <c r="C243" s="1" t="n">
        <v>46186</v>
      </c>
      <c r="D243" t="inlineStr">
        <is>
          <t>JÖNKÖPINGS LÄN</t>
        </is>
      </c>
      <c r="E243" t="inlineStr">
        <is>
          <t>VETLANDA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404-2025</t>
        </is>
      </c>
      <c r="B244" s="1" t="n">
        <v>45663.61690972222</v>
      </c>
      <c r="C244" s="1" t="n">
        <v>46186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48217-2023</t>
        </is>
      </c>
      <c r="B245" s="1" t="n">
        <v>45205</v>
      </c>
      <c r="C245" s="1" t="n">
        <v>46186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19844-2025</t>
        </is>
      </c>
      <c r="B246" s="1" t="n">
        <v>45771.48474537037</v>
      </c>
      <c r="C246" s="1" t="n">
        <v>46186</v>
      </c>
      <c r="D246" t="inlineStr">
        <is>
          <t>JÖNKÖPINGS LÄN</t>
        </is>
      </c>
      <c r="E246" t="inlineStr">
        <is>
          <t>VETLANDA</t>
        </is>
      </c>
      <c r="F246" t="inlineStr">
        <is>
          <t>Sveaskog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19845-2025</t>
        </is>
      </c>
      <c r="B247" s="1" t="n">
        <v>45771.48600694445</v>
      </c>
      <c r="C247" s="1" t="n">
        <v>46186</v>
      </c>
      <c r="D247" t="inlineStr">
        <is>
          <t>JÖNKÖPINGS LÄN</t>
        </is>
      </c>
      <c r="E247" t="inlineStr">
        <is>
          <t>VETLANDA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1953-2025</t>
        </is>
      </c>
      <c r="B248" s="1" t="n">
        <v>45672.34994212963</v>
      </c>
      <c r="C248" s="1" t="n">
        <v>46186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HYPERLINK("https://klasma.github.io/Logging_0685/knärot/A 1953-2025 karta knärot.png", "A 1953-2025")</f>
        <v/>
      </c>
      <c r="V248">
        <f>HYPERLINK("https://klasma.github.io/Logging_0685/klagomål/A 1953-2025 FSC-klagomål.docx", "A 1953-2025")</f>
        <v/>
      </c>
      <c r="W248">
        <f>HYPERLINK("https://klasma.github.io/Logging_0685/klagomålsmail/A 1953-2025 FSC-klagomål mail.docx", "A 1953-2025")</f>
        <v/>
      </c>
      <c r="X248">
        <f>HYPERLINK("https://klasma.github.io/Logging_0685/tillsyn/A 1953-2025 tillsynsbegäran.docx", "A 1953-2025")</f>
        <v/>
      </c>
      <c r="Y248">
        <f>HYPERLINK("https://klasma.github.io/Logging_0685/tillsynsmail/A 1953-2025 tillsynsbegäran mail.docx", "A 1953-2025")</f>
        <v/>
      </c>
    </row>
    <row r="249" ht="15" customHeight="1">
      <c r="A249" t="inlineStr">
        <is>
          <t>A 20537-2023</t>
        </is>
      </c>
      <c r="B249" s="1" t="n">
        <v>45057</v>
      </c>
      <c r="C249" s="1" t="n">
        <v>46186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47363-2025</t>
        </is>
      </c>
      <c r="B250" s="1" t="n">
        <v>45930</v>
      </c>
      <c r="C250" s="1" t="n">
        <v>46186</v>
      </c>
      <c r="D250" t="inlineStr">
        <is>
          <t>JÖNKÖPINGS LÄN</t>
        </is>
      </c>
      <c r="E250" t="inlineStr">
        <is>
          <t>VETLANDA</t>
        </is>
      </c>
      <c r="F250" t="inlineStr">
        <is>
          <t>Kyrkan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44351-2023</t>
        </is>
      </c>
      <c r="B251" s="1" t="n">
        <v>45188</v>
      </c>
      <c r="C251" s="1" t="n">
        <v>46186</v>
      </c>
      <c r="D251" t="inlineStr">
        <is>
          <t>JÖNKÖPINGS LÄN</t>
        </is>
      </c>
      <c r="E251" t="inlineStr">
        <is>
          <t>VETLANDA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60536-2023</t>
        </is>
      </c>
      <c r="B252" s="1" t="n">
        <v>45259.69310185185</v>
      </c>
      <c r="C252" s="1" t="n">
        <v>46186</v>
      </c>
      <c r="D252" t="inlineStr">
        <is>
          <t>JÖNKÖPINGS LÄN</t>
        </is>
      </c>
      <c r="E252" t="inlineStr">
        <is>
          <t>VETLANDA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48595-2025</t>
        </is>
      </c>
      <c r="B253" s="1" t="n">
        <v>45936.46378472223</v>
      </c>
      <c r="C253" s="1" t="n">
        <v>46186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48656-2025</t>
        </is>
      </c>
      <c r="B254" s="1" t="n">
        <v>45936.56549768519</v>
      </c>
      <c r="C254" s="1" t="n">
        <v>46186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36751-2021</t>
        </is>
      </c>
      <c r="B255" s="1" t="n">
        <v>44392.6381712963</v>
      </c>
      <c r="C255" s="1" t="n">
        <v>46186</v>
      </c>
      <c r="D255" t="inlineStr">
        <is>
          <t>JÖNKÖPINGS LÄN</t>
        </is>
      </c>
      <c r="E255" t="inlineStr">
        <is>
          <t>VETLANDA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3183-2022</t>
        </is>
      </c>
      <c r="B256" s="1" t="n">
        <v>44582.62581018519</v>
      </c>
      <c r="C256" s="1" t="n">
        <v>46186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43018-2021</t>
        </is>
      </c>
      <c r="B257" s="1" t="n">
        <v>44431.4768287037</v>
      </c>
      <c r="C257" s="1" t="n">
        <v>46186</v>
      </c>
      <c r="D257" t="inlineStr">
        <is>
          <t>JÖNKÖPINGS LÄN</t>
        </is>
      </c>
      <c r="E257" t="inlineStr">
        <is>
          <t>VETLANDA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42439-2022</t>
        </is>
      </c>
      <c r="B258" s="1" t="n">
        <v>44831.47726851852</v>
      </c>
      <c r="C258" s="1" t="n">
        <v>46186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26223-2023</t>
        </is>
      </c>
      <c r="B259" s="1" t="n">
        <v>45091.56835648148</v>
      </c>
      <c r="C259" s="1" t="n">
        <v>46186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33934-2023</t>
        </is>
      </c>
      <c r="B260" s="1" t="n">
        <v>45134</v>
      </c>
      <c r="C260" s="1" t="n">
        <v>46186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6594-2024</t>
        </is>
      </c>
      <c r="B261" s="1" t="n">
        <v>45341.54001157408</v>
      </c>
      <c r="C261" s="1" t="n">
        <v>46186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7623-2024</t>
        </is>
      </c>
      <c r="B262" s="1" t="n">
        <v>45348.6049537037</v>
      </c>
      <c r="C262" s="1" t="n">
        <v>46186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32581-2021</t>
        </is>
      </c>
      <c r="B263" s="1" t="n">
        <v>44371</v>
      </c>
      <c r="C263" s="1" t="n">
        <v>46186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32864-2025</t>
        </is>
      </c>
      <c r="B264" s="1" t="n">
        <v>45839.58662037037</v>
      </c>
      <c r="C264" s="1" t="n">
        <v>46186</v>
      </c>
      <c r="D264" t="inlineStr">
        <is>
          <t>JÖNKÖPINGS LÄN</t>
        </is>
      </c>
      <c r="E264" t="inlineStr">
        <is>
          <t>VETLANDA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20964-2024</t>
        </is>
      </c>
      <c r="B265" s="1" t="n">
        <v>45439.57853009259</v>
      </c>
      <c r="C265" s="1" t="n">
        <v>46186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47113-2023</t>
        </is>
      </c>
      <c r="B266" s="1" t="n">
        <v>45201.67354166666</v>
      </c>
      <c r="C266" s="1" t="n">
        <v>46186</v>
      </c>
      <c r="D266" t="inlineStr">
        <is>
          <t>JÖNKÖPINGS LÄN</t>
        </is>
      </c>
      <c r="E266" t="inlineStr">
        <is>
          <t>VETLANDA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1704-2024</t>
        </is>
      </c>
      <c r="B267" s="1" t="n">
        <v>45307.38616898148</v>
      </c>
      <c r="C267" s="1" t="n">
        <v>46186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50330-2025</t>
        </is>
      </c>
      <c r="B268" s="1" t="n">
        <v>45944.46826388889</v>
      </c>
      <c r="C268" s="1" t="n">
        <v>46186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22536-2023</t>
        </is>
      </c>
      <c r="B269" s="1" t="n">
        <v>45071.42814814814</v>
      </c>
      <c r="C269" s="1" t="n">
        <v>46186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32374-2022</t>
        </is>
      </c>
      <c r="B270" s="1" t="n">
        <v>44781</v>
      </c>
      <c r="C270" s="1" t="n">
        <v>46186</v>
      </c>
      <c r="D270" t="inlineStr">
        <is>
          <t>JÖNKÖPINGS LÄN</t>
        </is>
      </c>
      <c r="E270" t="inlineStr">
        <is>
          <t>VETLANDA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47372-2025</t>
        </is>
      </c>
      <c r="B271" s="1" t="n">
        <v>45930</v>
      </c>
      <c r="C271" s="1" t="n">
        <v>46186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32193-2025</t>
        </is>
      </c>
      <c r="B272" s="1" t="n">
        <v>45835.57190972222</v>
      </c>
      <c r="C272" s="1" t="n">
        <v>46186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38475-2025</t>
        </is>
      </c>
      <c r="B273" s="1" t="n">
        <v>45884.31612268519</v>
      </c>
      <c r="C273" s="1" t="n">
        <v>46186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21818-2025</t>
        </is>
      </c>
      <c r="B274" s="1" t="n">
        <v>45783.7384375</v>
      </c>
      <c r="C274" s="1" t="n">
        <v>46186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69203-2021</t>
        </is>
      </c>
      <c r="B275" s="1" t="n">
        <v>44530</v>
      </c>
      <c r="C275" s="1" t="n">
        <v>46186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7938-2024</t>
        </is>
      </c>
      <c r="B276" s="1" t="n">
        <v>45350.51460648148</v>
      </c>
      <c r="C276" s="1" t="n">
        <v>46186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50795-2025</t>
        </is>
      </c>
      <c r="B277" s="1" t="n">
        <v>45946.48068287037</v>
      </c>
      <c r="C277" s="1" t="n">
        <v>46186</v>
      </c>
      <c r="D277" t="inlineStr">
        <is>
          <t>JÖNKÖPINGS LÄN</t>
        </is>
      </c>
      <c r="E277" t="inlineStr">
        <is>
          <t>VETLANDA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21676-2025</t>
        </is>
      </c>
      <c r="B278" s="1" t="n">
        <v>45783.48454861111</v>
      </c>
      <c r="C278" s="1" t="n">
        <v>46186</v>
      </c>
      <c r="D278" t="inlineStr">
        <is>
          <t>JÖNKÖPINGS LÄN</t>
        </is>
      </c>
      <c r="E278" t="inlineStr">
        <is>
          <t>VETLANDA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34069-2023</t>
        </is>
      </c>
      <c r="B279" s="1" t="n">
        <v>45135.48232638889</v>
      </c>
      <c r="C279" s="1" t="n">
        <v>46186</v>
      </c>
      <c r="D279" t="inlineStr">
        <is>
          <t>JÖNKÖPINGS LÄN</t>
        </is>
      </c>
      <c r="E279" t="inlineStr">
        <is>
          <t>VETLANDA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47065-2022</t>
        </is>
      </c>
      <c r="B280" s="1" t="n">
        <v>44851</v>
      </c>
      <c r="C280" s="1" t="n">
        <v>46186</v>
      </c>
      <c r="D280" t="inlineStr">
        <is>
          <t>JÖNKÖPINGS LÄN</t>
        </is>
      </c>
      <c r="E280" t="inlineStr">
        <is>
          <t>VETLANDA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51365-2025</t>
        </is>
      </c>
      <c r="B281" s="1" t="n">
        <v>45950.44650462963</v>
      </c>
      <c r="C281" s="1" t="n">
        <v>46186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51851-2021</t>
        </is>
      </c>
      <c r="B282" s="1" t="n">
        <v>44462.69760416666</v>
      </c>
      <c r="C282" s="1" t="n">
        <v>46186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52327-2025</t>
        </is>
      </c>
      <c r="B283" s="1" t="n">
        <v>45953.67155092592</v>
      </c>
      <c r="C283" s="1" t="n">
        <v>46186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53209-2023</t>
        </is>
      </c>
      <c r="B284" s="1" t="n">
        <v>45229.46152777778</v>
      </c>
      <c r="C284" s="1" t="n">
        <v>46186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20193-2023</t>
        </is>
      </c>
      <c r="B285" s="1" t="n">
        <v>45055</v>
      </c>
      <c r="C285" s="1" t="n">
        <v>46186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6240-2022</t>
        </is>
      </c>
      <c r="B286" s="1" t="n">
        <v>44600</v>
      </c>
      <c r="C286" s="1" t="n">
        <v>46186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38603-2025</t>
        </is>
      </c>
      <c r="B287" s="1" t="n">
        <v>45884.50511574074</v>
      </c>
      <c r="C287" s="1" t="n">
        <v>46186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39013-2025</t>
        </is>
      </c>
      <c r="B288" s="1" t="n">
        <v>45888.35678240741</v>
      </c>
      <c r="C288" s="1" t="n">
        <v>46186</v>
      </c>
      <c r="D288" t="inlineStr">
        <is>
          <t>JÖNKÖPINGS LÄN</t>
        </is>
      </c>
      <c r="E288" t="inlineStr">
        <is>
          <t>VETLANDA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39017-2025</t>
        </is>
      </c>
      <c r="B289" s="1" t="n">
        <v>45888.36869212963</v>
      </c>
      <c r="C289" s="1" t="n">
        <v>46186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37645-2024</t>
        </is>
      </c>
      <c r="B290" s="1" t="n">
        <v>45541.54959490741</v>
      </c>
      <c r="C290" s="1" t="n">
        <v>46186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2810-2025</t>
        </is>
      </c>
      <c r="B291" s="1" t="n">
        <v>45677.5952662037</v>
      </c>
      <c r="C291" s="1" t="n">
        <v>46186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39340-2025</t>
        </is>
      </c>
      <c r="B292" s="1" t="n">
        <v>45889</v>
      </c>
      <c r="C292" s="1" t="n">
        <v>46186</v>
      </c>
      <c r="D292" t="inlineStr">
        <is>
          <t>JÖNKÖPINGS LÄN</t>
        </is>
      </c>
      <c r="E292" t="inlineStr">
        <is>
          <t>VETLANDA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22308-2025</t>
        </is>
      </c>
      <c r="B293" s="1" t="n">
        <v>45786.36444444444</v>
      </c>
      <c r="C293" s="1" t="n">
        <v>46186</v>
      </c>
      <c r="D293" t="inlineStr">
        <is>
          <t>JÖNKÖPINGS LÄN</t>
        </is>
      </c>
      <c r="E293" t="inlineStr">
        <is>
          <t>VETLANDA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21824-2022</t>
        </is>
      </c>
      <c r="B294" s="1" t="n">
        <v>44710.46695601852</v>
      </c>
      <c r="C294" s="1" t="n">
        <v>46186</v>
      </c>
      <c r="D294" t="inlineStr">
        <is>
          <t>JÖNKÖPINGS LÄN</t>
        </is>
      </c>
      <c r="E294" t="inlineStr">
        <is>
          <t>VETLANDA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39330-2025</t>
        </is>
      </c>
      <c r="B295" s="1" t="n">
        <v>45888</v>
      </c>
      <c r="C295" s="1" t="n">
        <v>46186</v>
      </c>
      <c r="D295" t="inlineStr">
        <is>
          <t>JÖNKÖPINGS LÄN</t>
        </is>
      </c>
      <c r="E295" t="inlineStr">
        <is>
          <t>VETLANDA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14610-2025</t>
        </is>
      </c>
      <c r="B296" s="1" t="n">
        <v>45742.3846412037</v>
      </c>
      <c r="C296" s="1" t="n">
        <v>46186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39264-2025</t>
        </is>
      </c>
      <c r="B297" s="1" t="n">
        <v>45889.37385416667</v>
      </c>
      <c r="C297" s="1" t="n">
        <v>46186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39316-2025</t>
        </is>
      </c>
      <c r="B298" s="1" t="n">
        <v>45888</v>
      </c>
      <c r="C298" s="1" t="n">
        <v>46186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39011-2025</t>
        </is>
      </c>
      <c r="B299" s="1" t="n">
        <v>45888.35375</v>
      </c>
      <c r="C299" s="1" t="n">
        <v>46186</v>
      </c>
      <c r="D299" t="inlineStr">
        <is>
          <t>JÖNKÖPINGS LÄN</t>
        </is>
      </c>
      <c r="E299" t="inlineStr">
        <is>
          <t>VETLANDA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39275-2025</t>
        </is>
      </c>
      <c r="B300" s="1" t="n">
        <v>45888</v>
      </c>
      <c r="C300" s="1" t="n">
        <v>46186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30042-2025</t>
        </is>
      </c>
      <c r="B301" s="1" t="n">
        <v>45826.57552083334</v>
      </c>
      <c r="C301" s="1" t="n">
        <v>46186</v>
      </c>
      <c r="D301" t="inlineStr">
        <is>
          <t>JÖNKÖPINGS LÄN</t>
        </is>
      </c>
      <c r="E301" t="inlineStr">
        <is>
          <t>VETLANDA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39398-2025</t>
        </is>
      </c>
      <c r="B302" s="1" t="n">
        <v>45889.63392361111</v>
      </c>
      <c r="C302" s="1" t="n">
        <v>46186</v>
      </c>
      <c r="D302" t="inlineStr">
        <is>
          <t>JÖNKÖPINGS LÄN</t>
        </is>
      </c>
      <c r="E302" t="inlineStr">
        <is>
          <t>VETLANDA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14609-2025</t>
        </is>
      </c>
      <c r="B303" s="1" t="n">
        <v>45742.38137731481</v>
      </c>
      <c r="C303" s="1" t="n">
        <v>46186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52301-2025</t>
        </is>
      </c>
      <c r="B304" s="1" t="n">
        <v>45953.61858796296</v>
      </c>
      <c r="C304" s="1" t="n">
        <v>46186</v>
      </c>
      <c r="D304" t="inlineStr">
        <is>
          <t>JÖNKÖPINGS LÄN</t>
        </is>
      </c>
      <c r="E304" t="inlineStr">
        <is>
          <t>VETLANDA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16082-2024</t>
        </is>
      </c>
      <c r="B305" s="1" t="n">
        <v>45406.36346064815</v>
      </c>
      <c r="C305" s="1" t="n">
        <v>46186</v>
      </c>
      <c r="D305" t="inlineStr">
        <is>
          <t>JÖNKÖPINGS LÄN</t>
        </is>
      </c>
      <c r="E305" t="inlineStr">
        <is>
          <t>VETLANDA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19557-2025</t>
        </is>
      </c>
      <c r="B306" s="1" t="n">
        <v>45770.51099537037</v>
      </c>
      <c r="C306" s="1" t="n">
        <v>46186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30501-2022</t>
        </is>
      </c>
      <c r="B307" s="1" t="n">
        <v>44762.36475694444</v>
      </c>
      <c r="C307" s="1" t="n">
        <v>46186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45261-2021</t>
        </is>
      </c>
      <c r="B308" s="1" t="n">
        <v>44439</v>
      </c>
      <c r="C308" s="1" t="n">
        <v>46186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28404-2022</t>
        </is>
      </c>
      <c r="B309" s="1" t="n">
        <v>44747.59320601852</v>
      </c>
      <c r="C309" s="1" t="n">
        <v>46186</v>
      </c>
      <c r="D309" t="inlineStr">
        <is>
          <t>JÖNKÖPINGS LÄN</t>
        </is>
      </c>
      <c r="E309" t="inlineStr">
        <is>
          <t>VETLANDA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16774-2023</t>
        </is>
      </c>
      <c r="B310" s="1" t="n">
        <v>45031.40950231482</v>
      </c>
      <c r="C310" s="1" t="n">
        <v>46186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10175-2023</t>
        </is>
      </c>
      <c r="B311" s="1" t="n">
        <v>44986.47112268519</v>
      </c>
      <c r="C311" s="1" t="n">
        <v>46186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47124-2024</t>
        </is>
      </c>
      <c r="B312" s="1" t="n">
        <v>45586.56929398148</v>
      </c>
      <c r="C312" s="1" t="n">
        <v>46186</v>
      </c>
      <c r="D312" t="inlineStr">
        <is>
          <t>JÖNKÖPINGS LÄN</t>
        </is>
      </c>
      <c r="E312" t="inlineStr">
        <is>
          <t>VETLANDA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32807-2025</t>
        </is>
      </c>
      <c r="B313" s="1" t="n">
        <v>45839.50319444444</v>
      </c>
      <c r="C313" s="1" t="n">
        <v>46186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55955-2024</t>
        </is>
      </c>
      <c r="B314" s="1" t="n">
        <v>45623.62873842593</v>
      </c>
      <c r="C314" s="1" t="n">
        <v>46186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27406-2023</t>
        </is>
      </c>
      <c r="B315" s="1" t="n">
        <v>45097.31440972222</v>
      </c>
      <c r="C315" s="1" t="n">
        <v>46186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27449-2023</t>
        </is>
      </c>
      <c r="B316" s="1" t="n">
        <v>45097.42025462963</v>
      </c>
      <c r="C316" s="1" t="n">
        <v>46186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5804-2024</t>
        </is>
      </c>
      <c r="B317" s="1" t="n">
        <v>45335</v>
      </c>
      <c r="C317" s="1" t="n">
        <v>46186</v>
      </c>
      <c r="D317" t="inlineStr">
        <is>
          <t>JÖNKÖPINGS LÄN</t>
        </is>
      </c>
      <c r="E317" t="inlineStr">
        <is>
          <t>VETLANDA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54525-2025</t>
        </is>
      </c>
      <c r="B318" s="1" t="n">
        <v>45965.63142361111</v>
      </c>
      <c r="C318" s="1" t="n">
        <v>46186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12666-2024</t>
        </is>
      </c>
      <c r="B319" s="1" t="n">
        <v>45384</v>
      </c>
      <c r="C319" s="1" t="n">
        <v>46186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20154-2024</t>
        </is>
      </c>
      <c r="B320" s="1" t="n">
        <v>45434.5815625</v>
      </c>
      <c r="C320" s="1" t="n">
        <v>46186</v>
      </c>
      <c r="D320" t="inlineStr">
        <is>
          <t>JÖNKÖPINGS LÄN</t>
        </is>
      </c>
      <c r="E320" t="inlineStr">
        <is>
          <t>VETLANDA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20827-2024</t>
        </is>
      </c>
      <c r="B321" s="1" t="n">
        <v>45439.3877662037</v>
      </c>
      <c r="C321" s="1" t="n">
        <v>46186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18071-2025</t>
        </is>
      </c>
      <c r="B322" s="1" t="n">
        <v>45761.49452546296</v>
      </c>
      <c r="C322" s="1" t="n">
        <v>46186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61076-2024</t>
        </is>
      </c>
      <c r="B323" s="1" t="n">
        <v>45645.50914351852</v>
      </c>
      <c r="C323" s="1" t="n">
        <v>46186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41291-2025</t>
        </is>
      </c>
      <c r="B324" s="1" t="n">
        <v>45898.64612268518</v>
      </c>
      <c r="C324" s="1" t="n">
        <v>46186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28907-2023</t>
        </is>
      </c>
      <c r="B325" s="1" t="n">
        <v>45104.51045138889</v>
      </c>
      <c r="C325" s="1" t="n">
        <v>46186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8501-2025</t>
        </is>
      </c>
      <c r="B326" s="1" t="n">
        <v>45709.52268518518</v>
      </c>
      <c r="C326" s="1" t="n">
        <v>46186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61095-2024</t>
        </is>
      </c>
      <c r="B327" s="1" t="n">
        <v>45645.54453703704</v>
      </c>
      <c r="C327" s="1" t="n">
        <v>46186</v>
      </c>
      <c r="D327" t="inlineStr">
        <is>
          <t>JÖNKÖPINGS LÄN</t>
        </is>
      </c>
      <c r="E327" t="inlineStr">
        <is>
          <t>VETLANDA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28587-2025</t>
        </is>
      </c>
      <c r="B328" s="1" t="n">
        <v>45819.5825462963</v>
      </c>
      <c r="C328" s="1" t="n">
        <v>46186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13815-2025</t>
        </is>
      </c>
      <c r="B329" s="1" t="n">
        <v>45737.51153935185</v>
      </c>
      <c r="C329" s="1" t="n">
        <v>46186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47389-2024</t>
        </is>
      </c>
      <c r="B330" s="1" t="n">
        <v>45587.46966435185</v>
      </c>
      <c r="C330" s="1" t="n">
        <v>46186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712-2024</t>
        </is>
      </c>
      <c r="B331" s="1" t="n">
        <v>45300</v>
      </c>
      <c r="C331" s="1" t="n">
        <v>46186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41700-2025</t>
        </is>
      </c>
      <c r="B332" s="1" t="n">
        <v>45902.4108449074</v>
      </c>
      <c r="C332" s="1" t="n">
        <v>46186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28330-2023</t>
        </is>
      </c>
      <c r="B333" s="1" t="n">
        <v>45099</v>
      </c>
      <c r="C333" s="1" t="n">
        <v>46186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20967-2024</t>
        </is>
      </c>
      <c r="B334" s="1" t="n">
        <v>45439.58064814815</v>
      </c>
      <c r="C334" s="1" t="n">
        <v>46186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26791-2024</t>
        </is>
      </c>
      <c r="B335" s="1" t="n">
        <v>45470.49353009259</v>
      </c>
      <c r="C335" s="1" t="n">
        <v>46186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2070-2024</t>
        </is>
      </c>
      <c r="B336" s="1" t="n">
        <v>45309</v>
      </c>
      <c r="C336" s="1" t="n">
        <v>46186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2156-2024</t>
        </is>
      </c>
      <c r="B337" s="1" t="n">
        <v>45309.59212962963</v>
      </c>
      <c r="C337" s="1" t="n">
        <v>46186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60327-2024</t>
        </is>
      </c>
      <c r="B338" s="1" t="n">
        <v>45643.38037037037</v>
      </c>
      <c r="C338" s="1" t="n">
        <v>46186</v>
      </c>
      <c r="D338" t="inlineStr">
        <is>
          <t>JÖNKÖPINGS LÄN</t>
        </is>
      </c>
      <c r="E338" t="inlineStr">
        <is>
          <t>VETLANDA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27445-2023</t>
        </is>
      </c>
      <c r="B339" s="1" t="n">
        <v>45097.40740740741</v>
      </c>
      <c r="C339" s="1" t="n">
        <v>46186</v>
      </c>
      <c r="D339" t="inlineStr">
        <is>
          <t>JÖNKÖPINGS LÄN</t>
        </is>
      </c>
      <c r="E339" t="inlineStr">
        <is>
          <t>VETLANDA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62953-2023</t>
        </is>
      </c>
      <c r="B340" s="1" t="n">
        <v>45272</v>
      </c>
      <c r="C340" s="1" t="n">
        <v>46186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4644-2022</t>
        </is>
      </c>
      <c r="B341" s="1" t="n">
        <v>44592</v>
      </c>
      <c r="C341" s="1" t="n">
        <v>46186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9868-2024</t>
        </is>
      </c>
      <c r="B342" s="1" t="n">
        <v>45363</v>
      </c>
      <c r="C342" s="1" t="n">
        <v>46186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42753-2025</t>
        </is>
      </c>
      <c r="B343" s="1" t="n">
        <v>45908</v>
      </c>
      <c r="C343" s="1" t="n">
        <v>46186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22422-2025</t>
        </is>
      </c>
      <c r="B344" s="1" t="n">
        <v>45786.56335648148</v>
      </c>
      <c r="C344" s="1" t="n">
        <v>46186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50561-2024</t>
        </is>
      </c>
      <c r="B345" s="1" t="n">
        <v>45601.59809027778</v>
      </c>
      <c r="C345" s="1" t="n">
        <v>46186</v>
      </c>
      <c r="D345" t="inlineStr">
        <is>
          <t>JÖNKÖPINGS LÄN</t>
        </is>
      </c>
      <c r="E345" t="inlineStr">
        <is>
          <t>VETLANDA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24058-2024</t>
        </is>
      </c>
      <c r="B346" s="1" t="n">
        <v>45456.52788194444</v>
      </c>
      <c r="C346" s="1" t="n">
        <v>46186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9874-2025</t>
        </is>
      </c>
      <c r="B347" s="1" t="n">
        <v>45716.6490162037</v>
      </c>
      <c r="C347" s="1" t="n">
        <v>46186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61258-2024</t>
        </is>
      </c>
      <c r="B348" s="1" t="n">
        <v>45645.71140046296</v>
      </c>
      <c r="C348" s="1" t="n">
        <v>46186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55844-2024</t>
        </is>
      </c>
      <c r="B349" s="1" t="n">
        <v>45623.50226851852</v>
      </c>
      <c r="C349" s="1" t="n">
        <v>46186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42750-2025</t>
        </is>
      </c>
      <c r="B350" s="1" t="n">
        <v>45908</v>
      </c>
      <c r="C350" s="1" t="n">
        <v>46186</v>
      </c>
      <c r="D350" t="inlineStr">
        <is>
          <t>JÖNKÖPINGS LÄN</t>
        </is>
      </c>
      <c r="E350" t="inlineStr">
        <is>
          <t>VETLANDA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31010-2023</t>
        </is>
      </c>
      <c r="B351" s="1" t="n">
        <v>45113.56304398148</v>
      </c>
      <c r="C351" s="1" t="n">
        <v>46186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43558-2025</t>
        </is>
      </c>
      <c r="B352" s="1" t="n">
        <v>45911.62592592592</v>
      </c>
      <c r="C352" s="1" t="n">
        <v>46186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3310-2023</t>
        </is>
      </c>
      <c r="B353" s="1" t="n">
        <v>44949.40520833333</v>
      </c>
      <c r="C353" s="1" t="n">
        <v>46186</v>
      </c>
      <c r="D353" t="inlineStr">
        <is>
          <t>JÖNKÖPINGS LÄN</t>
        </is>
      </c>
      <c r="E353" t="inlineStr">
        <is>
          <t>VETLANDA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43554-2025</t>
        </is>
      </c>
      <c r="B354" s="1" t="n">
        <v>45911.62172453704</v>
      </c>
      <c r="C354" s="1" t="n">
        <v>46186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2162-2024</t>
        </is>
      </c>
      <c r="B355" s="1" t="n">
        <v>45309.60319444445</v>
      </c>
      <c r="C355" s="1" t="n">
        <v>46186</v>
      </c>
      <c r="D355" t="inlineStr">
        <is>
          <t>JÖNKÖPINGS LÄN</t>
        </is>
      </c>
      <c r="E355" t="inlineStr">
        <is>
          <t>VETLANDA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58102-2021</t>
        </is>
      </c>
      <c r="B356" s="1" t="n">
        <v>44487</v>
      </c>
      <c r="C356" s="1" t="n">
        <v>46186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56254-2025</t>
        </is>
      </c>
      <c r="B357" s="1" t="n">
        <v>45974.56275462963</v>
      </c>
      <c r="C357" s="1" t="n">
        <v>46186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38196-2023</t>
        </is>
      </c>
      <c r="B358" s="1" t="n">
        <v>45161.49346064815</v>
      </c>
      <c r="C358" s="1" t="n">
        <v>46186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31810-2023</t>
        </is>
      </c>
      <c r="B359" s="1" t="n">
        <v>45118.47174768519</v>
      </c>
      <c r="C359" s="1" t="n">
        <v>46186</v>
      </c>
      <c r="D359" t="inlineStr">
        <is>
          <t>JÖNKÖPINGS LÄN</t>
        </is>
      </c>
      <c r="E359" t="inlineStr">
        <is>
          <t>VETLANDA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56592-2025</t>
        </is>
      </c>
      <c r="B360" s="1" t="n">
        <v>45975</v>
      </c>
      <c r="C360" s="1" t="n">
        <v>46186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6051-2024</t>
        </is>
      </c>
      <c r="B361" s="1" t="n">
        <v>45336.70538194444</v>
      </c>
      <c r="C361" s="1" t="n">
        <v>46186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39193-2023</t>
        </is>
      </c>
      <c r="B362" s="1" t="n">
        <v>45162</v>
      </c>
      <c r="C362" s="1" t="n">
        <v>46186</v>
      </c>
      <c r="D362" t="inlineStr">
        <is>
          <t>JÖNKÖPINGS LÄN</t>
        </is>
      </c>
      <c r="E362" t="inlineStr">
        <is>
          <t>VETLANDA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57642-2025</t>
        </is>
      </c>
      <c r="B363" s="1" t="n">
        <v>45981.36712962963</v>
      </c>
      <c r="C363" s="1" t="n">
        <v>46186</v>
      </c>
      <c r="D363" t="inlineStr">
        <is>
          <t>JÖNKÖPINGS LÄN</t>
        </is>
      </c>
      <c r="E363" t="inlineStr">
        <is>
          <t>VETLANDA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57690-2025</t>
        </is>
      </c>
      <c r="B364" s="1" t="n">
        <v>45981.44628472222</v>
      </c>
      <c r="C364" s="1" t="n">
        <v>46186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17211-2024</t>
        </is>
      </c>
      <c r="B365" s="1" t="n">
        <v>45414</v>
      </c>
      <c r="C365" s="1" t="n">
        <v>46186</v>
      </c>
      <c r="D365" t="inlineStr">
        <is>
          <t>JÖNKÖPINGS LÄN</t>
        </is>
      </c>
      <c r="E365" t="inlineStr">
        <is>
          <t>VETLANDA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57822-2025</t>
        </is>
      </c>
      <c r="B366" s="1" t="n">
        <v>45981.60770833334</v>
      </c>
      <c r="C366" s="1" t="n">
        <v>46186</v>
      </c>
      <c r="D366" t="inlineStr">
        <is>
          <t>JÖNKÖPINGS LÄN</t>
        </is>
      </c>
      <c r="E366" t="inlineStr">
        <is>
          <t>VETLANDA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52971-2023</t>
        </is>
      </c>
      <c r="B367" s="1" t="n">
        <v>45226</v>
      </c>
      <c r="C367" s="1" t="n">
        <v>46186</v>
      </c>
      <c r="D367" t="inlineStr">
        <is>
          <t>JÖNKÖPINGS LÄN</t>
        </is>
      </c>
      <c r="E367" t="inlineStr">
        <is>
          <t>VETLANDA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44316-2023</t>
        </is>
      </c>
      <c r="B368" s="1" t="n">
        <v>45188.6525</v>
      </c>
      <c r="C368" s="1" t="n">
        <v>46186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61451-2022</t>
        </is>
      </c>
      <c r="B369" s="1" t="n">
        <v>44916.40381944444</v>
      </c>
      <c r="C369" s="1" t="n">
        <v>46186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61452-2022</t>
        </is>
      </c>
      <c r="B370" s="1" t="n">
        <v>44916.40960648148</v>
      </c>
      <c r="C370" s="1" t="n">
        <v>46186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58000-2025</t>
        </is>
      </c>
      <c r="B371" s="1" t="n">
        <v>45982.43447916667</v>
      </c>
      <c r="C371" s="1" t="n">
        <v>46186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57930-2025</t>
        </is>
      </c>
      <c r="B372" s="1" t="n">
        <v>45981.90465277778</v>
      </c>
      <c r="C372" s="1" t="n">
        <v>46186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7034-2025</t>
        </is>
      </c>
      <c r="B373" s="1" t="n">
        <v>45701.6352662037</v>
      </c>
      <c r="C373" s="1" t="n">
        <v>46186</v>
      </c>
      <c r="D373" t="inlineStr">
        <is>
          <t>JÖNKÖPINGS LÄN</t>
        </is>
      </c>
      <c r="E373" t="inlineStr">
        <is>
          <t>VETLANDA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24537-2023</t>
        </is>
      </c>
      <c r="B374" s="1" t="n">
        <v>45082</v>
      </c>
      <c r="C374" s="1" t="n">
        <v>46186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24891-2024</t>
        </is>
      </c>
      <c r="B375" s="1" t="n">
        <v>45461.56825231481</v>
      </c>
      <c r="C375" s="1" t="n">
        <v>46186</v>
      </c>
      <c r="D375" t="inlineStr">
        <is>
          <t>JÖNKÖPINGS LÄN</t>
        </is>
      </c>
      <c r="E375" t="inlineStr">
        <is>
          <t>VETLANDA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38942-2023</t>
        </is>
      </c>
      <c r="B376" s="1" t="n">
        <v>45163.6054050926</v>
      </c>
      <c r="C376" s="1" t="n">
        <v>46186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44349-2023</t>
        </is>
      </c>
      <c r="B377" s="1" t="n">
        <v>45188.73418981482</v>
      </c>
      <c r="C377" s="1" t="n">
        <v>46186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14607-2022</t>
        </is>
      </c>
      <c r="B378" s="1" t="n">
        <v>44655</v>
      </c>
      <c r="C378" s="1" t="n">
        <v>46186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45968-2024</t>
        </is>
      </c>
      <c r="B379" s="1" t="n">
        <v>45580.5847337963</v>
      </c>
      <c r="C379" s="1" t="n">
        <v>46186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45419-2025</t>
        </is>
      </c>
      <c r="B380" s="1" t="n">
        <v>45922.44916666667</v>
      </c>
      <c r="C380" s="1" t="n">
        <v>46186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45171-2023</t>
        </is>
      </c>
      <c r="B381" s="1" t="n">
        <v>45191</v>
      </c>
      <c r="C381" s="1" t="n">
        <v>46186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3955-2023</t>
        </is>
      </c>
      <c r="B382" s="1" t="n">
        <v>44952.40027777778</v>
      </c>
      <c r="C382" s="1" t="n">
        <v>46186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48845-2023</t>
        </is>
      </c>
      <c r="B383" s="1" t="n">
        <v>45209.4254050926</v>
      </c>
      <c r="C383" s="1" t="n">
        <v>46186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46261-2025</t>
        </is>
      </c>
      <c r="B384" s="1" t="n">
        <v>45925.36075231482</v>
      </c>
      <c r="C384" s="1" t="n">
        <v>46186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46263-2025</t>
        </is>
      </c>
      <c r="B385" s="1" t="n">
        <v>45925.36193287037</v>
      </c>
      <c r="C385" s="1" t="n">
        <v>46186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55753-2022</t>
        </is>
      </c>
      <c r="B386" s="1" t="n">
        <v>44888.59611111111</v>
      </c>
      <c r="C386" s="1" t="n">
        <v>46186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46258-2025</t>
        </is>
      </c>
      <c r="B387" s="1" t="n">
        <v>45925.35635416667</v>
      </c>
      <c r="C387" s="1" t="n">
        <v>46186</v>
      </c>
      <c r="D387" t="inlineStr">
        <is>
          <t>JÖNKÖPINGS LÄN</t>
        </is>
      </c>
      <c r="E387" t="inlineStr">
        <is>
          <t>VETLANDA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16808-2025</t>
        </is>
      </c>
      <c r="B388" s="1" t="n">
        <v>45754.62920138889</v>
      </c>
      <c r="C388" s="1" t="n">
        <v>46186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16810-2025</t>
        </is>
      </c>
      <c r="B389" s="1" t="n">
        <v>45754.63079861111</v>
      </c>
      <c r="C389" s="1" t="n">
        <v>46186</v>
      </c>
      <c r="D389" t="inlineStr">
        <is>
          <t>JÖNKÖPINGS LÄN</t>
        </is>
      </c>
      <c r="E389" t="inlineStr">
        <is>
          <t>VETLANDA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8220-2024</t>
        </is>
      </c>
      <c r="B390" s="1" t="n">
        <v>45351.86930555556</v>
      </c>
      <c r="C390" s="1" t="n">
        <v>46186</v>
      </c>
      <c r="D390" t="inlineStr">
        <is>
          <t>JÖNKÖPINGS LÄN</t>
        </is>
      </c>
      <c r="E390" t="inlineStr">
        <is>
          <t>VETLANDA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56938-2024</t>
        </is>
      </c>
      <c r="B391" s="1" t="n">
        <v>45628.61552083334</v>
      </c>
      <c r="C391" s="1" t="n">
        <v>46186</v>
      </c>
      <c r="D391" t="inlineStr">
        <is>
          <t>JÖNKÖPINGS LÄN</t>
        </is>
      </c>
      <c r="E391" t="inlineStr">
        <is>
          <t>VETLANDA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46259-2025</t>
        </is>
      </c>
      <c r="B392" s="1" t="n">
        <v>45925.35803240741</v>
      </c>
      <c r="C392" s="1" t="n">
        <v>46186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7626-2023</t>
        </is>
      </c>
      <c r="B393" s="1" t="n">
        <v>44972.54766203704</v>
      </c>
      <c r="C393" s="1" t="n">
        <v>46186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59733-2025</t>
        </is>
      </c>
      <c r="B394" s="1" t="n">
        <v>45992.571875</v>
      </c>
      <c r="C394" s="1" t="n">
        <v>46186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27446-2023</t>
        </is>
      </c>
      <c r="B395" s="1" t="n">
        <v>45097.41377314815</v>
      </c>
      <c r="C395" s="1" t="n">
        <v>46186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59762-2025</t>
        </is>
      </c>
      <c r="B396" s="1" t="n">
        <v>45992.59366898148</v>
      </c>
      <c r="C396" s="1" t="n">
        <v>46186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59746-2025</t>
        </is>
      </c>
      <c r="B397" s="1" t="n">
        <v>45992.57753472222</v>
      </c>
      <c r="C397" s="1" t="n">
        <v>46186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59742-2025</t>
        </is>
      </c>
      <c r="B398" s="1" t="n">
        <v>45992.5750462963</v>
      </c>
      <c r="C398" s="1" t="n">
        <v>46186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59759-2025</t>
        </is>
      </c>
      <c r="B399" s="1" t="n">
        <v>45992.59141203704</v>
      </c>
      <c r="C399" s="1" t="n">
        <v>46186</v>
      </c>
      <c r="D399" t="inlineStr">
        <is>
          <t>JÖNKÖPINGS LÄN</t>
        </is>
      </c>
      <c r="E399" t="inlineStr">
        <is>
          <t>VETLANDA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31165-2022</t>
        </is>
      </c>
      <c r="B400" s="1" t="n">
        <v>44770</v>
      </c>
      <c r="C400" s="1" t="n">
        <v>46186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44126-2024</t>
        </is>
      </c>
      <c r="B401" s="1" t="n">
        <v>45572.65032407407</v>
      </c>
      <c r="C401" s="1" t="n">
        <v>46186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60997-2025</t>
        </is>
      </c>
      <c r="B402" s="1" t="n">
        <v>45999.74611111111</v>
      </c>
      <c r="C402" s="1" t="n">
        <v>46186</v>
      </c>
      <c r="D402" t="inlineStr">
        <is>
          <t>JÖNKÖPINGS LÄN</t>
        </is>
      </c>
      <c r="E402" t="inlineStr">
        <is>
          <t>VETLANDA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60958-2025</t>
        </is>
      </c>
      <c r="B403" s="1" t="n">
        <v>45999.6591550926</v>
      </c>
      <c r="C403" s="1" t="n">
        <v>46186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61471-2022</t>
        </is>
      </c>
      <c r="B404" s="1" t="n">
        <v>44916.44489583333</v>
      </c>
      <c r="C404" s="1" t="n">
        <v>46186</v>
      </c>
      <c r="D404" t="inlineStr">
        <is>
          <t>JÖNKÖPINGS LÄN</t>
        </is>
      </c>
      <c r="E404" t="inlineStr">
        <is>
          <t>VETLANDA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46133-2023</t>
        </is>
      </c>
      <c r="B405" s="1" t="n">
        <v>45190</v>
      </c>
      <c r="C405" s="1" t="n">
        <v>46186</v>
      </c>
      <c r="D405" t="inlineStr">
        <is>
          <t>JÖNKÖPINGS LÄN</t>
        </is>
      </c>
      <c r="E405" t="inlineStr">
        <is>
          <t>VETLANDA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47297-2025</t>
        </is>
      </c>
      <c r="B406" s="1" t="n">
        <v>45930.49594907407</v>
      </c>
      <c r="C406" s="1" t="n">
        <v>46186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47357-2025</t>
        </is>
      </c>
      <c r="B407" s="1" t="n">
        <v>45930</v>
      </c>
      <c r="C407" s="1" t="n">
        <v>46186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61483-2025</t>
        </is>
      </c>
      <c r="B408" s="1" t="n">
        <v>46001.634375</v>
      </c>
      <c r="C408" s="1" t="n">
        <v>46186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47717-2025</t>
        </is>
      </c>
      <c r="B409" s="1" t="n">
        <v>45931.61743055555</v>
      </c>
      <c r="C409" s="1" t="n">
        <v>46186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47386-2025</t>
        </is>
      </c>
      <c r="B410" s="1" t="n">
        <v>45930</v>
      </c>
      <c r="C410" s="1" t="n">
        <v>46186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4689-2022</t>
        </is>
      </c>
      <c r="B411" s="1" t="n">
        <v>44592.48420138889</v>
      </c>
      <c r="C411" s="1" t="n">
        <v>46186</v>
      </c>
      <c r="D411" t="inlineStr">
        <is>
          <t>JÖNKÖPINGS LÄN</t>
        </is>
      </c>
      <c r="E411" t="inlineStr">
        <is>
          <t>VETLANDA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22721-2024</t>
        </is>
      </c>
      <c r="B412" s="1" t="n">
        <v>45448.36395833334</v>
      </c>
      <c r="C412" s="1" t="n">
        <v>46186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39165-2023</t>
        </is>
      </c>
      <c r="B413" s="1" t="n">
        <v>45166.36192129629</v>
      </c>
      <c r="C413" s="1" t="n">
        <v>46186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62027-2025</t>
        </is>
      </c>
      <c r="B414" s="1" t="n">
        <v>46003</v>
      </c>
      <c r="C414" s="1" t="n">
        <v>46186</v>
      </c>
      <c r="D414" t="inlineStr">
        <is>
          <t>JÖNKÖPINGS LÄN</t>
        </is>
      </c>
      <c r="E414" t="inlineStr">
        <is>
          <t>VETLANDA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45947-2024</t>
        </is>
      </c>
      <c r="B415" s="1" t="n">
        <v>45580.5531712963</v>
      </c>
      <c r="C415" s="1" t="n">
        <v>46186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63028-2025</t>
        </is>
      </c>
      <c r="B416" s="1" t="n">
        <v>46009.59636574074</v>
      </c>
      <c r="C416" s="1" t="n">
        <v>46186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62582-2025</t>
        </is>
      </c>
      <c r="B417" s="1" t="n">
        <v>46007.83314814815</v>
      </c>
      <c r="C417" s="1" t="n">
        <v>46186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62584-2025</t>
        </is>
      </c>
      <c r="B418" s="1" t="n">
        <v>46007.83997685185</v>
      </c>
      <c r="C418" s="1" t="n">
        <v>46186</v>
      </c>
      <c r="D418" t="inlineStr">
        <is>
          <t>JÖNKÖPINGS LÄN</t>
        </is>
      </c>
      <c r="E418" t="inlineStr">
        <is>
          <t>VETLANDA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62885-2025</t>
        </is>
      </c>
      <c r="B419" s="1" t="n">
        <v>46009.3007175926</v>
      </c>
      <c r="C419" s="1" t="n">
        <v>46186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60964-2025</t>
        </is>
      </c>
      <c r="B420" s="1" t="n">
        <v>45999.66931712963</v>
      </c>
      <c r="C420" s="1" t="n">
        <v>46186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63070-2025</t>
        </is>
      </c>
      <c r="B421" s="1" t="n">
        <v>46009.65798611111</v>
      </c>
      <c r="C421" s="1" t="n">
        <v>46186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63081-2025</t>
        </is>
      </c>
      <c r="B422" s="1" t="n">
        <v>46009.66805555556</v>
      </c>
      <c r="C422" s="1" t="n">
        <v>46186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56403-2024</t>
        </is>
      </c>
      <c r="B423" s="1" t="n">
        <v>45625</v>
      </c>
      <c r="C423" s="1" t="n">
        <v>46186</v>
      </c>
      <c r="D423" t="inlineStr">
        <is>
          <t>JÖNKÖPINGS LÄN</t>
        </is>
      </c>
      <c r="E423" t="inlineStr">
        <is>
          <t>VETLANDA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23581-2025</t>
        </is>
      </c>
      <c r="B424" s="1" t="n">
        <v>45792.62685185186</v>
      </c>
      <c r="C424" s="1" t="n">
        <v>46186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53537-2021</t>
        </is>
      </c>
      <c r="B425" s="1" t="n">
        <v>44468</v>
      </c>
      <c r="C425" s="1" t="n">
        <v>46186</v>
      </c>
      <c r="D425" t="inlineStr">
        <is>
          <t>JÖNKÖPINGS LÄN</t>
        </is>
      </c>
      <c r="E425" t="inlineStr">
        <is>
          <t>VETLANDA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9730-2024</t>
        </is>
      </c>
      <c r="B426" s="1" t="n">
        <v>45362.56993055555</v>
      </c>
      <c r="C426" s="1" t="n">
        <v>46186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63143-2025</t>
        </is>
      </c>
      <c r="B427" s="1" t="n">
        <v>46010.3465625</v>
      </c>
      <c r="C427" s="1" t="n">
        <v>46186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32318-2022</t>
        </is>
      </c>
      <c r="B428" s="1" t="n">
        <v>44781</v>
      </c>
      <c r="C428" s="1" t="n">
        <v>46186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15666-2023</t>
        </is>
      </c>
      <c r="B429" s="1" t="n">
        <v>45021</v>
      </c>
      <c r="C429" s="1" t="n">
        <v>46186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63136-2025</t>
        </is>
      </c>
      <c r="B430" s="1" t="n">
        <v>46010.32392361111</v>
      </c>
      <c r="C430" s="1" t="n">
        <v>46186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8613-2023</t>
        </is>
      </c>
      <c r="B431" s="1" t="n">
        <v>44977</v>
      </c>
      <c r="C431" s="1" t="n">
        <v>46186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38373-2024</t>
        </is>
      </c>
      <c r="B432" s="1" t="n">
        <v>45545.90186342593</v>
      </c>
      <c r="C432" s="1" t="n">
        <v>46186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29031-2023</t>
        </is>
      </c>
      <c r="B433" s="1" t="n">
        <v>45104.73398148148</v>
      </c>
      <c r="C433" s="1" t="n">
        <v>46186</v>
      </c>
      <c r="D433" t="inlineStr">
        <is>
          <t>JÖNKÖPINGS LÄN</t>
        </is>
      </c>
      <c r="E433" t="inlineStr">
        <is>
          <t>VETLANDA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61283-2024</t>
        </is>
      </c>
      <c r="B434" s="1" t="n">
        <v>45645</v>
      </c>
      <c r="C434" s="1" t="n">
        <v>46186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61287-2024</t>
        </is>
      </c>
      <c r="B435" s="1" t="n">
        <v>45645.81003472222</v>
      </c>
      <c r="C435" s="1" t="n">
        <v>46186</v>
      </c>
      <c r="D435" t="inlineStr">
        <is>
          <t>JÖNKÖPINGS LÄN</t>
        </is>
      </c>
      <c r="E435" t="inlineStr">
        <is>
          <t>VETLANDA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16805-2025</t>
        </is>
      </c>
      <c r="B436" s="1" t="n">
        <v>45754.62659722222</v>
      </c>
      <c r="C436" s="1" t="n">
        <v>46186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30415-2025</t>
        </is>
      </c>
      <c r="B437" s="1" t="n">
        <v>45827</v>
      </c>
      <c r="C437" s="1" t="n">
        <v>46186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34061-2023</t>
        </is>
      </c>
      <c r="B438" s="1" t="n">
        <v>45135</v>
      </c>
      <c r="C438" s="1" t="n">
        <v>46186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34068-2023</t>
        </is>
      </c>
      <c r="B439" s="1" t="n">
        <v>45135</v>
      </c>
      <c r="C439" s="1" t="n">
        <v>46186</v>
      </c>
      <c r="D439" t="inlineStr">
        <is>
          <t>JÖNKÖPINGS LÄN</t>
        </is>
      </c>
      <c r="E439" t="inlineStr">
        <is>
          <t>VETLANDA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34072-2023</t>
        </is>
      </c>
      <c r="B440" s="1" t="n">
        <v>45135</v>
      </c>
      <c r="C440" s="1" t="n">
        <v>46186</v>
      </c>
      <c r="D440" t="inlineStr">
        <is>
          <t>JÖNKÖPINGS LÄN</t>
        </is>
      </c>
      <c r="E440" t="inlineStr">
        <is>
          <t>VETLANDA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12665-2022</t>
        </is>
      </c>
      <c r="B441" s="1" t="n">
        <v>44641</v>
      </c>
      <c r="C441" s="1" t="n">
        <v>46186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56994-2021</t>
        </is>
      </c>
      <c r="B442" s="1" t="n">
        <v>44482.45895833334</v>
      </c>
      <c r="C442" s="1" t="n">
        <v>46186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18799-2023</t>
        </is>
      </c>
      <c r="B443" s="1" t="n">
        <v>45042</v>
      </c>
      <c r="C443" s="1" t="n">
        <v>46186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4905-2024</t>
        </is>
      </c>
      <c r="B444" s="1" t="n">
        <v>45329</v>
      </c>
      <c r="C444" s="1" t="n">
        <v>46186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47276-2024</t>
        </is>
      </c>
      <c r="B445" s="1" t="n">
        <v>45586.90974537037</v>
      </c>
      <c r="C445" s="1" t="n">
        <v>46186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4944-2024</t>
        </is>
      </c>
      <c r="B446" s="1" t="n">
        <v>45329</v>
      </c>
      <c r="C446" s="1" t="n">
        <v>46186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31621-2023</t>
        </is>
      </c>
      <c r="B447" s="1" t="n">
        <v>45117</v>
      </c>
      <c r="C447" s="1" t="n">
        <v>46186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55747-2022</t>
        </is>
      </c>
      <c r="B448" s="1" t="n">
        <v>44888.59313657408</v>
      </c>
      <c r="C448" s="1" t="n">
        <v>46186</v>
      </c>
      <c r="D448" t="inlineStr">
        <is>
          <t>JÖNKÖPINGS LÄN</t>
        </is>
      </c>
      <c r="E448" t="inlineStr">
        <is>
          <t>VETLANDA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28130-2023</t>
        </is>
      </c>
      <c r="B449" s="1" t="n">
        <v>45099.47626157408</v>
      </c>
      <c r="C449" s="1" t="n">
        <v>46186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52948-2024</t>
        </is>
      </c>
      <c r="B450" s="1" t="n">
        <v>45610.86952546296</v>
      </c>
      <c r="C450" s="1" t="n">
        <v>46186</v>
      </c>
      <c r="D450" t="inlineStr">
        <is>
          <t>JÖNKÖPINGS LÄN</t>
        </is>
      </c>
      <c r="E450" t="inlineStr">
        <is>
          <t>VETLANDA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14639-2025</t>
        </is>
      </c>
      <c r="B451" s="1" t="n">
        <v>45742.45594907407</v>
      </c>
      <c r="C451" s="1" t="n">
        <v>46186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62028-2025</t>
        </is>
      </c>
      <c r="B452" s="1" t="n">
        <v>46003</v>
      </c>
      <c r="C452" s="1" t="n">
        <v>46186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750-2026</t>
        </is>
      </c>
      <c r="B453" s="1" t="n">
        <v>46029.67594907407</v>
      </c>
      <c r="C453" s="1" t="n">
        <v>46186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9779-2023</t>
        </is>
      </c>
      <c r="B454" s="1" t="n">
        <v>44984.61899305556</v>
      </c>
      <c r="C454" s="1" t="n">
        <v>46186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1281-2026</t>
        </is>
      </c>
      <c r="B455" s="1" t="n">
        <v>46031.48685185185</v>
      </c>
      <c r="C455" s="1" t="n">
        <v>46186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53101-2023</t>
        </is>
      </c>
      <c r="B456" s="1" t="n">
        <v>45228.48451388889</v>
      </c>
      <c r="C456" s="1" t="n">
        <v>46186</v>
      </c>
      <c r="D456" t="inlineStr">
        <is>
          <t>JÖNKÖPINGS LÄN</t>
        </is>
      </c>
      <c r="E456" t="inlineStr">
        <is>
          <t>VETLANDA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28655-2022</t>
        </is>
      </c>
      <c r="B457" s="1" t="n">
        <v>44748.65145833333</v>
      </c>
      <c r="C457" s="1" t="n">
        <v>46186</v>
      </c>
      <c r="D457" t="inlineStr">
        <is>
          <t>JÖNKÖPINGS LÄN</t>
        </is>
      </c>
      <c r="E457" t="inlineStr">
        <is>
          <t>VETLANDA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1234-2026</t>
        </is>
      </c>
      <c r="B458" s="1" t="n">
        <v>46031.41601851852</v>
      </c>
      <c r="C458" s="1" t="n">
        <v>46186</v>
      </c>
      <c r="D458" t="inlineStr">
        <is>
          <t>JÖNKÖPINGS LÄN</t>
        </is>
      </c>
      <c r="E458" t="inlineStr">
        <is>
          <t>VETLANDA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849-2026</t>
        </is>
      </c>
      <c r="B459" s="1" t="n">
        <v>46030.39181712963</v>
      </c>
      <c r="C459" s="1" t="n">
        <v>46186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913-2026</t>
        </is>
      </c>
      <c r="B460" s="1" t="n">
        <v>46030.47910879629</v>
      </c>
      <c r="C460" s="1" t="n">
        <v>46186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21458-2024</t>
        </is>
      </c>
      <c r="B461" s="1" t="n">
        <v>45441.46810185185</v>
      </c>
      <c r="C461" s="1" t="n">
        <v>46186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63407-2023</t>
        </is>
      </c>
      <c r="B462" s="1" t="n">
        <v>45274.51340277777</v>
      </c>
      <c r="C462" s="1" t="n">
        <v>46186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13587-2025</t>
        </is>
      </c>
      <c r="B463" s="1" t="n">
        <v>45736.59446759259</v>
      </c>
      <c r="C463" s="1" t="n">
        <v>46186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HYPERLINK("https://klasma.github.io/Logging_0685/knärot/A 13587-2025 karta knärot.png", "A 13587-2025")</f>
        <v/>
      </c>
      <c r="V463">
        <f>HYPERLINK("https://klasma.github.io/Logging_0685/klagomål/A 13587-2025 FSC-klagomål.docx", "A 13587-2025")</f>
        <v/>
      </c>
      <c r="W463">
        <f>HYPERLINK("https://klasma.github.io/Logging_0685/klagomålsmail/A 13587-2025 FSC-klagomål mail.docx", "A 13587-2025")</f>
        <v/>
      </c>
      <c r="X463">
        <f>HYPERLINK("https://klasma.github.io/Logging_0685/tillsyn/A 13587-2025 tillsynsbegäran.docx", "A 13587-2025")</f>
        <v/>
      </c>
      <c r="Y463">
        <f>HYPERLINK("https://klasma.github.io/Logging_0685/tillsynsmail/A 13587-2025 tillsynsbegäran mail.docx", "A 13587-2025")</f>
        <v/>
      </c>
    </row>
    <row r="464" ht="15" customHeight="1">
      <c r="A464" t="inlineStr">
        <is>
          <t>A 14439-2025</t>
        </is>
      </c>
      <c r="B464" s="1" t="n">
        <v>45741.51402777778</v>
      </c>
      <c r="C464" s="1" t="n">
        <v>46186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14440-2025</t>
        </is>
      </c>
      <c r="B465" s="1" t="n">
        <v>45741.51513888889</v>
      </c>
      <c r="C465" s="1" t="n">
        <v>46186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12049-2025</t>
        </is>
      </c>
      <c r="B466" s="1" t="n">
        <v>45728.66796296297</v>
      </c>
      <c r="C466" s="1" t="n">
        <v>46186</v>
      </c>
      <c r="D466" t="inlineStr">
        <is>
          <t>JÖNKÖPINGS LÄN</t>
        </is>
      </c>
      <c r="E466" t="inlineStr">
        <is>
          <t>VETLANDA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2041-2026</t>
        </is>
      </c>
      <c r="B467" s="1" t="n">
        <v>46031</v>
      </c>
      <c r="C467" s="1" t="n">
        <v>46186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60395-2023</t>
        </is>
      </c>
      <c r="B468" s="1" t="n">
        <v>45259</v>
      </c>
      <c r="C468" s="1" t="n">
        <v>46186</v>
      </c>
      <c r="D468" t="inlineStr">
        <is>
          <t>JÖNKÖPINGS LÄN</t>
        </is>
      </c>
      <c r="E468" t="inlineStr">
        <is>
          <t>VETLANDA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19444-2022</t>
        </is>
      </c>
      <c r="B469" s="1" t="n">
        <v>44693.3846875</v>
      </c>
      <c r="C469" s="1" t="n">
        <v>46186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52776-2024</t>
        </is>
      </c>
      <c r="B470" s="1" t="n">
        <v>45610</v>
      </c>
      <c r="C470" s="1" t="n">
        <v>46186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14923-2025</t>
        </is>
      </c>
      <c r="B471" s="1" t="n">
        <v>45743</v>
      </c>
      <c r="C471" s="1" t="n">
        <v>46186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49258-2024</t>
        </is>
      </c>
      <c r="B472" s="1" t="n">
        <v>45595.47640046296</v>
      </c>
      <c r="C472" s="1" t="n">
        <v>46186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13789-2025</t>
        </is>
      </c>
      <c r="B473" s="1" t="n">
        <v>45737.45528935185</v>
      </c>
      <c r="C473" s="1" t="n">
        <v>46186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13812-2025</t>
        </is>
      </c>
      <c r="B474" s="1" t="n">
        <v>45737</v>
      </c>
      <c r="C474" s="1" t="n">
        <v>46186</v>
      </c>
      <c r="D474" t="inlineStr">
        <is>
          <t>JÖNKÖPINGS LÄN</t>
        </is>
      </c>
      <c r="E474" t="inlineStr">
        <is>
          <t>VETLANDA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5121-2024</t>
        </is>
      </c>
      <c r="B475" s="1" t="n">
        <v>45330.43899305556</v>
      </c>
      <c r="C475" s="1" t="n">
        <v>46186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47370-2023</t>
        </is>
      </c>
      <c r="B476" s="1" t="n">
        <v>45202.60905092592</v>
      </c>
      <c r="C476" s="1" t="n">
        <v>46186</v>
      </c>
      <c r="D476" t="inlineStr">
        <is>
          <t>JÖNKÖPINGS LÄN</t>
        </is>
      </c>
      <c r="E476" t="inlineStr">
        <is>
          <t>VETLANDA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7186-2025</t>
        </is>
      </c>
      <c r="B477" s="1" t="n">
        <v>45702.43134259259</v>
      </c>
      <c r="C477" s="1" t="n">
        <v>46186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14749-2025</t>
        </is>
      </c>
      <c r="B478" s="1" t="n">
        <v>45742</v>
      </c>
      <c r="C478" s="1" t="n">
        <v>46186</v>
      </c>
      <c r="D478" t="inlineStr">
        <is>
          <t>JÖNKÖPINGS LÄN</t>
        </is>
      </c>
      <c r="E478" t="inlineStr">
        <is>
          <t>VETLANDA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11962-2024</t>
        </is>
      </c>
      <c r="B479" s="1" t="n">
        <v>45376.89543981481</v>
      </c>
      <c r="C479" s="1" t="n">
        <v>46186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9851-2024</t>
        </is>
      </c>
      <c r="B480" s="1" t="n">
        <v>45363</v>
      </c>
      <c r="C480" s="1" t="n">
        <v>46186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61449-2022</t>
        </is>
      </c>
      <c r="B481" s="1" t="n">
        <v>44916.40109953703</v>
      </c>
      <c r="C481" s="1" t="n">
        <v>46186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69263-2021</t>
        </is>
      </c>
      <c r="B482" s="1" t="n">
        <v>44531.43190972223</v>
      </c>
      <c r="C482" s="1" t="n">
        <v>46186</v>
      </c>
      <c r="D482" t="inlineStr">
        <is>
          <t>JÖNKÖPINGS LÄN</t>
        </is>
      </c>
      <c r="E482" t="inlineStr">
        <is>
          <t>VETLANDA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12742-2025</t>
        </is>
      </c>
      <c r="B483" s="1" t="n">
        <v>45733.54788194445</v>
      </c>
      <c r="C483" s="1" t="n">
        <v>46186</v>
      </c>
      <c r="D483" t="inlineStr">
        <is>
          <t>JÖNKÖPINGS LÄN</t>
        </is>
      </c>
      <c r="E483" t="inlineStr">
        <is>
          <t>VETLANDA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12748-2025</t>
        </is>
      </c>
      <c r="B484" s="1" t="n">
        <v>45733.55436342592</v>
      </c>
      <c r="C484" s="1" t="n">
        <v>46186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25580-2025</t>
        </is>
      </c>
      <c r="B485" s="1" t="n">
        <v>45803.47989583333</v>
      </c>
      <c r="C485" s="1" t="n">
        <v>46186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14941-2025</t>
        </is>
      </c>
      <c r="B486" s="1" t="n">
        <v>45743</v>
      </c>
      <c r="C486" s="1" t="n">
        <v>46186</v>
      </c>
      <c r="D486" t="inlineStr">
        <is>
          <t>JÖNKÖPINGS LÄN</t>
        </is>
      </c>
      <c r="E486" t="inlineStr">
        <is>
          <t>VETLANDA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21645-2024</t>
        </is>
      </c>
      <c r="B487" s="1" t="n">
        <v>45442</v>
      </c>
      <c r="C487" s="1" t="n">
        <v>46186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8220-2025</t>
        </is>
      </c>
      <c r="B488" s="1" t="n">
        <v>45708.456875</v>
      </c>
      <c r="C488" s="1" t="n">
        <v>46186</v>
      </c>
      <c r="D488" t="inlineStr">
        <is>
          <t>JÖNKÖPINGS LÄN</t>
        </is>
      </c>
      <c r="E488" t="inlineStr">
        <is>
          <t>VETLANDA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54052-2024</t>
        </is>
      </c>
      <c r="B489" s="1" t="n">
        <v>45616.46105324074</v>
      </c>
      <c r="C489" s="1" t="n">
        <v>46186</v>
      </c>
      <c r="D489" t="inlineStr">
        <is>
          <t>JÖNKÖPINGS LÄN</t>
        </is>
      </c>
      <c r="E489" t="inlineStr">
        <is>
          <t>VETLANDA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9484-2024</t>
        </is>
      </c>
      <c r="B490" s="1" t="n">
        <v>45359.58304398148</v>
      </c>
      <c r="C490" s="1" t="n">
        <v>46186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10423-2024</t>
        </is>
      </c>
      <c r="B491" s="1" t="n">
        <v>45365</v>
      </c>
      <c r="C491" s="1" t="n">
        <v>46186</v>
      </c>
      <c r="D491" t="inlineStr">
        <is>
          <t>JÖNKÖPINGS LÄN</t>
        </is>
      </c>
      <c r="E491" t="inlineStr">
        <is>
          <t>VETLANDA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17210-2024</t>
        </is>
      </c>
      <c r="B492" s="1" t="n">
        <v>45414.31138888889</v>
      </c>
      <c r="C492" s="1" t="n">
        <v>46186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29753-2023</t>
        </is>
      </c>
      <c r="B493" s="1" t="n">
        <v>45107</v>
      </c>
      <c r="C493" s="1" t="n">
        <v>46186</v>
      </c>
      <c r="D493" t="inlineStr">
        <is>
          <t>JÖNKÖPINGS LÄN</t>
        </is>
      </c>
      <c r="E493" t="inlineStr">
        <is>
          <t>VETLANDA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58570-2023</t>
        </is>
      </c>
      <c r="B494" s="1" t="n">
        <v>45251.44450231481</v>
      </c>
      <c r="C494" s="1" t="n">
        <v>46186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26067-2025</t>
        </is>
      </c>
      <c r="B495" s="1" t="n">
        <v>45805.30957175926</v>
      </c>
      <c r="C495" s="1" t="n">
        <v>46186</v>
      </c>
      <c r="D495" t="inlineStr">
        <is>
          <t>JÖNKÖPINGS LÄN</t>
        </is>
      </c>
      <c r="E495" t="inlineStr">
        <is>
          <t>VETLANDA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3425-2024</t>
        </is>
      </c>
      <c r="B496" s="1" t="n">
        <v>45319.901875</v>
      </c>
      <c r="C496" s="1" t="n">
        <v>46186</v>
      </c>
      <c r="D496" t="inlineStr">
        <is>
          <t>JÖNKÖPINGS LÄN</t>
        </is>
      </c>
      <c r="E496" t="inlineStr">
        <is>
          <t>VETLANDA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65277-2021</t>
        </is>
      </c>
      <c r="B497" s="1" t="n">
        <v>44515</v>
      </c>
      <c r="C497" s="1" t="n">
        <v>46186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9777-2023</t>
        </is>
      </c>
      <c r="B498" s="1" t="n">
        <v>44984.61239583333</v>
      </c>
      <c r="C498" s="1" t="n">
        <v>46186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54254-2023</t>
        </is>
      </c>
      <c r="B499" s="1" t="n">
        <v>45232</v>
      </c>
      <c r="C499" s="1" t="n">
        <v>46186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25216-2024</t>
        </is>
      </c>
      <c r="B500" s="1" t="n">
        <v>45462.58177083333</v>
      </c>
      <c r="C500" s="1" t="n">
        <v>46186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9667-2023</t>
        </is>
      </c>
      <c r="B501" s="1" t="n">
        <v>44984.40798611111</v>
      </c>
      <c r="C501" s="1" t="n">
        <v>46186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9677-2023</t>
        </is>
      </c>
      <c r="B502" s="1" t="n">
        <v>44984.43561342593</v>
      </c>
      <c r="C502" s="1" t="n">
        <v>46186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9037-2024</t>
        </is>
      </c>
      <c r="B503" s="1" t="n">
        <v>45357.63869212963</v>
      </c>
      <c r="C503" s="1" t="n">
        <v>46186</v>
      </c>
      <c r="D503" t="inlineStr">
        <is>
          <t>JÖNKÖPINGS LÄN</t>
        </is>
      </c>
      <c r="E503" t="inlineStr">
        <is>
          <t>VETLANDA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19065-2023</t>
        </is>
      </c>
      <c r="B504" s="1" t="n">
        <v>45048</v>
      </c>
      <c r="C504" s="1" t="n">
        <v>46186</v>
      </c>
      <c r="D504" t="inlineStr">
        <is>
          <t>JÖNKÖPINGS LÄN</t>
        </is>
      </c>
      <c r="E504" t="inlineStr">
        <is>
          <t>VETLANDA</t>
        </is>
      </c>
      <c r="G504" t="n">
        <v>15.7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40737-2022</t>
        </is>
      </c>
      <c r="B505" s="1" t="n">
        <v>44824</v>
      </c>
      <c r="C505" s="1" t="n">
        <v>46186</v>
      </c>
      <c r="D505" t="inlineStr">
        <is>
          <t>JÖNKÖPINGS LÄN</t>
        </is>
      </c>
      <c r="E505" t="inlineStr">
        <is>
          <t>VETLANDA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4502-2026</t>
        </is>
      </c>
      <c r="B506" s="1" t="n">
        <v>46045.74806712963</v>
      </c>
      <c r="C506" s="1" t="n">
        <v>46186</v>
      </c>
      <c r="D506" t="inlineStr">
        <is>
          <t>JÖNKÖPINGS LÄN</t>
        </is>
      </c>
      <c r="E506" t="inlineStr">
        <is>
          <t>VETLANDA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1951-2025</t>
        </is>
      </c>
      <c r="B507" s="1" t="n">
        <v>45672.34840277778</v>
      </c>
      <c r="C507" s="1" t="n">
        <v>46186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20046-2024</t>
        </is>
      </c>
      <c r="B508" s="1" t="n">
        <v>45434.37204861111</v>
      </c>
      <c r="C508" s="1" t="n">
        <v>46186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46309-2024</t>
        </is>
      </c>
      <c r="B509" s="1" t="n">
        <v>45581.72986111111</v>
      </c>
      <c r="C509" s="1" t="n">
        <v>46186</v>
      </c>
      <c r="D509" t="inlineStr">
        <is>
          <t>JÖNKÖPINGS LÄN</t>
        </is>
      </c>
      <c r="E509" t="inlineStr">
        <is>
          <t>VETLANDA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27050-2025</t>
        </is>
      </c>
      <c r="B510" s="1" t="n">
        <v>45811.6200925926</v>
      </c>
      <c r="C510" s="1" t="n">
        <v>46186</v>
      </c>
      <c r="D510" t="inlineStr">
        <is>
          <t>JÖNKÖPINGS LÄN</t>
        </is>
      </c>
      <c r="E510" t="inlineStr">
        <is>
          <t>VETLANDA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2919-2023</t>
        </is>
      </c>
      <c r="B511" s="1" t="n">
        <v>44945</v>
      </c>
      <c r="C511" s="1" t="n">
        <v>46186</v>
      </c>
      <c r="D511" t="inlineStr">
        <is>
          <t>JÖNKÖPINGS LÄN</t>
        </is>
      </c>
      <c r="E511" t="inlineStr">
        <is>
          <t>VETLANDA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4059-2026</t>
        </is>
      </c>
      <c r="B512" s="1" t="n">
        <v>46044.49039351852</v>
      </c>
      <c r="C512" s="1" t="n">
        <v>46186</v>
      </c>
      <c r="D512" t="inlineStr">
        <is>
          <t>JÖNKÖPINGS LÄN</t>
        </is>
      </c>
      <c r="E512" t="inlineStr">
        <is>
          <t>VETLANDA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4496-2026</t>
        </is>
      </c>
      <c r="B513" s="1" t="n">
        <v>46045.7400462963</v>
      </c>
      <c r="C513" s="1" t="n">
        <v>46186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13618-2023</t>
        </is>
      </c>
      <c r="B514" s="1" t="n">
        <v>45006.61266203703</v>
      </c>
      <c r="C514" s="1" t="n">
        <v>46186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4643-2026</t>
        </is>
      </c>
      <c r="B515" s="1" t="n">
        <v>46048.40107638889</v>
      </c>
      <c r="C515" s="1" t="n">
        <v>46186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53786-2024</t>
        </is>
      </c>
      <c r="B516" s="1" t="n">
        <v>45615.56674768519</v>
      </c>
      <c r="C516" s="1" t="n">
        <v>46186</v>
      </c>
      <c r="D516" t="inlineStr">
        <is>
          <t>JÖNKÖPINGS LÄN</t>
        </is>
      </c>
      <c r="E516" t="inlineStr">
        <is>
          <t>VETLANDA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31412-2024</t>
        </is>
      </c>
      <c r="B517" s="1" t="n">
        <v>45505</v>
      </c>
      <c r="C517" s="1" t="n">
        <v>46186</v>
      </c>
      <c r="D517" t="inlineStr">
        <is>
          <t>JÖNKÖPINGS LÄN</t>
        </is>
      </c>
      <c r="E517" t="inlineStr">
        <is>
          <t>VETLANDA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22075-2023</t>
        </is>
      </c>
      <c r="B518" s="1" t="n">
        <v>45069</v>
      </c>
      <c r="C518" s="1" t="n">
        <v>46186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4935-2026</t>
        </is>
      </c>
      <c r="B519" s="1" t="n">
        <v>46048.88774305556</v>
      </c>
      <c r="C519" s="1" t="n">
        <v>46186</v>
      </c>
      <c r="D519" t="inlineStr">
        <is>
          <t>JÖNKÖPINGS LÄN</t>
        </is>
      </c>
      <c r="E519" t="inlineStr">
        <is>
          <t>VETLANDA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4735-2026</t>
        </is>
      </c>
      <c r="B520" s="1" t="n">
        <v>46048.4884837963</v>
      </c>
      <c r="C520" s="1" t="n">
        <v>46186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29480-2024</t>
        </is>
      </c>
      <c r="B521" s="1" t="n">
        <v>45484.32416666667</v>
      </c>
      <c r="C521" s="1" t="n">
        <v>46186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4736-2026</t>
        </is>
      </c>
      <c r="B522" s="1" t="n">
        <v>46048.48978009259</v>
      </c>
      <c r="C522" s="1" t="n">
        <v>46186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4987-2026</t>
        </is>
      </c>
      <c r="B523" s="1" t="n">
        <v>46049.38795138889</v>
      </c>
      <c r="C523" s="1" t="n">
        <v>46186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4934-2026</t>
        </is>
      </c>
      <c r="B524" s="1" t="n">
        <v>46048.8853125</v>
      </c>
      <c r="C524" s="1" t="n">
        <v>46186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15049-2023</t>
        </is>
      </c>
      <c r="B525" s="1" t="n">
        <v>45015.67048611111</v>
      </c>
      <c r="C525" s="1" t="n">
        <v>46186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2310-2024</t>
        </is>
      </c>
      <c r="B526" s="1" t="n">
        <v>45310</v>
      </c>
      <c r="C526" s="1" t="n">
        <v>46186</v>
      </c>
      <c r="D526" t="inlineStr">
        <is>
          <t>JÖNKÖPINGS LÄN</t>
        </is>
      </c>
      <c r="E526" t="inlineStr">
        <is>
          <t>VETLANDA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8222-2024</t>
        </is>
      </c>
      <c r="B527" s="1" t="n">
        <v>45351.87196759259</v>
      </c>
      <c r="C527" s="1" t="n">
        <v>46186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40459-2023</t>
        </is>
      </c>
      <c r="B528" s="1" t="n">
        <v>45170.33331018518</v>
      </c>
      <c r="C528" s="1" t="n">
        <v>46186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24905-2022</t>
        </is>
      </c>
      <c r="B529" s="1" t="n">
        <v>44728.60741898148</v>
      </c>
      <c r="C529" s="1" t="n">
        <v>46186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27430-2023</t>
        </is>
      </c>
      <c r="B530" s="1" t="n">
        <v>45097</v>
      </c>
      <c r="C530" s="1" t="n">
        <v>46186</v>
      </c>
      <c r="D530" t="inlineStr">
        <is>
          <t>JÖNKÖPINGS LÄN</t>
        </is>
      </c>
      <c r="E530" t="inlineStr">
        <is>
          <t>VETLANDA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4061-2025</t>
        </is>
      </c>
      <c r="B531" s="1" t="n">
        <v>45684.62931712963</v>
      </c>
      <c r="C531" s="1" t="n">
        <v>46186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5143-2024</t>
        </is>
      </c>
      <c r="B532" s="1" t="n">
        <v>45330</v>
      </c>
      <c r="C532" s="1" t="n">
        <v>46186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3548-2023</t>
        </is>
      </c>
      <c r="B533" s="1" t="n">
        <v>44946</v>
      </c>
      <c r="C533" s="1" t="n">
        <v>46186</v>
      </c>
      <c r="D533" t="inlineStr">
        <is>
          <t>JÖNKÖPINGS LÄN</t>
        </is>
      </c>
      <c r="E533" t="inlineStr">
        <is>
          <t>VETLANDA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6269-2026</t>
        </is>
      </c>
      <c r="B534" s="1" t="n">
        <v>46055.49371527778</v>
      </c>
      <c r="C534" s="1" t="n">
        <v>46186</v>
      </c>
      <c r="D534" t="inlineStr">
        <is>
          <t>JÖNKÖPINGS LÄN</t>
        </is>
      </c>
      <c r="E534" t="inlineStr">
        <is>
          <t>VETLANDA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40474-2023</t>
        </is>
      </c>
      <c r="B535" s="1" t="n">
        <v>45170</v>
      </c>
      <c r="C535" s="1" t="n">
        <v>46186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29810-2023</t>
        </is>
      </c>
      <c r="B536" s="1" t="n">
        <v>45107.55028935185</v>
      </c>
      <c r="C536" s="1" t="n">
        <v>46186</v>
      </c>
      <c r="D536" t="inlineStr">
        <is>
          <t>JÖNKÖPINGS LÄN</t>
        </is>
      </c>
      <c r="E536" t="inlineStr">
        <is>
          <t>VETLANDA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27322-2025</t>
        </is>
      </c>
      <c r="B537" s="1" t="n">
        <v>45812.59789351852</v>
      </c>
      <c r="C537" s="1" t="n">
        <v>46186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28126-2023</t>
        </is>
      </c>
      <c r="B538" s="1" t="n">
        <v>45099</v>
      </c>
      <c r="C538" s="1" t="n">
        <v>46186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27790-2025</t>
        </is>
      </c>
      <c r="B539" s="1" t="n">
        <v>45816.70986111111</v>
      </c>
      <c r="C539" s="1" t="n">
        <v>46186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33779-2023</t>
        </is>
      </c>
      <c r="B540" s="1" t="n">
        <v>45133</v>
      </c>
      <c r="C540" s="1" t="n">
        <v>46186</v>
      </c>
      <c r="D540" t="inlineStr">
        <is>
          <t>JÖNKÖPINGS LÄN</t>
        </is>
      </c>
      <c r="E540" t="inlineStr">
        <is>
          <t>VETLANDA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28590-2025</t>
        </is>
      </c>
      <c r="B541" s="1" t="n">
        <v>45819.58771990741</v>
      </c>
      <c r="C541" s="1" t="n">
        <v>46186</v>
      </c>
      <c r="D541" t="inlineStr">
        <is>
          <t>JÖNKÖPINGS LÄN</t>
        </is>
      </c>
      <c r="E541" t="inlineStr">
        <is>
          <t>VETLANDA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50740-2021</t>
        </is>
      </c>
      <c r="B542" s="1" t="n">
        <v>44460.39493055556</v>
      </c>
      <c r="C542" s="1" t="n">
        <v>46186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8623-2024</t>
        </is>
      </c>
      <c r="B543" s="1" t="n">
        <v>45352</v>
      </c>
      <c r="C543" s="1" t="n">
        <v>46186</v>
      </c>
      <c r="D543" t="inlineStr">
        <is>
          <t>JÖNKÖPINGS LÄN</t>
        </is>
      </c>
      <c r="E543" t="inlineStr">
        <is>
          <t>VETLANDA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23540-2025</t>
        </is>
      </c>
      <c r="B544" s="1" t="n">
        <v>45792.55229166667</v>
      </c>
      <c r="C544" s="1" t="n">
        <v>46186</v>
      </c>
      <c r="D544" t="inlineStr">
        <is>
          <t>JÖNKÖPINGS LÄN</t>
        </is>
      </c>
      <c r="E544" t="inlineStr">
        <is>
          <t>VETLANDA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28631-2025</t>
        </is>
      </c>
      <c r="B545" s="1" t="n">
        <v>45819.62290509259</v>
      </c>
      <c r="C545" s="1" t="n">
        <v>46186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28634-2025</t>
        </is>
      </c>
      <c r="B546" s="1" t="n">
        <v>45819.63070601852</v>
      </c>
      <c r="C546" s="1" t="n">
        <v>46186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28534-2025</t>
        </is>
      </c>
      <c r="B547" s="1" t="n">
        <v>45819.50528935185</v>
      </c>
      <c r="C547" s="1" t="n">
        <v>46186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28094-2025</t>
        </is>
      </c>
      <c r="B548" s="1" t="n">
        <v>45817.79064814815</v>
      </c>
      <c r="C548" s="1" t="n">
        <v>46186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43608-2022</t>
        </is>
      </c>
      <c r="B549" s="1" t="n">
        <v>44837.49905092592</v>
      </c>
      <c r="C549" s="1" t="n">
        <v>46186</v>
      </c>
      <c r="D549" t="inlineStr">
        <is>
          <t>JÖNKÖPINGS LÄN</t>
        </is>
      </c>
      <c r="E549" t="inlineStr">
        <is>
          <t>VETLANDA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28747-2025</t>
        </is>
      </c>
      <c r="B550" s="1" t="n">
        <v>45820.39466435185</v>
      </c>
      <c r="C550" s="1" t="n">
        <v>46186</v>
      </c>
      <c r="D550" t="inlineStr">
        <is>
          <t>JÖNKÖPINGS LÄN</t>
        </is>
      </c>
      <c r="E550" t="inlineStr">
        <is>
          <t>VETLANDA</t>
        </is>
      </c>
      <c r="F550" t="inlineStr">
        <is>
          <t>Övriga Aktiebolag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8204-2024</t>
        </is>
      </c>
      <c r="B551" s="1" t="n">
        <v>45351.71743055555</v>
      </c>
      <c r="C551" s="1" t="n">
        <v>46186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44070-2021</t>
        </is>
      </c>
      <c r="B552" s="1" t="n">
        <v>44434.58464120371</v>
      </c>
      <c r="C552" s="1" t="n">
        <v>46186</v>
      </c>
      <c r="D552" t="inlineStr">
        <is>
          <t>JÖNKÖPINGS LÄN</t>
        </is>
      </c>
      <c r="E552" t="inlineStr">
        <is>
          <t>VETLANDA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7607-2026</t>
        </is>
      </c>
      <c r="B553" s="1" t="n">
        <v>46062.3044212963</v>
      </c>
      <c r="C553" s="1" t="n">
        <v>46186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8106-2026</t>
        </is>
      </c>
      <c r="B554" s="1" t="n">
        <v>46063.7453587963</v>
      </c>
      <c r="C554" s="1" t="n">
        <v>46186</v>
      </c>
      <c r="D554" t="inlineStr">
        <is>
          <t>JÖNKÖPINGS LÄN</t>
        </is>
      </c>
      <c r="E554" t="inlineStr">
        <is>
          <t>VETLANDA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7811-2026</t>
        </is>
      </c>
      <c r="B555" s="1" t="n">
        <v>46062.61298611111</v>
      </c>
      <c r="C555" s="1" t="n">
        <v>46186</v>
      </c>
      <c r="D555" t="inlineStr">
        <is>
          <t>JÖNKÖPINGS LÄN</t>
        </is>
      </c>
      <c r="E555" t="inlineStr">
        <is>
          <t>VETLANDA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8094-2026</t>
        </is>
      </c>
      <c r="B556" s="1" t="n">
        <v>46063.71168981482</v>
      </c>
      <c r="C556" s="1" t="n">
        <v>46186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8097-2026</t>
        </is>
      </c>
      <c r="B557" s="1" t="n">
        <v>46063.71476851852</v>
      </c>
      <c r="C557" s="1" t="n">
        <v>46186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8089-2026</t>
        </is>
      </c>
      <c r="B558" s="1" t="n">
        <v>46063.70391203704</v>
      </c>
      <c r="C558" s="1" t="n">
        <v>46186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44112-2021</t>
        </is>
      </c>
      <c r="B559" s="1" t="n">
        <v>44434</v>
      </c>
      <c r="C559" s="1" t="n">
        <v>46186</v>
      </c>
      <c r="D559" t="inlineStr">
        <is>
          <t>JÖNKÖPINGS LÄN</t>
        </is>
      </c>
      <c r="E559" t="inlineStr">
        <is>
          <t>VETLANDA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57584-2021</t>
        </is>
      </c>
      <c r="B560" s="1" t="n">
        <v>44484.32797453704</v>
      </c>
      <c r="C560" s="1" t="n">
        <v>46186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2368-2025</t>
        </is>
      </c>
      <c r="B561" s="1" t="n">
        <v>45673.74596064815</v>
      </c>
      <c r="C561" s="1" t="n">
        <v>46186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8197-2026</t>
        </is>
      </c>
      <c r="B562" s="1" t="n">
        <v>46064.43875</v>
      </c>
      <c r="C562" s="1" t="n">
        <v>46186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16038-2025</t>
        </is>
      </c>
      <c r="B563" s="1" t="n">
        <v>45748</v>
      </c>
      <c r="C563" s="1" t="n">
        <v>46186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16039-2025</t>
        </is>
      </c>
      <c r="B564" s="1" t="n">
        <v>45748</v>
      </c>
      <c r="C564" s="1" t="n">
        <v>46186</v>
      </c>
      <c r="D564" t="inlineStr">
        <is>
          <t>JÖNKÖPINGS LÄN</t>
        </is>
      </c>
      <c r="E564" t="inlineStr">
        <is>
          <t>VETLANDA</t>
        </is>
      </c>
      <c r="F564" t="inlineStr">
        <is>
          <t>Kyrkan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6377-2023</t>
        </is>
      </c>
      <c r="B565" s="1" t="n">
        <v>44965.62542824074</v>
      </c>
      <c r="C565" s="1" t="n">
        <v>46186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9124-2026</t>
        </is>
      </c>
      <c r="B566" s="1" t="n">
        <v>46069.68664351852</v>
      </c>
      <c r="C566" s="1" t="n">
        <v>46186</v>
      </c>
      <c r="D566" t="inlineStr">
        <is>
          <t>JÖNKÖPINGS LÄN</t>
        </is>
      </c>
      <c r="E566" t="inlineStr">
        <is>
          <t>VETLANDA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7830-2023</t>
        </is>
      </c>
      <c r="B567" s="1" t="n">
        <v>44970</v>
      </c>
      <c r="C567" s="1" t="n">
        <v>46186</v>
      </c>
      <c r="D567" t="inlineStr">
        <is>
          <t>JÖNKÖPINGS LÄN</t>
        </is>
      </c>
      <c r="E567" t="inlineStr">
        <is>
          <t>VETLANDA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33764-2023</t>
        </is>
      </c>
      <c r="B568" s="1" t="n">
        <v>45133</v>
      </c>
      <c r="C568" s="1" t="n">
        <v>46186</v>
      </c>
      <c r="D568" t="inlineStr">
        <is>
          <t>JÖNKÖPINGS LÄN</t>
        </is>
      </c>
      <c r="E568" t="inlineStr">
        <is>
          <t>VETLANDA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8946-2024</t>
        </is>
      </c>
      <c r="B569" s="1" t="n">
        <v>45357.44114583333</v>
      </c>
      <c r="C569" s="1" t="n">
        <v>46186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9551-2026</t>
        </is>
      </c>
      <c r="B570" s="1" t="n">
        <v>46071</v>
      </c>
      <c r="C570" s="1" t="n">
        <v>46186</v>
      </c>
      <c r="D570" t="inlineStr">
        <is>
          <t>JÖNKÖPINGS LÄN</t>
        </is>
      </c>
      <c r="E570" t="inlineStr">
        <is>
          <t>VETLANDA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53927-2023</t>
        </is>
      </c>
      <c r="B571" s="1" t="n">
        <v>45231.57694444444</v>
      </c>
      <c r="C571" s="1" t="n">
        <v>46186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72411-2021</t>
        </is>
      </c>
      <c r="B572" s="1" t="n">
        <v>44545.62172453704</v>
      </c>
      <c r="C572" s="1" t="n">
        <v>46186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3625-2025</t>
        </is>
      </c>
      <c r="B573" s="1" t="n">
        <v>45681.37099537037</v>
      </c>
      <c r="C573" s="1" t="n">
        <v>46186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36440-2023</t>
        </is>
      </c>
      <c r="B574" s="1" t="n">
        <v>45152</v>
      </c>
      <c r="C574" s="1" t="n">
        <v>46186</v>
      </c>
      <c r="D574" t="inlineStr">
        <is>
          <t>JÖNKÖPINGS LÄN</t>
        </is>
      </c>
      <c r="E574" t="inlineStr">
        <is>
          <t>VETLANDA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62721-2021</t>
        </is>
      </c>
      <c r="B575" s="1" t="n">
        <v>44503</v>
      </c>
      <c r="C575" s="1" t="n">
        <v>46186</v>
      </c>
      <c r="D575" t="inlineStr">
        <is>
          <t>JÖNKÖPINGS LÄN</t>
        </is>
      </c>
      <c r="E575" t="inlineStr">
        <is>
          <t>VETLANDA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10565-2026</t>
        </is>
      </c>
      <c r="B576" s="1" t="n">
        <v>46077.64454861111</v>
      </c>
      <c r="C576" s="1" t="n">
        <v>46186</v>
      </c>
      <c r="D576" t="inlineStr">
        <is>
          <t>JÖNKÖPINGS LÄN</t>
        </is>
      </c>
      <c r="E576" t="inlineStr">
        <is>
          <t>VETLANDA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53474-2023</t>
        </is>
      </c>
      <c r="B577" s="1" t="n">
        <v>45230.33274305556</v>
      </c>
      <c r="C577" s="1" t="n">
        <v>46186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10544-2026</t>
        </is>
      </c>
      <c r="B578" s="1" t="n">
        <v>46077.60984953704</v>
      </c>
      <c r="C578" s="1" t="n">
        <v>46186</v>
      </c>
      <c r="D578" t="inlineStr">
        <is>
          <t>JÖNKÖPINGS LÄN</t>
        </is>
      </c>
      <c r="E578" t="inlineStr">
        <is>
          <t>VETLANDA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56547-2021</t>
        </is>
      </c>
      <c r="B579" s="1" t="n">
        <v>44480.61528935185</v>
      </c>
      <c r="C579" s="1" t="n">
        <v>46186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27119-2022</t>
        </is>
      </c>
      <c r="B580" s="1" t="n">
        <v>44741.47328703704</v>
      </c>
      <c r="C580" s="1" t="n">
        <v>46186</v>
      </c>
      <c r="D580" t="inlineStr">
        <is>
          <t>JÖNKÖPINGS LÄN</t>
        </is>
      </c>
      <c r="E580" t="inlineStr">
        <is>
          <t>VETLANDA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62860-2023</t>
        </is>
      </c>
      <c r="B581" s="1" t="n">
        <v>45272</v>
      </c>
      <c r="C581" s="1" t="n">
        <v>46186</v>
      </c>
      <c r="D581" t="inlineStr">
        <is>
          <t>JÖNKÖPINGS LÄN</t>
        </is>
      </c>
      <c r="E581" t="inlineStr">
        <is>
          <t>VETLANDA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24673-2023</t>
        </is>
      </c>
      <c r="B582" s="1" t="n">
        <v>45084.49469907407</v>
      </c>
      <c r="C582" s="1" t="n">
        <v>46186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6340-2022</t>
        </is>
      </c>
      <c r="B583" s="1" t="n">
        <v>44600.5731712963</v>
      </c>
      <c r="C583" s="1" t="n">
        <v>46186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5349-2024</t>
        </is>
      </c>
      <c r="B584" s="1" t="n">
        <v>45331.45001157407</v>
      </c>
      <c r="C584" s="1" t="n">
        <v>46186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5365-2024</t>
        </is>
      </c>
      <c r="B585" s="1" t="n">
        <v>45331.47140046296</v>
      </c>
      <c r="C585" s="1" t="n">
        <v>46186</v>
      </c>
      <c r="D585" t="inlineStr">
        <is>
          <t>JÖNKÖPINGS LÄN</t>
        </is>
      </c>
      <c r="E585" t="inlineStr">
        <is>
          <t>VETLANDA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53324-2023</t>
        </is>
      </c>
      <c r="B586" s="1" t="n">
        <v>45222</v>
      </c>
      <c r="C586" s="1" t="n">
        <v>46186</v>
      </c>
      <c r="D586" t="inlineStr">
        <is>
          <t>JÖNKÖPINGS LÄN</t>
        </is>
      </c>
      <c r="E586" t="inlineStr">
        <is>
          <t>VETLANDA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7824-2023</t>
        </is>
      </c>
      <c r="B587" s="1" t="n">
        <v>44970</v>
      </c>
      <c r="C587" s="1" t="n">
        <v>46186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1838-2025</t>
        </is>
      </c>
      <c r="B588" s="1" t="n">
        <v>45671.56422453704</v>
      </c>
      <c r="C588" s="1" t="n">
        <v>46186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20409-2024</t>
        </is>
      </c>
      <c r="B589" s="1" t="n">
        <v>45435</v>
      </c>
      <c r="C589" s="1" t="n">
        <v>46186</v>
      </c>
      <c r="D589" t="inlineStr">
        <is>
          <t>JÖNKÖPINGS LÄN</t>
        </is>
      </c>
      <c r="E589" t="inlineStr">
        <is>
          <t>VETLANDA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53472-2023</t>
        </is>
      </c>
      <c r="B590" s="1" t="n">
        <v>45230.33119212963</v>
      </c>
      <c r="C590" s="1" t="n">
        <v>46186</v>
      </c>
      <c r="D590" t="inlineStr">
        <is>
          <t>JÖNKÖPINGS LÄN</t>
        </is>
      </c>
      <c r="E590" t="inlineStr">
        <is>
          <t>VETLANDA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47888-2023</t>
        </is>
      </c>
      <c r="B591" s="1" t="n">
        <v>45204.48375</v>
      </c>
      <c r="C591" s="1" t="n">
        <v>46186</v>
      </c>
      <c r="D591" t="inlineStr">
        <is>
          <t>JÖNKÖPINGS LÄN</t>
        </is>
      </c>
      <c r="E591" t="inlineStr">
        <is>
          <t>VETLANDA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23858-2024</t>
        </is>
      </c>
      <c r="B592" s="1" t="n">
        <v>45455</v>
      </c>
      <c r="C592" s="1" t="n">
        <v>46186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31983-2025</t>
        </is>
      </c>
      <c r="B593" s="1" t="n">
        <v>45835.36065972222</v>
      </c>
      <c r="C593" s="1" t="n">
        <v>46186</v>
      </c>
      <c r="D593" t="inlineStr">
        <is>
          <t>JÖNKÖPINGS LÄN</t>
        </is>
      </c>
      <c r="E593" t="inlineStr">
        <is>
          <t>VETLANDA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41876-2024</t>
        </is>
      </c>
      <c r="B594" s="1" t="n">
        <v>45561</v>
      </c>
      <c r="C594" s="1" t="n">
        <v>46186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11659-2026</t>
        </is>
      </c>
      <c r="B595" s="1" t="n">
        <v>46084.5428587963</v>
      </c>
      <c r="C595" s="1" t="n">
        <v>46186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11669-2026</t>
        </is>
      </c>
      <c r="B596" s="1" t="n">
        <v>46084.55666666666</v>
      </c>
      <c r="C596" s="1" t="n">
        <v>46186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64851-2023</t>
        </is>
      </c>
      <c r="B597" s="1" t="n">
        <v>45282</v>
      </c>
      <c r="C597" s="1" t="n">
        <v>46186</v>
      </c>
      <c r="D597" t="inlineStr">
        <is>
          <t>JÖNKÖPINGS LÄN</t>
        </is>
      </c>
      <c r="E597" t="inlineStr">
        <is>
          <t>VETLANDA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13786-2025</t>
        </is>
      </c>
      <c r="B598" s="1" t="n">
        <v>45737.45231481481</v>
      </c>
      <c r="C598" s="1" t="n">
        <v>46186</v>
      </c>
      <c r="D598" t="inlineStr">
        <is>
          <t>JÖNKÖPINGS LÄN</t>
        </is>
      </c>
      <c r="E598" t="inlineStr">
        <is>
          <t>VETLANDA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57090-2023</t>
        </is>
      </c>
      <c r="B599" s="1" t="n">
        <v>45245.29518518518</v>
      </c>
      <c r="C599" s="1" t="n">
        <v>46186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32782-2025</t>
        </is>
      </c>
      <c r="B600" s="1" t="n">
        <v>45839.47649305555</v>
      </c>
      <c r="C600" s="1" t="n">
        <v>46186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11662-2026</t>
        </is>
      </c>
      <c r="B601" s="1" t="n">
        <v>46084.54674768518</v>
      </c>
      <c r="C601" s="1" t="n">
        <v>46186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32422-2025</t>
        </is>
      </c>
      <c r="B602" s="1" t="n">
        <v>45838.35412037037</v>
      </c>
      <c r="C602" s="1" t="n">
        <v>46186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32840-2025</t>
        </is>
      </c>
      <c r="B603" s="1" t="n">
        <v>45839.5653587963</v>
      </c>
      <c r="C603" s="1" t="n">
        <v>46186</v>
      </c>
      <c r="D603" t="inlineStr">
        <is>
          <t>JÖNKÖPINGS LÄN</t>
        </is>
      </c>
      <c r="E603" t="inlineStr">
        <is>
          <t>VETLANDA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57794-2024</t>
        </is>
      </c>
      <c r="B604" s="1" t="n">
        <v>45631.34063657407</v>
      </c>
      <c r="C604" s="1" t="n">
        <v>46186</v>
      </c>
      <c r="D604" t="inlineStr">
        <is>
          <t>JÖNKÖPINGS LÄN</t>
        </is>
      </c>
      <c r="E604" t="inlineStr">
        <is>
          <t>VETLANDA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58057-2023</t>
        </is>
      </c>
      <c r="B605" s="1" t="n">
        <v>45247</v>
      </c>
      <c r="C605" s="1" t="n">
        <v>46186</v>
      </c>
      <c r="D605" t="inlineStr">
        <is>
          <t>JÖNKÖPINGS LÄN</t>
        </is>
      </c>
      <c r="E605" t="inlineStr">
        <is>
          <t>VETLANDA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32468-2025</t>
        </is>
      </c>
      <c r="B606" s="1" t="n">
        <v>45838.42418981482</v>
      </c>
      <c r="C606" s="1" t="n">
        <v>46186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32804-2025</t>
        </is>
      </c>
      <c r="B607" s="1" t="n">
        <v>45839.49872685185</v>
      </c>
      <c r="C607" s="1" t="n">
        <v>46186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32481-2025</t>
        </is>
      </c>
      <c r="B608" s="1" t="n">
        <v>45838.43332175926</v>
      </c>
      <c r="C608" s="1" t="n">
        <v>46186</v>
      </c>
      <c r="D608" t="inlineStr">
        <is>
          <t>JÖNKÖPINGS LÄN</t>
        </is>
      </c>
      <c r="E608" t="inlineStr">
        <is>
          <t>VETLANDA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33257-2025</t>
        </is>
      </c>
      <c r="B609" s="1" t="n">
        <v>45840.67126157408</v>
      </c>
      <c r="C609" s="1" t="n">
        <v>46186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60384-2023</t>
        </is>
      </c>
      <c r="B610" s="1" t="n">
        <v>45259.42446759259</v>
      </c>
      <c r="C610" s="1" t="n">
        <v>46186</v>
      </c>
      <c r="D610" t="inlineStr">
        <is>
          <t>JÖNKÖPINGS LÄN</t>
        </is>
      </c>
      <c r="E610" t="inlineStr">
        <is>
          <t>VETLANDA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33268-2025</t>
        </is>
      </c>
      <c r="B611" s="1" t="n">
        <v>45840.6791087963</v>
      </c>
      <c r="C611" s="1" t="n">
        <v>46186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34120-2025</t>
        </is>
      </c>
      <c r="B612" s="1" t="n">
        <v>45845.51800925926</v>
      </c>
      <c r="C612" s="1" t="n">
        <v>46186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39200-2024</t>
        </is>
      </c>
      <c r="B613" s="1" t="n">
        <v>45548</v>
      </c>
      <c r="C613" s="1" t="n">
        <v>46186</v>
      </c>
      <c r="D613" t="inlineStr">
        <is>
          <t>JÖNKÖPINGS LÄN</t>
        </is>
      </c>
      <c r="E613" t="inlineStr">
        <is>
          <t>VETLANDA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12100-2025</t>
        </is>
      </c>
      <c r="B614" s="1" t="n">
        <v>45729.334375</v>
      </c>
      <c r="C614" s="1" t="n">
        <v>46186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15830-2025</t>
        </is>
      </c>
      <c r="B615" s="1" t="n">
        <v>45748</v>
      </c>
      <c r="C615" s="1" t="n">
        <v>46186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15492-2025</t>
        </is>
      </c>
      <c r="B616" s="1" t="n">
        <v>45747.57667824074</v>
      </c>
      <c r="C616" s="1" t="n">
        <v>46186</v>
      </c>
      <c r="D616" t="inlineStr">
        <is>
          <t>JÖNKÖPINGS LÄN</t>
        </is>
      </c>
      <c r="E616" t="inlineStr">
        <is>
          <t>VETLANDA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12267-2026</t>
        </is>
      </c>
      <c r="B617" s="1" t="n">
        <v>46087.50570601852</v>
      </c>
      <c r="C617" s="1" t="n">
        <v>46186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56407-2024</t>
        </is>
      </c>
      <c r="B618" s="1" t="n">
        <v>45625</v>
      </c>
      <c r="C618" s="1" t="n">
        <v>46186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9485-2025</t>
        </is>
      </c>
      <c r="B619" s="1" t="n">
        <v>45715.48833333333</v>
      </c>
      <c r="C619" s="1" t="n">
        <v>46186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9484-2025</t>
        </is>
      </c>
      <c r="B620" s="1" t="n">
        <v>45715.48729166666</v>
      </c>
      <c r="C620" s="1" t="n">
        <v>46186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43406-2022</t>
        </is>
      </c>
      <c r="B621" s="1" t="n">
        <v>44834.77262731481</v>
      </c>
      <c r="C621" s="1" t="n">
        <v>46186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10938-2024</t>
        </is>
      </c>
      <c r="B622" s="1" t="n">
        <v>45370</v>
      </c>
      <c r="C622" s="1" t="n">
        <v>46186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34571-2025</t>
        </is>
      </c>
      <c r="B623" s="1" t="n">
        <v>45847.59070601852</v>
      </c>
      <c r="C623" s="1" t="n">
        <v>46186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3906-2024</t>
        </is>
      </c>
      <c r="B624" s="1" t="n">
        <v>45322.49210648148</v>
      </c>
      <c r="C624" s="1" t="n">
        <v>46186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12655-2026</t>
        </is>
      </c>
      <c r="B625" s="1" t="n">
        <v>46091</v>
      </c>
      <c r="C625" s="1" t="n">
        <v>46186</v>
      </c>
      <c r="D625" t="inlineStr">
        <is>
          <t>JÖNKÖPINGS LÄN</t>
        </is>
      </c>
      <c r="E625" t="inlineStr">
        <is>
          <t>VETLANDA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17374-2023</t>
        </is>
      </c>
      <c r="B626" s="1" t="n">
        <v>45035</v>
      </c>
      <c r="C626" s="1" t="n">
        <v>46186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12791-2026</t>
        </is>
      </c>
      <c r="B627" s="1" t="n">
        <v>46092.32650462963</v>
      </c>
      <c r="C627" s="1" t="n">
        <v>46186</v>
      </c>
      <c r="D627" t="inlineStr">
        <is>
          <t>JÖNKÖPINGS LÄN</t>
        </is>
      </c>
      <c r="E627" t="inlineStr">
        <is>
          <t>VETLANDA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61285-2024</t>
        </is>
      </c>
      <c r="B628" s="1" t="n">
        <v>45645.80195601852</v>
      </c>
      <c r="C628" s="1" t="n">
        <v>46186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61293-2024</t>
        </is>
      </c>
      <c r="B629" s="1" t="n">
        <v>45645.82511574074</v>
      </c>
      <c r="C629" s="1" t="n">
        <v>46186</v>
      </c>
      <c r="D629" t="inlineStr">
        <is>
          <t>JÖNKÖPINGS LÄN</t>
        </is>
      </c>
      <c r="E629" t="inlineStr">
        <is>
          <t>VETLANDA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12792-2026</t>
        </is>
      </c>
      <c r="B630" s="1" t="n">
        <v>46092.328125</v>
      </c>
      <c r="C630" s="1" t="n">
        <v>46186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23379-2023</t>
        </is>
      </c>
      <c r="B631" s="1" t="n">
        <v>45076</v>
      </c>
      <c r="C631" s="1" t="n">
        <v>46186</v>
      </c>
      <c r="D631" t="inlineStr">
        <is>
          <t>JÖNKÖPINGS LÄN</t>
        </is>
      </c>
      <c r="E631" t="inlineStr">
        <is>
          <t>VETLANDA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13635-2023</t>
        </is>
      </c>
      <c r="B632" s="1" t="n">
        <v>45006.63824074074</v>
      </c>
      <c r="C632" s="1" t="n">
        <v>46186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2672-2022</t>
        </is>
      </c>
      <c r="B633" s="1" t="n">
        <v>44580.57619212963</v>
      </c>
      <c r="C633" s="1" t="n">
        <v>46186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25555-2023</t>
        </is>
      </c>
      <c r="B634" s="1" t="n">
        <v>45089.59394675926</v>
      </c>
      <c r="C634" s="1" t="n">
        <v>46186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52173-2024</t>
        </is>
      </c>
      <c r="B635" s="1" t="n">
        <v>45608.54987268519</v>
      </c>
      <c r="C635" s="1" t="n">
        <v>46186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50695-2021</t>
        </is>
      </c>
      <c r="B636" s="1" t="n">
        <v>44459</v>
      </c>
      <c r="C636" s="1" t="n">
        <v>46186</v>
      </c>
      <c r="D636" t="inlineStr">
        <is>
          <t>JÖNKÖPINGS LÄN</t>
        </is>
      </c>
      <c r="E636" t="inlineStr">
        <is>
          <t>VETLANDA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53736-2024</t>
        </is>
      </c>
      <c r="B637" s="1" t="n">
        <v>45615.46576388889</v>
      </c>
      <c r="C637" s="1" t="n">
        <v>46186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36768-2024</t>
        </is>
      </c>
      <c r="B638" s="1" t="n">
        <v>45538.37537037037</v>
      </c>
      <c r="C638" s="1" t="n">
        <v>46186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61806-2025</t>
        </is>
      </c>
      <c r="B639" s="1" t="n">
        <v>46002</v>
      </c>
      <c r="C639" s="1" t="n">
        <v>46186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482-2024</t>
        </is>
      </c>
      <c r="B640" s="1" t="n">
        <v>45298</v>
      </c>
      <c r="C640" s="1" t="n">
        <v>46186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13683-2026</t>
        </is>
      </c>
      <c r="B641" s="1" t="n">
        <v>46097.52116898148</v>
      </c>
      <c r="C641" s="1" t="n">
        <v>46186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11524-2024</t>
        </is>
      </c>
      <c r="B642" s="1" t="n">
        <v>45372.87263888889</v>
      </c>
      <c r="C642" s="1" t="n">
        <v>46186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23375-2023</t>
        </is>
      </c>
      <c r="B643" s="1" t="n">
        <v>45076.44001157407</v>
      </c>
      <c r="C643" s="1" t="n">
        <v>46186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13885-2026</t>
        </is>
      </c>
      <c r="B644" s="1" t="n">
        <v>46098.45064814815</v>
      </c>
      <c r="C644" s="1" t="n">
        <v>46186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54508-2021</t>
        </is>
      </c>
      <c r="B645" s="1" t="n">
        <v>44473.51526620371</v>
      </c>
      <c r="C645" s="1" t="n">
        <v>46186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40615-2023</t>
        </is>
      </c>
      <c r="B646" s="1" t="n">
        <v>45170.51591435185</v>
      </c>
      <c r="C646" s="1" t="n">
        <v>46186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15398-2024</t>
        </is>
      </c>
      <c r="B647" s="1" t="n">
        <v>45401.32675925926</v>
      </c>
      <c r="C647" s="1" t="n">
        <v>46186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7509-2022</t>
        </is>
      </c>
      <c r="B648" s="1" t="n">
        <v>44607</v>
      </c>
      <c r="C648" s="1" t="n">
        <v>46186</v>
      </c>
      <c r="D648" t="inlineStr">
        <is>
          <t>JÖNKÖPINGS LÄN</t>
        </is>
      </c>
      <c r="E648" t="inlineStr">
        <is>
          <t>VETLANDA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14180-2026</t>
        </is>
      </c>
      <c r="B649" s="1" t="n">
        <v>46099.49728009259</v>
      </c>
      <c r="C649" s="1" t="n">
        <v>46186</v>
      </c>
      <c r="D649" t="inlineStr">
        <is>
          <t>JÖNKÖPINGS LÄN</t>
        </is>
      </c>
      <c r="E649" t="inlineStr">
        <is>
          <t>VETLANDA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43615-2022</t>
        </is>
      </c>
      <c r="B650" s="1" t="n">
        <v>44837.50092592592</v>
      </c>
      <c r="C650" s="1" t="n">
        <v>46186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18588-2025</t>
        </is>
      </c>
      <c r="B651" s="1" t="n">
        <v>45763.47391203704</v>
      </c>
      <c r="C651" s="1" t="n">
        <v>46186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14361-2026</t>
        </is>
      </c>
      <c r="B652" s="1" t="n">
        <v>46100.35878472222</v>
      </c>
      <c r="C652" s="1" t="n">
        <v>46186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64383-2021</t>
        </is>
      </c>
      <c r="B653" s="1" t="n">
        <v>44511.41467592592</v>
      </c>
      <c r="C653" s="1" t="n">
        <v>46186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14815-2026</t>
        </is>
      </c>
      <c r="B654" s="1" t="n">
        <v>46104.32333333333</v>
      </c>
      <c r="C654" s="1" t="n">
        <v>46186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25470-2023</t>
        </is>
      </c>
      <c r="B655" s="1" t="n">
        <v>45089.45631944444</v>
      </c>
      <c r="C655" s="1" t="n">
        <v>46186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21916-2024</t>
        </is>
      </c>
      <c r="B656" s="1" t="n">
        <v>45443.44555555555</v>
      </c>
      <c r="C656" s="1" t="n">
        <v>46186</v>
      </c>
      <c r="D656" t="inlineStr">
        <is>
          <t>JÖNKÖPINGS LÄN</t>
        </is>
      </c>
      <c r="E656" t="inlineStr">
        <is>
          <t>VETLANDA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56214-2023</t>
        </is>
      </c>
      <c r="B657" s="1" t="n">
        <v>45240</v>
      </c>
      <c r="C657" s="1" t="n">
        <v>46186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14863-2026</t>
        </is>
      </c>
      <c r="B658" s="1" t="n">
        <v>46104.4325462963</v>
      </c>
      <c r="C658" s="1" t="n">
        <v>46186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39868-2023</t>
        </is>
      </c>
      <c r="B659" s="1" t="n">
        <v>45168.39784722222</v>
      </c>
      <c r="C659" s="1" t="n">
        <v>46186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14816-2026</t>
        </is>
      </c>
      <c r="B660" s="1" t="n">
        <v>46104.32527777777</v>
      </c>
      <c r="C660" s="1" t="n">
        <v>46186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14812-2026</t>
        </is>
      </c>
      <c r="B661" s="1" t="n">
        <v>46104.30789351852</v>
      </c>
      <c r="C661" s="1" t="n">
        <v>46186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3790-2024</t>
        </is>
      </c>
      <c r="B662" s="1" t="n">
        <v>45321.61387731481</v>
      </c>
      <c r="C662" s="1" t="n">
        <v>46186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30222-2021</t>
        </is>
      </c>
      <c r="B663" s="1" t="n">
        <v>44363</v>
      </c>
      <c r="C663" s="1" t="n">
        <v>46186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54002-2021</t>
        </is>
      </c>
      <c r="B664" s="1" t="n">
        <v>44470.34038194444</v>
      </c>
      <c r="C664" s="1" t="n">
        <v>46186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38964-2023</t>
        </is>
      </c>
      <c r="B665" s="1" t="n">
        <v>45163.63111111111</v>
      </c>
      <c r="C665" s="1" t="n">
        <v>46186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14813-2026</t>
        </is>
      </c>
      <c r="B666" s="1" t="n">
        <v>46104.31443287037</v>
      </c>
      <c r="C666" s="1" t="n">
        <v>46186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64240-2021</t>
        </is>
      </c>
      <c r="B667" s="1" t="n">
        <v>44510</v>
      </c>
      <c r="C667" s="1" t="n">
        <v>46186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35114-2025</t>
        </is>
      </c>
      <c r="B668" s="1" t="n">
        <v>45852.58248842593</v>
      </c>
      <c r="C668" s="1" t="n">
        <v>46186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49420-2023</t>
        </is>
      </c>
      <c r="B669" s="1" t="n">
        <v>45211.45560185185</v>
      </c>
      <c r="C669" s="1" t="n">
        <v>46186</v>
      </c>
      <c r="D669" t="inlineStr">
        <is>
          <t>JÖNKÖPINGS LÄN</t>
        </is>
      </c>
      <c r="E669" t="inlineStr">
        <is>
          <t>VETLANDA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17234-2024</t>
        </is>
      </c>
      <c r="B670" s="1" t="n">
        <v>45414.37135416667</v>
      </c>
      <c r="C670" s="1" t="n">
        <v>46186</v>
      </c>
      <c r="D670" t="inlineStr">
        <is>
          <t>JÖNKÖPINGS LÄN</t>
        </is>
      </c>
      <c r="E670" t="inlineStr">
        <is>
          <t>VETLANDA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56909-2022</t>
        </is>
      </c>
      <c r="B671" s="1" t="n">
        <v>44894</v>
      </c>
      <c r="C671" s="1" t="n">
        <v>46186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33416-2024</t>
        </is>
      </c>
      <c r="B672" s="1" t="n">
        <v>45519.49717592593</v>
      </c>
      <c r="C672" s="1" t="n">
        <v>46186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2815-2024</t>
        </is>
      </c>
      <c r="B673" s="1" t="n">
        <v>45314.72010416666</v>
      </c>
      <c r="C673" s="1" t="n">
        <v>46186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19953-2024</t>
        </is>
      </c>
      <c r="B674" s="1" t="n">
        <v>45433.62693287037</v>
      </c>
      <c r="C674" s="1" t="n">
        <v>46186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27437-2023</t>
        </is>
      </c>
      <c r="B675" s="1" t="n">
        <v>45097.393125</v>
      </c>
      <c r="C675" s="1" t="n">
        <v>46186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22715-2024</t>
        </is>
      </c>
      <c r="B676" s="1" t="n">
        <v>45448.36170138889</v>
      </c>
      <c r="C676" s="1" t="n">
        <v>46186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61291-2024</t>
        </is>
      </c>
      <c r="B677" s="1" t="n">
        <v>45645.81938657408</v>
      </c>
      <c r="C677" s="1" t="n">
        <v>46186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61292-2024</t>
        </is>
      </c>
      <c r="B678" s="1" t="n">
        <v>45645.82078703704</v>
      </c>
      <c r="C678" s="1" t="n">
        <v>46186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60607-2024</t>
        </is>
      </c>
      <c r="B679" s="1" t="n">
        <v>45644.38033564815</v>
      </c>
      <c r="C679" s="1" t="n">
        <v>46186</v>
      </c>
      <c r="D679" t="inlineStr">
        <is>
          <t>JÖNKÖPINGS LÄN</t>
        </is>
      </c>
      <c r="E679" t="inlineStr">
        <is>
          <t>VETLANDA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15707-2026</t>
        </is>
      </c>
      <c r="B680" s="1" t="n">
        <v>46107.35502314815</v>
      </c>
      <c r="C680" s="1" t="n">
        <v>46186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61721-2024</t>
        </is>
      </c>
      <c r="B681" s="1" t="n">
        <v>45649.29796296296</v>
      </c>
      <c r="C681" s="1" t="n">
        <v>46186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1950-2025</t>
        </is>
      </c>
      <c r="B682" s="1" t="n">
        <v>45672.34774305556</v>
      </c>
      <c r="C682" s="1" t="n">
        <v>46186</v>
      </c>
      <c r="D682" t="inlineStr">
        <is>
          <t>JÖNKÖPINGS LÄN</t>
        </is>
      </c>
      <c r="E682" t="inlineStr">
        <is>
          <t>VETLANDA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38998-2023</t>
        </is>
      </c>
      <c r="B683" s="1" t="n">
        <v>45163.67015046296</v>
      </c>
      <c r="C683" s="1" t="n">
        <v>46186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72980-2021</t>
        </is>
      </c>
      <c r="B684" s="1" t="n">
        <v>44549</v>
      </c>
      <c r="C684" s="1" t="n">
        <v>46186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3925-2024</t>
        </is>
      </c>
      <c r="B685" s="1" t="n">
        <v>45322</v>
      </c>
      <c r="C685" s="1" t="n">
        <v>46186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46531-2024</t>
        </is>
      </c>
      <c r="B686" s="1" t="n">
        <v>45582.63793981481</v>
      </c>
      <c r="C686" s="1" t="n">
        <v>46186</v>
      </c>
      <c r="D686" t="inlineStr">
        <is>
          <t>JÖNKÖPINGS LÄN</t>
        </is>
      </c>
      <c r="E686" t="inlineStr">
        <is>
          <t>VETLANDA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31463-2023</t>
        </is>
      </c>
      <c r="B687" s="1" t="n">
        <v>45114</v>
      </c>
      <c r="C687" s="1" t="n">
        <v>46186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15706-2026</t>
        </is>
      </c>
      <c r="B688" s="1" t="n">
        <v>46107.3537037037</v>
      </c>
      <c r="C688" s="1" t="n">
        <v>46186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35724-2025</t>
        </is>
      </c>
      <c r="B689" s="1" t="n">
        <v>45860</v>
      </c>
      <c r="C689" s="1" t="n">
        <v>46186</v>
      </c>
      <c r="D689" t="inlineStr">
        <is>
          <t>JÖNKÖPINGS LÄN</t>
        </is>
      </c>
      <c r="E689" t="inlineStr">
        <is>
          <t>VETLANDA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13333-2023</t>
        </is>
      </c>
      <c r="B690" s="1" t="n">
        <v>45005</v>
      </c>
      <c r="C690" s="1" t="n">
        <v>46186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48207-2022</t>
        </is>
      </c>
      <c r="B691" s="1" t="n">
        <v>44858.42417824074</v>
      </c>
      <c r="C691" s="1" t="n">
        <v>46186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38155-2024</t>
        </is>
      </c>
      <c r="B692" s="1" t="n">
        <v>45545.44009259259</v>
      </c>
      <c r="C692" s="1" t="n">
        <v>46186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89-2022</t>
        </is>
      </c>
      <c r="B693" s="1" t="n">
        <v>44564.48394675926</v>
      </c>
      <c r="C693" s="1" t="n">
        <v>46186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58432-2023</t>
        </is>
      </c>
      <c r="B694" s="1" t="n">
        <v>45250.815</v>
      </c>
      <c r="C694" s="1" t="n">
        <v>46186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52201-2023</t>
        </is>
      </c>
      <c r="B695" s="1" t="n">
        <v>45224.41164351852</v>
      </c>
      <c r="C695" s="1" t="n">
        <v>46186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15709-2026</t>
        </is>
      </c>
      <c r="B696" s="1" t="n">
        <v>46107.3562037037</v>
      </c>
      <c r="C696" s="1" t="n">
        <v>46186</v>
      </c>
      <c r="D696" t="inlineStr">
        <is>
          <t>JÖNKÖPINGS LÄN</t>
        </is>
      </c>
      <c r="E696" t="inlineStr">
        <is>
          <t>VETLANDA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27725-2025</t>
        </is>
      </c>
      <c r="B697" s="1" t="n">
        <v>45814</v>
      </c>
      <c r="C697" s="1" t="n">
        <v>46186</v>
      </c>
      <c r="D697" t="inlineStr">
        <is>
          <t>JÖNKÖPINGS LÄN</t>
        </is>
      </c>
      <c r="E697" t="inlineStr">
        <is>
          <t>VETLANDA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22212-2026</t>
        </is>
      </c>
      <c r="B698" s="1" t="n">
        <v>46153.69381944444</v>
      </c>
      <c r="C698" s="1" t="n">
        <v>46186</v>
      </c>
      <c r="D698" t="inlineStr">
        <is>
          <t>JÖNKÖPINGS LÄN</t>
        </is>
      </c>
      <c r="E698" t="inlineStr">
        <is>
          <t>VETLANDA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16239-2026</t>
        </is>
      </c>
      <c r="B699" s="1" t="n">
        <v>46111.45739583333</v>
      </c>
      <c r="C699" s="1" t="n">
        <v>46186</v>
      </c>
      <c r="D699" t="inlineStr">
        <is>
          <t>JÖNKÖPINGS LÄN</t>
        </is>
      </c>
      <c r="E699" t="inlineStr">
        <is>
          <t>VETLANDA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61290-2024</t>
        </is>
      </c>
      <c r="B700" s="1" t="n">
        <v>45645.81774305556</v>
      </c>
      <c r="C700" s="1" t="n">
        <v>46186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18514-2025</t>
        </is>
      </c>
      <c r="B701" s="1" t="n">
        <v>45763.38681712963</v>
      </c>
      <c r="C701" s="1" t="n">
        <v>46186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16426-2026</t>
        </is>
      </c>
      <c r="B702" s="1" t="n">
        <v>46111</v>
      </c>
      <c r="C702" s="1" t="n">
        <v>46186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1958-2025</t>
        </is>
      </c>
      <c r="B703" s="1" t="n">
        <v>45672.35665509259</v>
      </c>
      <c r="C703" s="1" t="n">
        <v>46186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61201-2023</t>
        </is>
      </c>
      <c r="B704" s="1" t="n">
        <v>45264.37290509259</v>
      </c>
      <c r="C704" s="1" t="n">
        <v>46186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34493-2024</t>
        </is>
      </c>
      <c r="B705" s="1" t="n">
        <v>45525.62247685185</v>
      </c>
      <c r="C705" s="1" t="n">
        <v>46186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6383-2023</t>
        </is>
      </c>
      <c r="B706" s="1" t="n">
        <v>44965.63684027778</v>
      </c>
      <c r="C706" s="1" t="n">
        <v>46186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603-2023</t>
        </is>
      </c>
      <c r="B707" s="1" t="n">
        <v>44926</v>
      </c>
      <c r="C707" s="1" t="n">
        <v>46186</v>
      </c>
      <c r="D707" t="inlineStr">
        <is>
          <t>JÖNKÖPINGS LÄN</t>
        </is>
      </c>
      <c r="E707" t="inlineStr">
        <is>
          <t>VETLANDA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606-2023</t>
        </is>
      </c>
      <c r="B708" s="1" t="n">
        <v>44926</v>
      </c>
      <c r="C708" s="1" t="n">
        <v>46186</v>
      </c>
      <c r="D708" t="inlineStr">
        <is>
          <t>JÖNKÖPINGS LÄN</t>
        </is>
      </c>
      <c r="E708" t="inlineStr">
        <is>
          <t>VETLANDA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15400-2024</t>
        </is>
      </c>
      <c r="B709" s="1" t="n">
        <v>45401.33418981481</v>
      </c>
      <c r="C709" s="1" t="n">
        <v>46186</v>
      </c>
      <c r="D709" t="inlineStr">
        <is>
          <t>JÖNKÖPINGS LÄN</t>
        </is>
      </c>
      <c r="E709" t="inlineStr">
        <is>
          <t>VETLANDA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14113-2024</t>
        </is>
      </c>
      <c r="B710" s="1" t="n">
        <v>45392.63688657407</v>
      </c>
      <c r="C710" s="1" t="n">
        <v>46186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22209-2026</t>
        </is>
      </c>
      <c r="B711" s="1" t="n">
        <v>46153.6920949074</v>
      </c>
      <c r="C711" s="1" t="n">
        <v>46186</v>
      </c>
      <c r="D711" t="inlineStr">
        <is>
          <t>JÖNKÖPINGS LÄN</t>
        </is>
      </c>
      <c r="E711" t="inlineStr">
        <is>
          <t>VETLANDA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22012-2026</t>
        </is>
      </c>
      <c r="B712" s="1" t="n">
        <v>46153.38778935185</v>
      </c>
      <c r="C712" s="1" t="n">
        <v>46186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36094-2025</t>
        </is>
      </c>
      <c r="B713" s="1" t="n">
        <v>45866.4878587963</v>
      </c>
      <c r="C713" s="1" t="n">
        <v>46186</v>
      </c>
      <c r="D713" t="inlineStr">
        <is>
          <t>JÖNKÖPINGS LÄN</t>
        </is>
      </c>
      <c r="E713" t="inlineStr">
        <is>
          <t>VETLANDA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65154-2023</t>
        </is>
      </c>
      <c r="B714" s="1" t="n">
        <v>45288</v>
      </c>
      <c r="C714" s="1" t="n">
        <v>46186</v>
      </c>
      <c r="D714" t="inlineStr">
        <is>
          <t>JÖNKÖPINGS LÄN</t>
        </is>
      </c>
      <c r="E714" t="inlineStr">
        <is>
          <t>VETLANDA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21999-2026</t>
        </is>
      </c>
      <c r="B715" s="1" t="n">
        <v>46153.36024305555</v>
      </c>
      <c r="C715" s="1" t="n">
        <v>46186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22000-2026</t>
        </is>
      </c>
      <c r="B716" s="1" t="n">
        <v>46153.36511574074</v>
      </c>
      <c r="C716" s="1" t="n">
        <v>46186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12744-2025</t>
        </is>
      </c>
      <c r="B717" s="1" t="n">
        <v>45733.55030092593</v>
      </c>
      <c r="C717" s="1" t="n">
        <v>46186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36052-2025</t>
        </is>
      </c>
      <c r="B718" s="1" t="n">
        <v>45866.37274305556</v>
      </c>
      <c r="C718" s="1" t="n">
        <v>46186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36093-2025</t>
        </is>
      </c>
      <c r="B719" s="1" t="n">
        <v>45866.48642361111</v>
      </c>
      <c r="C719" s="1" t="n">
        <v>46186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14435-2024</t>
        </is>
      </c>
      <c r="B720" s="1" t="n">
        <v>45394</v>
      </c>
      <c r="C720" s="1" t="n">
        <v>46186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31099-2023</t>
        </is>
      </c>
      <c r="B721" s="1" t="n">
        <v>45113</v>
      </c>
      <c r="C721" s="1" t="n">
        <v>46186</v>
      </c>
      <c r="D721" t="inlineStr">
        <is>
          <t>JÖNKÖPINGS LÄN</t>
        </is>
      </c>
      <c r="E721" t="inlineStr">
        <is>
          <t>VETLANDA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22989-2026</t>
        </is>
      </c>
      <c r="B722" s="1" t="n">
        <v>46160.65711805555</v>
      </c>
      <c r="C722" s="1" t="n">
        <v>46186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6830-2022</t>
        </is>
      </c>
      <c r="B723" s="1" t="n">
        <v>44602</v>
      </c>
      <c r="C723" s="1" t="n">
        <v>46186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23004-2026</t>
        </is>
      </c>
      <c r="B724" s="1" t="n">
        <v>46160.75423611111</v>
      </c>
      <c r="C724" s="1" t="n">
        <v>46186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13756-2023</t>
        </is>
      </c>
      <c r="B725" s="1" t="n">
        <v>45007</v>
      </c>
      <c r="C725" s="1" t="n">
        <v>46186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44217-2021</t>
        </is>
      </c>
      <c r="B726" s="1" t="n">
        <v>44434.87822916666</v>
      </c>
      <c r="C726" s="1" t="n">
        <v>46186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44266-2021</t>
        </is>
      </c>
      <c r="B727" s="1" t="n">
        <v>44434</v>
      </c>
      <c r="C727" s="1" t="n">
        <v>46186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22986-2026</t>
        </is>
      </c>
      <c r="B728" s="1" t="n">
        <v>46160.65570601852</v>
      </c>
      <c r="C728" s="1" t="n">
        <v>46186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22991-2026</t>
        </is>
      </c>
      <c r="B729" s="1" t="n">
        <v>46160.65982638889</v>
      </c>
      <c r="C729" s="1" t="n">
        <v>46186</v>
      </c>
      <c r="D729" t="inlineStr">
        <is>
          <t>JÖNKÖPINGS LÄN</t>
        </is>
      </c>
      <c r="E729" t="inlineStr">
        <is>
          <t>VETLANDA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43437-2024</t>
        </is>
      </c>
      <c r="B730" s="1" t="n">
        <v>45568</v>
      </c>
      <c r="C730" s="1" t="n">
        <v>46186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471-2024</t>
        </is>
      </c>
      <c r="B731" s="1" t="n">
        <v>45297.71375</v>
      </c>
      <c r="C731" s="1" t="n">
        <v>46186</v>
      </c>
      <c r="D731" t="inlineStr">
        <is>
          <t>JÖNKÖPINGS LÄN</t>
        </is>
      </c>
      <c r="E731" t="inlineStr">
        <is>
          <t>VETLANDA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54905-2023</t>
        </is>
      </c>
      <c r="B732" s="1" t="n">
        <v>45236.65589120371</v>
      </c>
      <c r="C732" s="1" t="n">
        <v>46186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56414-2024</t>
        </is>
      </c>
      <c r="B733" s="1" t="n">
        <v>45625</v>
      </c>
      <c r="C733" s="1" t="n">
        <v>46186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23054-2026</t>
        </is>
      </c>
      <c r="B734" s="1" t="n">
        <v>46161.44657407407</v>
      </c>
      <c r="C734" s="1" t="n">
        <v>46186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29207-2023</t>
        </is>
      </c>
      <c r="B735" s="1" t="n">
        <v>45105</v>
      </c>
      <c r="C735" s="1" t="n">
        <v>46186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48751-2022</t>
        </is>
      </c>
      <c r="B736" s="1" t="n">
        <v>44859.57034722222</v>
      </c>
      <c r="C736" s="1" t="n">
        <v>46186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23195-2026</t>
        </is>
      </c>
      <c r="B737" s="1" t="n">
        <v>46161.81109953704</v>
      </c>
      <c r="C737" s="1" t="n">
        <v>46186</v>
      </c>
      <c r="D737" t="inlineStr">
        <is>
          <t>JÖNKÖPINGS LÄN</t>
        </is>
      </c>
      <c r="E737" t="inlineStr">
        <is>
          <t>VETLANDA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2496-2025</t>
        </is>
      </c>
      <c r="B738" s="1" t="n">
        <v>45674.5233912037</v>
      </c>
      <c r="C738" s="1" t="n">
        <v>46186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22263-2026</t>
        </is>
      </c>
      <c r="B739" s="1" t="n">
        <v>46154.38048611111</v>
      </c>
      <c r="C739" s="1" t="n">
        <v>46186</v>
      </c>
      <c r="D739" t="inlineStr">
        <is>
          <t>JÖNKÖPINGS LÄN</t>
        </is>
      </c>
      <c r="E739" t="inlineStr">
        <is>
          <t>VETLANDA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57071-2021</t>
        </is>
      </c>
      <c r="B740" s="1" t="n">
        <v>44481</v>
      </c>
      <c r="C740" s="1" t="n">
        <v>46186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17562-2026</t>
        </is>
      </c>
      <c r="B741" s="1" t="n">
        <v>46121.29490740741</v>
      </c>
      <c r="C741" s="1" t="n">
        <v>46186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36935-2025</t>
        </is>
      </c>
      <c r="B742" s="1" t="n">
        <v>45874.57201388889</v>
      </c>
      <c r="C742" s="1" t="n">
        <v>46186</v>
      </c>
      <c r="D742" t="inlineStr">
        <is>
          <t>JÖNKÖPINGS LÄN</t>
        </is>
      </c>
      <c r="E742" t="inlineStr">
        <is>
          <t>VETLANDA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37143-2025</t>
        </is>
      </c>
      <c r="B743" s="1" t="n">
        <v>45875.56215277778</v>
      </c>
      <c r="C743" s="1" t="n">
        <v>46186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36820-2025</t>
        </is>
      </c>
      <c r="B744" s="1" t="n">
        <v>45873.84888888889</v>
      </c>
      <c r="C744" s="1" t="n">
        <v>46186</v>
      </c>
      <c r="D744" t="inlineStr">
        <is>
          <t>JÖNKÖPINGS LÄN</t>
        </is>
      </c>
      <c r="E744" t="inlineStr">
        <is>
          <t>VETLANDA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17837-2026</t>
        </is>
      </c>
      <c r="B745" s="1" t="n">
        <v>46122</v>
      </c>
      <c r="C745" s="1" t="n">
        <v>46186</v>
      </c>
      <c r="D745" t="inlineStr">
        <is>
          <t>JÖNKÖPINGS LÄN</t>
        </is>
      </c>
      <c r="E745" t="inlineStr">
        <is>
          <t>VETLANDA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37142-2025</t>
        </is>
      </c>
      <c r="B746" s="1" t="n">
        <v>45875.56143518518</v>
      </c>
      <c r="C746" s="1" t="n">
        <v>46186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37144-2025</t>
        </is>
      </c>
      <c r="B747" s="1" t="n">
        <v>45875.56277777778</v>
      </c>
      <c r="C747" s="1" t="n">
        <v>46186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14674-2022</t>
        </is>
      </c>
      <c r="B748" s="1" t="n">
        <v>44655</v>
      </c>
      <c r="C748" s="1" t="n">
        <v>46186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7833-2023</t>
        </is>
      </c>
      <c r="B749" s="1" t="n">
        <v>44970</v>
      </c>
      <c r="C749" s="1" t="n">
        <v>46186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4964-2024</t>
        </is>
      </c>
      <c r="B750" s="1" t="n">
        <v>45329</v>
      </c>
      <c r="C750" s="1" t="n">
        <v>46186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17561-2026</t>
        </is>
      </c>
      <c r="B751" s="1" t="n">
        <v>46121.29141203704</v>
      </c>
      <c r="C751" s="1" t="n">
        <v>46186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46143-2022</t>
        </is>
      </c>
      <c r="B752" s="1" t="n">
        <v>44847.45596064815</v>
      </c>
      <c r="C752" s="1" t="n">
        <v>46186</v>
      </c>
      <c r="D752" t="inlineStr">
        <is>
          <t>JÖNKÖPINGS LÄN</t>
        </is>
      </c>
      <c r="E752" t="inlineStr">
        <is>
          <t>VETLANDA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42493-2023</t>
        </is>
      </c>
      <c r="B753" s="1" t="n">
        <v>45180.88775462963</v>
      </c>
      <c r="C753" s="1" t="n">
        <v>46186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40884-2023</t>
        </is>
      </c>
      <c r="B754" s="1" t="n">
        <v>45173</v>
      </c>
      <c r="C754" s="1" t="n">
        <v>46186</v>
      </c>
      <c r="D754" t="inlineStr">
        <is>
          <t>JÖNKÖPINGS LÄN</t>
        </is>
      </c>
      <c r="E754" t="inlineStr">
        <is>
          <t>VETLANDA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40890-2023</t>
        </is>
      </c>
      <c r="B755" s="1" t="n">
        <v>45173</v>
      </c>
      <c r="C755" s="1" t="n">
        <v>46186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18240-2026</t>
        </is>
      </c>
      <c r="B756" s="1" t="n">
        <v>46126</v>
      </c>
      <c r="C756" s="1" t="n">
        <v>46186</v>
      </c>
      <c r="D756" t="inlineStr">
        <is>
          <t>JÖNKÖPINGS LÄN</t>
        </is>
      </c>
      <c r="E756" t="inlineStr">
        <is>
          <t>VETLANDA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7366-2024</t>
        </is>
      </c>
      <c r="B757" s="1" t="n">
        <v>45345.48063657407</v>
      </c>
      <c r="C757" s="1" t="n">
        <v>46186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34799-2024</t>
        </is>
      </c>
      <c r="B758" s="1" t="n">
        <v>45526.67918981481</v>
      </c>
      <c r="C758" s="1" t="n">
        <v>46186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40448-2023</t>
        </is>
      </c>
      <c r="B759" s="1" t="n">
        <v>45170.31317129629</v>
      </c>
      <c r="C759" s="1" t="n">
        <v>46186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40453-2023</t>
        </is>
      </c>
      <c r="B760" s="1" t="n">
        <v>45170.3212037037</v>
      </c>
      <c r="C760" s="1" t="n">
        <v>46186</v>
      </c>
      <c r="D760" t="inlineStr">
        <is>
          <t>JÖNKÖPINGS LÄN</t>
        </is>
      </c>
      <c r="E760" t="inlineStr">
        <is>
          <t>VETLANDA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23531-2026</t>
        </is>
      </c>
      <c r="B761" s="1" t="n">
        <v>46163</v>
      </c>
      <c r="C761" s="1" t="n">
        <v>46186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51590-2021</t>
        </is>
      </c>
      <c r="B762" s="1" t="n">
        <v>44462</v>
      </c>
      <c r="C762" s="1" t="n">
        <v>46186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1313-2024</t>
        </is>
      </c>
      <c r="B763" s="1" t="n">
        <v>45303</v>
      </c>
      <c r="C763" s="1" t="n">
        <v>46186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1314-2024</t>
        </is>
      </c>
      <c r="B764" s="1" t="n">
        <v>45303.40385416667</v>
      </c>
      <c r="C764" s="1" t="n">
        <v>46186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38213-2025</t>
        </is>
      </c>
      <c r="B765" s="1" t="n">
        <v>45882</v>
      </c>
      <c r="C765" s="1" t="n">
        <v>46186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24176-2026</t>
        </is>
      </c>
      <c r="B766" s="1" t="n">
        <v>46168.58686342592</v>
      </c>
      <c r="C766" s="1" t="n">
        <v>46186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28838-2023</t>
        </is>
      </c>
      <c r="B767" s="1" t="n">
        <v>45104.41076388889</v>
      </c>
      <c r="C767" s="1" t="n">
        <v>46186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38274-2025</t>
        </is>
      </c>
      <c r="B768" s="1" t="n">
        <v>45882</v>
      </c>
      <c r="C768" s="1" t="n">
        <v>46186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18379-2026</t>
        </is>
      </c>
      <c r="B769" s="1" t="n">
        <v>46126</v>
      </c>
      <c r="C769" s="1" t="n">
        <v>46186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31021-2023</t>
        </is>
      </c>
      <c r="B770" s="1" t="n">
        <v>45113.57634259259</v>
      </c>
      <c r="C770" s="1" t="n">
        <v>46186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59301-2025</t>
        </is>
      </c>
      <c r="B771" s="1" t="n">
        <v>45988</v>
      </c>
      <c r="C771" s="1" t="n">
        <v>46186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22299-2024</t>
        </is>
      </c>
      <c r="B772" s="1" t="n">
        <v>45446.56364583333</v>
      </c>
      <c r="C772" s="1" t="n">
        <v>46186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20805-2024</t>
        </is>
      </c>
      <c r="B773" s="1" t="n">
        <v>45438</v>
      </c>
      <c r="C773" s="1" t="n">
        <v>46186</v>
      </c>
      <c r="D773" t="inlineStr">
        <is>
          <t>JÖNKÖPINGS LÄN</t>
        </is>
      </c>
      <c r="E773" t="inlineStr">
        <is>
          <t>VETLANDA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18671-2026</t>
        </is>
      </c>
      <c r="B774" s="1" t="n">
        <v>46128.36657407408</v>
      </c>
      <c r="C774" s="1" t="n">
        <v>46186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18676-2026</t>
        </is>
      </c>
      <c r="B775" s="1" t="n">
        <v>46128.37269675926</v>
      </c>
      <c r="C775" s="1" t="n">
        <v>46186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18677-2026</t>
        </is>
      </c>
      <c r="B776" s="1" t="n">
        <v>46128.37445601852</v>
      </c>
      <c r="C776" s="1" t="n">
        <v>46186</v>
      </c>
      <c r="D776" t="inlineStr">
        <is>
          <t>JÖNKÖPINGS LÄN</t>
        </is>
      </c>
      <c r="E776" t="inlineStr">
        <is>
          <t>VETLANDA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18675-2026</t>
        </is>
      </c>
      <c r="B777" s="1" t="n">
        <v>46128.37111111111</v>
      </c>
      <c r="C777" s="1" t="n">
        <v>46186</v>
      </c>
      <c r="D777" t="inlineStr">
        <is>
          <t>JÖNKÖPINGS LÄN</t>
        </is>
      </c>
      <c r="E777" t="inlineStr">
        <is>
          <t>VETLANDA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38605-2025</t>
        </is>
      </c>
      <c r="B778" s="1" t="n">
        <v>45884.51107638889</v>
      </c>
      <c r="C778" s="1" t="n">
        <v>46186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42878-2023</t>
        </is>
      </c>
      <c r="B779" s="1" t="n">
        <v>45182.44875</v>
      </c>
      <c r="C779" s="1" t="n">
        <v>46186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42902-2023</t>
        </is>
      </c>
      <c r="B780" s="1" t="n">
        <v>45182.48945601852</v>
      </c>
      <c r="C780" s="1" t="n">
        <v>46186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18494-2026</t>
        </is>
      </c>
      <c r="B781" s="1" t="n">
        <v>46127</v>
      </c>
      <c r="C781" s="1" t="n">
        <v>46186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7519-2022</t>
        </is>
      </c>
      <c r="B782" s="1" t="n">
        <v>44607</v>
      </c>
      <c r="C782" s="1" t="n">
        <v>46186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44070-2021</t>
        </is>
      </c>
      <c r="B783" s="1" t="n">
        <v>44434.58464120371</v>
      </c>
      <c r="C783" s="1" t="n">
        <v>46186</v>
      </c>
      <c r="D783" t="inlineStr">
        <is>
          <t>JÖNKÖPINGS LÄN</t>
        </is>
      </c>
      <c r="E783" t="inlineStr">
        <is>
          <t>VETLANDA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18673-2026</t>
        </is>
      </c>
      <c r="B784" s="1" t="n">
        <v>46128.36802083333</v>
      </c>
      <c r="C784" s="1" t="n">
        <v>46186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1444-2025</t>
        </is>
      </c>
      <c r="B785" s="1" t="n">
        <v>45669.82575231481</v>
      </c>
      <c r="C785" s="1" t="n">
        <v>46186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2849-2024</t>
        </is>
      </c>
      <c r="B786" s="1" t="n">
        <v>45315</v>
      </c>
      <c r="C786" s="1" t="n">
        <v>46186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25198-2024</t>
        </is>
      </c>
      <c r="B787" s="1" t="n">
        <v>45462.56997685185</v>
      </c>
      <c r="C787" s="1" t="n">
        <v>46186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22954-2024</t>
        </is>
      </c>
      <c r="B788" s="1" t="n">
        <v>45449.4112962963</v>
      </c>
      <c r="C788" s="1" t="n">
        <v>46186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52260-2021</t>
        </is>
      </c>
      <c r="B789" s="1" t="n">
        <v>44463.63087962963</v>
      </c>
      <c r="C789" s="1" t="n">
        <v>46186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4416-2024</t>
        </is>
      </c>
      <c r="B790" s="1" t="n">
        <v>45327</v>
      </c>
      <c r="C790" s="1" t="n">
        <v>46186</v>
      </c>
      <c r="D790" t="inlineStr">
        <is>
          <t>JÖNKÖPINGS LÄN</t>
        </is>
      </c>
      <c r="E790" t="inlineStr">
        <is>
          <t>VETLANDA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39087-2023</t>
        </is>
      </c>
      <c r="B791" s="1" t="n">
        <v>45164</v>
      </c>
      <c r="C791" s="1" t="n">
        <v>46186</v>
      </c>
      <c r="D791" t="inlineStr">
        <is>
          <t>JÖNKÖPINGS LÄN</t>
        </is>
      </c>
      <c r="E791" t="inlineStr">
        <is>
          <t>VETLANDA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5180-2024</t>
        </is>
      </c>
      <c r="B792" s="1" t="n">
        <v>45330</v>
      </c>
      <c r="C792" s="1" t="n">
        <v>46186</v>
      </c>
      <c r="D792" t="inlineStr">
        <is>
          <t>JÖNKÖPINGS LÄN</t>
        </is>
      </c>
      <c r="E792" t="inlineStr">
        <is>
          <t>VETLANDA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19625-2026</t>
        </is>
      </c>
      <c r="B793" s="1" t="n">
        <v>46133</v>
      </c>
      <c r="C793" s="1" t="n">
        <v>46186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19628-2026</t>
        </is>
      </c>
      <c r="B794" s="1" t="n">
        <v>46133</v>
      </c>
      <c r="C794" s="1" t="n">
        <v>46186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12003-2023</t>
        </is>
      </c>
      <c r="B795" s="1" t="n">
        <v>44995</v>
      </c>
      <c r="C795" s="1" t="n">
        <v>46186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46275-2021</t>
        </is>
      </c>
      <c r="B796" s="1" t="n">
        <v>44442.57108796296</v>
      </c>
      <c r="C796" s="1" t="n">
        <v>46186</v>
      </c>
      <c r="D796" t="inlineStr">
        <is>
          <t>JÖNKÖPINGS LÄN</t>
        </is>
      </c>
      <c r="E796" t="inlineStr">
        <is>
          <t>VETLANDA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5277-2025</t>
        </is>
      </c>
      <c r="B797" s="1" t="n">
        <v>45692.42841435185</v>
      </c>
      <c r="C797" s="1" t="n">
        <v>46186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25164-2026</t>
        </is>
      </c>
      <c r="B798" s="1" t="n">
        <v>46175.48251157408</v>
      </c>
      <c r="C798" s="1" t="n">
        <v>46186</v>
      </c>
      <c r="D798" t="inlineStr">
        <is>
          <t>JÖNKÖPINGS LÄN</t>
        </is>
      </c>
      <c r="E798" t="inlineStr">
        <is>
          <t>VETLANDA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29493-2023</t>
        </is>
      </c>
      <c r="B799" s="1" t="n">
        <v>45106.58976851852</v>
      </c>
      <c r="C799" s="1" t="n">
        <v>46186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44647-2024</t>
        </is>
      </c>
      <c r="B800" s="1" t="n">
        <v>45574.51628472222</v>
      </c>
      <c r="C800" s="1" t="n">
        <v>46186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54239-2024</t>
        </is>
      </c>
      <c r="B801" s="1" t="n">
        <v>45616.67851851852</v>
      </c>
      <c r="C801" s="1" t="n">
        <v>46186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59713-2024</t>
        </is>
      </c>
      <c r="B802" s="1" t="n">
        <v>45639.45501157407</v>
      </c>
      <c r="C802" s="1" t="n">
        <v>46186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32020-2024</t>
        </is>
      </c>
      <c r="B803" s="1" t="n">
        <v>45510</v>
      </c>
      <c r="C803" s="1" t="n">
        <v>46186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51228-2023</t>
        </is>
      </c>
      <c r="B804" s="1" t="n">
        <v>45219.46091435185</v>
      </c>
      <c r="C804" s="1" t="n">
        <v>46186</v>
      </c>
      <c r="D804" t="inlineStr">
        <is>
          <t>JÖNKÖPINGS LÄN</t>
        </is>
      </c>
      <c r="E804" t="inlineStr">
        <is>
          <t>VETLANDA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63451-2023</t>
        </is>
      </c>
      <c r="B805" s="1" t="n">
        <v>45274</v>
      </c>
      <c r="C805" s="1" t="n">
        <v>46186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58433-2023</t>
        </is>
      </c>
      <c r="B806" s="1" t="n">
        <v>45250.81989583333</v>
      </c>
      <c r="C806" s="1" t="n">
        <v>46186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3819-2022</t>
        </is>
      </c>
      <c r="B807" s="1" t="n">
        <v>44587.3328587963</v>
      </c>
      <c r="C807" s="1" t="n">
        <v>46186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32651-2022</t>
        </is>
      </c>
      <c r="B808" s="1" t="n">
        <v>44783.50346064815</v>
      </c>
      <c r="C808" s="1" t="n">
        <v>46186</v>
      </c>
      <c r="D808" t="inlineStr">
        <is>
          <t>JÖNKÖPINGS LÄN</t>
        </is>
      </c>
      <c r="E808" t="inlineStr">
        <is>
          <t>VETLANDA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42364-2022</t>
        </is>
      </c>
      <c r="B809" s="1" t="n">
        <v>44830</v>
      </c>
      <c r="C809" s="1" t="n">
        <v>46186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37846-2024</t>
        </is>
      </c>
      <c r="B810" s="1" t="n">
        <v>45544.37059027778</v>
      </c>
      <c r="C810" s="1" t="n">
        <v>46186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33767-2023</t>
        </is>
      </c>
      <c r="B811" s="1" t="n">
        <v>45133</v>
      </c>
      <c r="C811" s="1" t="n">
        <v>46186</v>
      </c>
      <c r="D811" t="inlineStr">
        <is>
          <t>JÖNKÖPINGS LÄN</t>
        </is>
      </c>
      <c r="E811" t="inlineStr">
        <is>
          <t>VETLANDA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16547-2024</t>
        </is>
      </c>
      <c r="B812" s="1" t="n">
        <v>45408.44111111111</v>
      </c>
      <c r="C812" s="1" t="n">
        <v>46186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43371-2022</t>
        </is>
      </c>
      <c r="B813" s="1" t="n">
        <v>44834.65052083333</v>
      </c>
      <c r="C813" s="1" t="n">
        <v>46186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10593-2024</t>
        </is>
      </c>
      <c r="B814" s="1" t="n">
        <v>45366.75533564815</v>
      </c>
      <c r="C814" s="1" t="n">
        <v>46186</v>
      </c>
      <c r="D814" t="inlineStr">
        <is>
          <t>JÖNKÖPINGS LÄN</t>
        </is>
      </c>
      <c r="E814" t="inlineStr">
        <is>
          <t>VETLANDA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38726-2022</t>
        </is>
      </c>
      <c r="B815" s="1" t="n">
        <v>44815.87179398148</v>
      </c>
      <c r="C815" s="1" t="n">
        <v>46186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22177-2023</t>
        </is>
      </c>
      <c r="B816" s="1" t="n">
        <v>45069.68887731482</v>
      </c>
      <c r="C816" s="1" t="n">
        <v>46186</v>
      </c>
      <c r="D816" t="inlineStr">
        <is>
          <t>JÖNKÖPINGS LÄN</t>
        </is>
      </c>
      <c r="E816" t="inlineStr">
        <is>
          <t>VETLANDA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21283-2024</t>
        </is>
      </c>
      <c r="B817" s="1" t="n">
        <v>45440</v>
      </c>
      <c r="C817" s="1" t="n">
        <v>46186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25548-2026</t>
        </is>
      </c>
      <c r="B818" s="1" t="n">
        <v>46177.56504629629</v>
      </c>
      <c r="C818" s="1" t="n">
        <v>46186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7041-2025</t>
        </is>
      </c>
      <c r="B819" s="1" t="n">
        <v>45701.63836805556</v>
      </c>
      <c r="C819" s="1" t="n">
        <v>46186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1221-2024</t>
        </is>
      </c>
      <c r="B820" s="1" t="n">
        <v>45302.6671875</v>
      </c>
      <c r="C820" s="1" t="n">
        <v>46186</v>
      </c>
      <c r="D820" t="inlineStr">
        <is>
          <t>JÖNKÖPINGS LÄN</t>
        </is>
      </c>
      <c r="E820" t="inlineStr">
        <is>
          <t>VETLANDA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53782-2024</t>
        </is>
      </c>
      <c r="B821" s="1" t="n">
        <v>45615.56019675926</v>
      </c>
      <c r="C821" s="1" t="n">
        <v>46186</v>
      </c>
      <c r="D821" t="inlineStr">
        <is>
          <t>JÖNKÖPINGS LÄN</t>
        </is>
      </c>
      <c r="E821" t="inlineStr">
        <is>
          <t>VETLANDA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31019-2023</t>
        </is>
      </c>
      <c r="B822" s="1" t="n">
        <v>45113.57435185185</v>
      </c>
      <c r="C822" s="1" t="n">
        <v>46186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41902-2025</t>
        </is>
      </c>
      <c r="B823" s="1" t="n">
        <v>45903.39982638889</v>
      </c>
      <c r="C823" s="1" t="n">
        <v>46186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17847-2022</t>
        </is>
      </c>
      <c r="B824" s="1" t="n">
        <v>44683</v>
      </c>
      <c r="C824" s="1" t="n">
        <v>46186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38397-2024</t>
        </is>
      </c>
      <c r="B825" s="1" t="n">
        <v>45546.33434027778</v>
      </c>
      <c r="C825" s="1" t="n">
        <v>46186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44261-2022</t>
        </is>
      </c>
      <c r="B826" s="1" t="n">
        <v>44839.57224537037</v>
      </c>
      <c r="C826" s="1" t="n">
        <v>46186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7828-2023</t>
        </is>
      </c>
      <c r="B827" s="1" t="n">
        <v>44970</v>
      </c>
      <c r="C827" s="1" t="n">
        <v>46186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53327-2023</t>
        </is>
      </c>
      <c r="B828" s="1" t="n">
        <v>45222</v>
      </c>
      <c r="C828" s="1" t="n">
        <v>46186</v>
      </c>
      <c r="D828" t="inlineStr">
        <is>
          <t>JÖNKÖPINGS LÄN</t>
        </is>
      </c>
      <c r="E828" t="inlineStr">
        <is>
          <t>VETLANDA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43147-2023</t>
        </is>
      </c>
      <c r="B829" s="1" t="n">
        <v>45183.31346064815</v>
      </c>
      <c r="C829" s="1" t="n">
        <v>46186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32691-2025</t>
        </is>
      </c>
      <c r="B830" s="1" t="n">
        <v>45839.28930555555</v>
      </c>
      <c r="C830" s="1" t="n">
        <v>46186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7091-2023</t>
        </is>
      </c>
      <c r="B831" s="1" t="n">
        <v>44965</v>
      </c>
      <c r="C831" s="1" t="n">
        <v>46186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6433-2025</t>
        </is>
      </c>
      <c r="B832" s="1" t="n">
        <v>45699.5131712963</v>
      </c>
      <c r="C832" s="1" t="n">
        <v>46186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30366-2025</t>
        </is>
      </c>
      <c r="B833" s="1" t="n">
        <v>45827</v>
      </c>
      <c r="C833" s="1" t="n">
        <v>46186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12621-2023</t>
        </is>
      </c>
      <c r="B834" s="1" t="n">
        <v>45000</v>
      </c>
      <c r="C834" s="1" t="n">
        <v>46186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2671-2026</t>
        </is>
      </c>
      <c r="B835" s="1" t="n">
        <v>46037.64554398148</v>
      </c>
      <c r="C835" s="1" t="n">
        <v>46186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50433-2025</t>
        </is>
      </c>
      <c r="B836" s="1" t="n">
        <v>45944.69631944445</v>
      </c>
      <c r="C836" s="1" t="n">
        <v>46186</v>
      </c>
      <c r="D836" t="inlineStr">
        <is>
          <t>JÖNKÖPINGS LÄN</t>
        </is>
      </c>
      <c r="E836" t="inlineStr">
        <is>
          <t>VETLANDA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30607-2023</t>
        </is>
      </c>
      <c r="B837" s="1" t="n">
        <v>45112.395625</v>
      </c>
      <c r="C837" s="1" t="n">
        <v>46186</v>
      </c>
      <c r="D837" t="inlineStr">
        <is>
          <t>JÖNKÖPINGS LÄN</t>
        </is>
      </c>
      <c r="E837" t="inlineStr">
        <is>
          <t>VETLANDA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43234-2023</t>
        </is>
      </c>
      <c r="B838" s="1" t="n">
        <v>45183.47331018518</v>
      </c>
      <c r="C838" s="1" t="n">
        <v>46186</v>
      </c>
      <c r="D838" t="inlineStr">
        <is>
          <t>JÖNKÖPINGS LÄN</t>
        </is>
      </c>
      <c r="E838" t="inlineStr">
        <is>
          <t>VETLANDA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25655-2026</t>
        </is>
      </c>
      <c r="B839" s="1" t="n">
        <v>46178.28261574074</v>
      </c>
      <c r="C839" s="1" t="n">
        <v>46186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20542-2025</t>
        </is>
      </c>
      <c r="B840" s="1" t="n">
        <v>45775</v>
      </c>
      <c r="C840" s="1" t="n">
        <v>46186</v>
      </c>
      <c r="D840" t="inlineStr">
        <is>
          <t>JÖNKÖPINGS LÄN</t>
        </is>
      </c>
      <c r="E840" t="inlineStr">
        <is>
          <t>VETLANDA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7710-2025</t>
        </is>
      </c>
      <c r="B841" s="1" t="n">
        <v>45706.42435185185</v>
      </c>
      <c r="C841" s="1" t="n">
        <v>46186</v>
      </c>
      <c r="D841" t="inlineStr">
        <is>
          <t>JÖNKÖPINGS LÄN</t>
        </is>
      </c>
      <c r="E841" t="inlineStr">
        <is>
          <t>VETLANDA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39990-2025</t>
        </is>
      </c>
      <c r="B842" s="1" t="n">
        <v>45891</v>
      </c>
      <c r="C842" s="1" t="n">
        <v>46186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2549-2024</t>
        </is>
      </c>
      <c r="B843" s="1" t="n">
        <v>45313</v>
      </c>
      <c r="C843" s="1" t="n">
        <v>46186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25011-2025</t>
        </is>
      </c>
      <c r="B844" s="1" t="n">
        <v>45799</v>
      </c>
      <c r="C844" s="1" t="n">
        <v>46186</v>
      </c>
      <c r="D844" t="inlineStr">
        <is>
          <t>JÖNKÖPINGS LÄN</t>
        </is>
      </c>
      <c r="E844" t="inlineStr">
        <is>
          <t>VETLANDA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1631-2024</t>
        </is>
      </c>
      <c r="B845" s="1" t="n">
        <v>45306.66175925926</v>
      </c>
      <c r="C845" s="1" t="n">
        <v>46186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44169-2022</t>
        </is>
      </c>
      <c r="B846" s="1" t="n">
        <v>44839</v>
      </c>
      <c r="C846" s="1" t="n">
        <v>46186</v>
      </c>
      <c r="D846" t="inlineStr">
        <is>
          <t>JÖNKÖPINGS LÄN</t>
        </is>
      </c>
      <c r="E846" t="inlineStr">
        <is>
          <t>VETLANDA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29413-2022</t>
        </is>
      </c>
      <c r="B847" s="1" t="n">
        <v>44753</v>
      </c>
      <c r="C847" s="1" t="n">
        <v>46186</v>
      </c>
      <c r="D847" t="inlineStr">
        <is>
          <t>JÖNKÖPINGS LÄN</t>
        </is>
      </c>
      <c r="E847" t="inlineStr">
        <is>
          <t>VETLANDA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34106-2023</t>
        </is>
      </c>
      <c r="B848" s="1" t="n">
        <v>45135</v>
      </c>
      <c r="C848" s="1" t="n">
        <v>46186</v>
      </c>
      <c r="D848" t="inlineStr">
        <is>
          <t>JÖNKÖPINGS LÄN</t>
        </is>
      </c>
      <c r="E848" t="inlineStr">
        <is>
          <t>VETLANDA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25660-2026</t>
        </is>
      </c>
      <c r="B849" s="1" t="n">
        <v>46178.29589120371</v>
      </c>
      <c r="C849" s="1" t="n">
        <v>46186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47768-2025</t>
        </is>
      </c>
      <c r="B850" s="1" t="n">
        <v>45931.70164351852</v>
      </c>
      <c r="C850" s="1" t="n">
        <v>46186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64198-2021</t>
        </is>
      </c>
      <c r="B851" s="1" t="n">
        <v>44510.60637731481</v>
      </c>
      <c r="C851" s="1" t="n">
        <v>46186</v>
      </c>
      <c r="D851" t="inlineStr">
        <is>
          <t>JÖNKÖPINGS LÄN</t>
        </is>
      </c>
      <c r="E851" t="inlineStr">
        <is>
          <t>VETLANDA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25662-2026</t>
        </is>
      </c>
      <c r="B852" s="1" t="n">
        <v>46178.29810185185</v>
      </c>
      <c r="C852" s="1" t="n">
        <v>46186</v>
      </c>
      <c r="D852" t="inlineStr">
        <is>
          <t>JÖNKÖPINGS LÄN</t>
        </is>
      </c>
      <c r="E852" t="inlineStr">
        <is>
          <t>VETLANDA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40257-2025</t>
        </is>
      </c>
      <c r="B853" s="1" t="n">
        <v>45895</v>
      </c>
      <c r="C853" s="1" t="n">
        <v>46186</v>
      </c>
      <c r="D853" t="inlineStr">
        <is>
          <t>JÖNKÖPINGS LÄN</t>
        </is>
      </c>
      <c r="E853" t="inlineStr">
        <is>
          <t>VETLANDA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35835-2022</t>
        </is>
      </c>
      <c r="B854" s="1" t="n">
        <v>44802</v>
      </c>
      <c r="C854" s="1" t="n">
        <v>46186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22254-2024</t>
        </is>
      </c>
      <c r="B855" s="1" t="n">
        <v>45446.46471064815</v>
      </c>
      <c r="C855" s="1" t="n">
        <v>46186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38275-2025</t>
        </is>
      </c>
      <c r="B856" s="1" t="n">
        <v>45883.40858796296</v>
      </c>
      <c r="C856" s="1" t="n">
        <v>46186</v>
      </c>
      <c r="D856" t="inlineStr">
        <is>
          <t>JÖNKÖPINGS LÄN</t>
        </is>
      </c>
      <c r="E856" t="inlineStr">
        <is>
          <t>VETLANDA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316-2023</t>
        </is>
      </c>
      <c r="B857" s="1" t="n">
        <v>44929.3943287037</v>
      </c>
      <c r="C857" s="1" t="n">
        <v>46186</v>
      </c>
      <c r="D857" t="inlineStr">
        <is>
          <t>JÖNKÖPINGS LÄN</t>
        </is>
      </c>
      <c r="E857" t="inlineStr">
        <is>
          <t>VETLANDA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27793-2022</t>
        </is>
      </c>
      <c r="B858" s="1" t="n">
        <v>44743</v>
      </c>
      <c r="C858" s="1" t="n">
        <v>46186</v>
      </c>
      <c r="D858" t="inlineStr">
        <is>
          <t>JÖNKÖPINGS LÄN</t>
        </is>
      </c>
      <c r="E858" t="inlineStr">
        <is>
          <t>VETLANDA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56698-2021</t>
        </is>
      </c>
      <c r="B859" s="1" t="n">
        <v>44481.3784375</v>
      </c>
      <c r="C859" s="1" t="n">
        <v>46186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25663-2026</t>
        </is>
      </c>
      <c r="B860" s="1" t="n">
        <v>46178.29991898148</v>
      </c>
      <c r="C860" s="1" t="n">
        <v>46186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40469-2023</t>
        </is>
      </c>
      <c r="B861" s="1" t="n">
        <v>45170.35475694444</v>
      </c>
      <c r="C861" s="1" t="n">
        <v>46186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30795-2024</t>
        </is>
      </c>
      <c r="B862" s="1" t="n">
        <v>45497.3596875</v>
      </c>
      <c r="C862" s="1" t="n">
        <v>46186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30797-2024</t>
        </is>
      </c>
      <c r="B863" s="1" t="n">
        <v>45497.36287037037</v>
      </c>
      <c r="C863" s="1" t="n">
        <v>46186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25708-2026</t>
        </is>
      </c>
      <c r="B864" s="1" t="n">
        <v>46178.36899305556</v>
      </c>
      <c r="C864" s="1" t="n">
        <v>46186</v>
      </c>
      <c r="D864" t="inlineStr">
        <is>
          <t>JÖNKÖPINGS LÄN</t>
        </is>
      </c>
      <c r="E864" t="inlineStr">
        <is>
          <t>VETLANDA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51851-2021</t>
        </is>
      </c>
      <c r="B865" s="1" t="n">
        <v>44462.69760416666</v>
      </c>
      <c r="C865" s="1" t="n">
        <v>46186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41686-2025</t>
        </is>
      </c>
      <c r="B866" s="1" t="n">
        <v>45902.38627314815</v>
      </c>
      <c r="C866" s="1" t="n">
        <v>46186</v>
      </c>
      <c r="D866" t="inlineStr">
        <is>
          <t>JÖNKÖPINGS LÄN</t>
        </is>
      </c>
      <c r="E866" t="inlineStr">
        <is>
          <t>VETLANDA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32142-2023</t>
        </is>
      </c>
      <c r="B867" s="1" t="n">
        <v>45119</v>
      </c>
      <c r="C867" s="1" t="n">
        <v>46186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32143-2023</t>
        </is>
      </c>
      <c r="B868" s="1" t="n">
        <v>45119.67211805555</v>
      </c>
      <c r="C868" s="1" t="n">
        <v>46186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15502-2024</t>
        </is>
      </c>
      <c r="B869" s="1" t="n">
        <v>45401.54920138889</v>
      </c>
      <c r="C869" s="1" t="n">
        <v>46186</v>
      </c>
      <c r="D869" t="inlineStr">
        <is>
          <t>JÖNKÖPINGS LÄN</t>
        </is>
      </c>
      <c r="E869" t="inlineStr">
        <is>
          <t>VETLANDA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16478-2026</t>
        </is>
      </c>
      <c r="B870" s="1" t="n">
        <v>46112.39207175926</v>
      </c>
      <c r="C870" s="1" t="n">
        <v>46186</v>
      </c>
      <c r="D870" t="inlineStr">
        <is>
          <t>JÖNKÖPINGS LÄN</t>
        </is>
      </c>
      <c r="E870" t="inlineStr">
        <is>
          <t>VETLANDA</t>
        </is>
      </c>
      <c r="F870" t="inlineStr">
        <is>
          <t>Kommuner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54406-2025</t>
        </is>
      </c>
      <c r="B871" s="1" t="n">
        <v>45965.45693287037</v>
      </c>
      <c r="C871" s="1" t="n">
        <v>46186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3956-2023</t>
        </is>
      </c>
      <c r="B872" s="1" t="n">
        <v>44952</v>
      </c>
      <c r="C872" s="1" t="n">
        <v>46186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30704-2023</t>
        </is>
      </c>
      <c r="B873" s="1" t="n">
        <v>45112.59065972222</v>
      </c>
      <c r="C873" s="1" t="n">
        <v>46186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15171-2024</t>
        </is>
      </c>
      <c r="B874" s="1" t="n">
        <v>45400</v>
      </c>
      <c r="C874" s="1" t="n">
        <v>46186</v>
      </c>
      <c r="D874" t="inlineStr">
        <is>
          <t>JÖNKÖPINGS LÄN</t>
        </is>
      </c>
      <c r="E874" t="inlineStr">
        <is>
          <t>VETLANDA</t>
        </is>
      </c>
      <c r="F874" t="inlineStr">
        <is>
          <t>Kommuner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34498-2024</t>
        </is>
      </c>
      <c r="B875" s="1" t="n">
        <v>45525.63314814815</v>
      </c>
      <c r="C875" s="1" t="n">
        <v>46186</v>
      </c>
      <c r="D875" t="inlineStr">
        <is>
          <t>JÖNKÖPINGS LÄN</t>
        </is>
      </c>
      <c r="E875" t="inlineStr">
        <is>
          <t>VETLANDA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29684-2023</t>
        </is>
      </c>
      <c r="B876" s="1" t="n">
        <v>45107.37986111111</v>
      </c>
      <c r="C876" s="1" t="n">
        <v>46186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28361-2022</t>
        </is>
      </c>
      <c r="B877" s="1" t="n">
        <v>44747.48467592592</v>
      </c>
      <c r="C877" s="1" t="n">
        <v>46186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22253-2025</t>
        </is>
      </c>
      <c r="B878" s="1" t="n">
        <v>45785.71899305555</v>
      </c>
      <c r="C878" s="1" t="n">
        <v>46186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34802-2024</t>
        </is>
      </c>
      <c r="B879" s="1" t="n">
        <v>45526.68496527777</v>
      </c>
      <c r="C879" s="1" t="n">
        <v>46186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6197-2022</t>
        </is>
      </c>
      <c r="B880" s="1" t="n">
        <v>44600</v>
      </c>
      <c r="C880" s="1" t="n">
        <v>46186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43854-2025</t>
        </is>
      </c>
      <c r="B881" s="1" t="n">
        <v>45912.6409375</v>
      </c>
      <c r="C881" s="1" t="n">
        <v>46186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33245-2025</t>
        </is>
      </c>
      <c r="B882" s="1" t="n">
        <v>45840.65412037037</v>
      </c>
      <c r="C882" s="1" t="n">
        <v>46186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43510-2024</t>
        </is>
      </c>
      <c r="B883" s="1" t="n">
        <v>45569.31168981481</v>
      </c>
      <c r="C883" s="1" t="n">
        <v>46186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36040-2025</t>
        </is>
      </c>
      <c r="B884" s="1" t="n">
        <v>45866.33217592593</v>
      </c>
      <c r="C884" s="1" t="n">
        <v>46186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632-2023</t>
        </is>
      </c>
      <c r="B885" s="1" t="n">
        <v>44930</v>
      </c>
      <c r="C885" s="1" t="n">
        <v>46186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46285-2025</t>
        </is>
      </c>
      <c r="B886" s="1" t="n">
        <v>45925.3837037037</v>
      </c>
      <c r="C886" s="1" t="n">
        <v>46186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55398-2025</t>
        </is>
      </c>
      <c r="B887" s="1" t="n">
        <v>45971</v>
      </c>
      <c r="C887" s="1" t="n">
        <v>46186</v>
      </c>
      <c r="D887" t="inlineStr">
        <is>
          <t>JÖNKÖPINGS LÄN</t>
        </is>
      </c>
      <c r="E887" t="inlineStr">
        <is>
          <t>VETLANDA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16796-2023</t>
        </is>
      </c>
      <c r="B888" s="1" t="n">
        <v>45033</v>
      </c>
      <c r="C888" s="1" t="n">
        <v>46186</v>
      </c>
      <c r="D888" t="inlineStr">
        <is>
          <t>JÖNKÖPINGS LÄN</t>
        </is>
      </c>
      <c r="E888" t="inlineStr">
        <is>
          <t>VETLANDA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44034-2024</t>
        </is>
      </c>
      <c r="B889" s="1" t="n">
        <v>45572</v>
      </c>
      <c r="C889" s="1" t="n">
        <v>46186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14750-2025</t>
        </is>
      </c>
      <c r="B890" s="1" t="n">
        <v>45742</v>
      </c>
      <c r="C890" s="1" t="n">
        <v>46186</v>
      </c>
      <c r="D890" t="inlineStr">
        <is>
          <t>JÖNKÖPINGS LÄN</t>
        </is>
      </c>
      <c r="E890" t="inlineStr">
        <is>
          <t>VETLANDA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6635-2024</t>
        </is>
      </c>
      <c r="B891" s="1" t="n">
        <v>45341.64803240741</v>
      </c>
      <c r="C891" s="1" t="n">
        <v>46186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62324-2025</t>
        </is>
      </c>
      <c r="B892" s="1" t="n">
        <v>46006.71462962963</v>
      </c>
      <c r="C892" s="1" t="n">
        <v>46186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18517-2025</t>
        </is>
      </c>
      <c r="B893" s="1" t="n">
        <v>45763.38805555556</v>
      </c>
      <c r="C893" s="1" t="n">
        <v>46186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7625-2024</t>
        </is>
      </c>
      <c r="B894" s="1" t="n">
        <v>45348.60625</v>
      </c>
      <c r="C894" s="1" t="n">
        <v>46186</v>
      </c>
      <c r="D894" t="inlineStr">
        <is>
          <t>JÖNKÖPINGS LÄN</t>
        </is>
      </c>
      <c r="E894" t="inlineStr">
        <is>
          <t>VETLANDA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5492-2025</t>
        </is>
      </c>
      <c r="B895" s="1" t="n">
        <v>45693.37408564815</v>
      </c>
      <c r="C895" s="1" t="n">
        <v>46186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39387-2025</t>
        </is>
      </c>
      <c r="B896" s="1" t="n">
        <v>45889.6171875</v>
      </c>
      <c r="C896" s="1" t="n">
        <v>46186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22230-2025</t>
        </is>
      </c>
      <c r="B897" s="1" t="n">
        <v>45785.66460648148</v>
      </c>
      <c r="C897" s="1" t="n">
        <v>46186</v>
      </c>
      <c r="D897" t="inlineStr">
        <is>
          <t>JÖNKÖPINGS LÄN</t>
        </is>
      </c>
      <c r="E897" t="inlineStr">
        <is>
          <t>VETLANDA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26925-2022</t>
        </is>
      </c>
      <c r="B898" s="1" t="n">
        <v>44740</v>
      </c>
      <c r="C898" s="1" t="n">
        <v>46186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16070-2024</t>
        </is>
      </c>
      <c r="B899" s="1" t="n">
        <v>45406.31430555556</v>
      </c>
      <c r="C899" s="1" t="n">
        <v>46186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12201-2023</t>
        </is>
      </c>
      <c r="B900" s="1" t="n">
        <v>44998.57355324074</v>
      </c>
      <c r="C900" s="1" t="n">
        <v>46186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25658-2026</t>
        </is>
      </c>
      <c r="B901" s="1" t="n">
        <v>46178.29085648148</v>
      </c>
      <c r="C901" s="1" t="n">
        <v>46186</v>
      </c>
      <c r="D901" t="inlineStr">
        <is>
          <t>JÖNKÖPINGS LÄN</t>
        </is>
      </c>
      <c r="E901" t="inlineStr">
        <is>
          <t>VETLANDA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25659-2026</t>
        </is>
      </c>
      <c r="B902" s="1" t="n">
        <v>46178.2947337963</v>
      </c>
      <c r="C902" s="1" t="n">
        <v>46186</v>
      </c>
      <c r="D902" t="inlineStr">
        <is>
          <t>JÖNKÖPINGS LÄN</t>
        </is>
      </c>
      <c r="E902" t="inlineStr">
        <is>
          <t>VETLANDA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25664-2026</t>
        </is>
      </c>
      <c r="B903" s="1" t="n">
        <v>46178</v>
      </c>
      <c r="C903" s="1" t="n">
        <v>46186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1103-2024</t>
        </is>
      </c>
      <c r="B904" s="1" t="n">
        <v>45302</v>
      </c>
      <c r="C904" s="1" t="n">
        <v>46186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52427-2022</t>
        </is>
      </c>
      <c r="B905" s="1" t="n">
        <v>44869</v>
      </c>
      <c r="C905" s="1" t="n">
        <v>46186</v>
      </c>
      <c r="D905" t="inlineStr">
        <is>
          <t>JÖNKÖPINGS LÄN</t>
        </is>
      </c>
      <c r="E905" t="inlineStr">
        <is>
          <t>VETLANDA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33679-2025</t>
        </is>
      </c>
      <c r="B906" s="1" t="n">
        <v>45841.679375</v>
      </c>
      <c r="C906" s="1" t="n">
        <v>46186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25656-2026</t>
        </is>
      </c>
      <c r="B907" s="1" t="n">
        <v>46178.28458333333</v>
      </c>
      <c r="C907" s="1" t="n">
        <v>46186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20092-2026</t>
        </is>
      </c>
      <c r="B908" s="1" t="n">
        <v>46136.62380787037</v>
      </c>
      <c r="C908" s="1" t="n">
        <v>46186</v>
      </c>
      <c r="D908" t="inlineStr">
        <is>
          <t>JÖNKÖPINGS LÄN</t>
        </is>
      </c>
      <c r="E908" t="inlineStr">
        <is>
          <t>VETLANDA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41320-2023</t>
        </is>
      </c>
      <c r="B909" s="1" t="n">
        <v>45174.64620370371</v>
      </c>
      <c r="C909" s="1" t="n">
        <v>46186</v>
      </c>
      <c r="D909" t="inlineStr">
        <is>
          <t>JÖNKÖPINGS LÄN</t>
        </is>
      </c>
      <c r="E909" t="inlineStr">
        <is>
          <t>VETLANDA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52172-2024</t>
        </is>
      </c>
      <c r="B910" s="1" t="n">
        <v>45608.54881944445</v>
      </c>
      <c r="C910" s="1" t="n">
        <v>46186</v>
      </c>
      <c r="D910" t="inlineStr">
        <is>
          <t>JÖNKÖPINGS LÄN</t>
        </is>
      </c>
      <c r="E910" t="inlineStr">
        <is>
          <t>VETLANDA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36774-2025</t>
        </is>
      </c>
      <c r="B911" s="1" t="n">
        <v>45873.59123842593</v>
      </c>
      <c r="C911" s="1" t="n">
        <v>46186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25657-2026</t>
        </is>
      </c>
      <c r="B912" s="1" t="n">
        <v>46178.28552083333</v>
      </c>
      <c r="C912" s="1" t="n">
        <v>46186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55467-2025</t>
        </is>
      </c>
      <c r="B913" s="1" t="n">
        <v>45971</v>
      </c>
      <c r="C913" s="1" t="n">
        <v>46186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52674-2024</t>
        </is>
      </c>
      <c r="B914" s="1" t="n">
        <v>45610.38314814815</v>
      </c>
      <c r="C914" s="1" t="n">
        <v>46186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17962-2026</t>
        </is>
      </c>
      <c r="B915" s="1" t="n">
        <v>46122.9083912037</v>
      </c>
      <c r="C915" s="1" t="n">
        <v>46186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36630-2023</t>
        </is>
      </c>
      <c r="B916" s="1" t="n">
        <v>45153.53380787037</v>
      </c>
      <c r="C916" s="1" t="n">
        <v>46186</v>
      </c>
      <c r="D916" t="inlineStr">
        <is>
          <t>JÖNKÖPINGS LÄN</t>
        </is>
      </c>
      <c r="E916" t="inlineStr">
        <is>
          <t>VETLANDA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17106-2025</t>
        </is>
      </c>
      <c r="B917" s="1" t="n">
        <v>45755.66511574074</v>
      </c>
      <c r="C917" s="1" t="n">
        <v>46186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1583-2025</t>
        </is>
      </c>
      <c r="B918" s="1" t="n">
        <v>45670.57231481482</v>
      </c>
      <c r="C918" s="1" t="n">
        <v>46186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29751-2025</t>
        </is>
      </c>
      <c r="B919" s="1" t="n">
        <v>45825.60899305555</v>
      </c>
      <c r="C919" s="1" t="n">
        <v>46186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7592-2024</t>
        </is>
      </c>
      <c r="B920" s="1" t="n">
        <v>45348</v>
      </c>
      <c r="C920" s="1" t="n">
        <v>46186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32695-2025</t>
        </is>
      </c>
      <c r="B921" s="1" t="n">
        <v>45839.31964120371</v>
      </c>
      <c r="C921" s="1" t="n">
        <v>46186</v>
      </c>
      <c r="D921" t="inlineStr">
        <is>
          <t>JÖNKÖPINGS LÄN</t>
        </is>
      </c>
      <c r="E921" t="inlineStr">
        <is>
          <t>VETLANDA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9889-2024</t>
        </is>
      </c>
      <c r="B922" s="1" t="n">
        <v>45363</v>
      </c>
      <c r="C922" s="1" t="n">
        <v>46186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9892-2024</t>
        </is>
      </c>
      <c r="B923" s="1" t="n">
        <v>45363</v>
      </c>
      <c r="C923" s="1" t="n">
        <v>46186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9867-2024</t>
        </is>
      </c>
      <c r="B924" s="1" t="n">
        <v>45363</v>
      </c>
      <c r="C924" s="1" t="n">
        <v>46186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10044-2024</t>
        </is>
      </c>
      <c r="B925" s="1" t="n">
        <v>45364.29489583334</v>
      </c>
      <c r="C925" s="1" t="n">
        <v>46186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37565-2025</t>
        </is>
      </c>
      <c r="B926" s="1" t="n">
        <v>45880</v>
      </c>
      <c r="C926" s="1" t="n">
        <v>46186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28841-2023</t>
        </is>
      </c>
      <c r="B927" s="1" t="n">
        <v>45104</v>
      </c>
      <c r="C927" s="1" t="n">
        <v>46186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70836-2021</t>
        </is>
      </c>
      <c r="B928" s="1" t="n">
        <v>44538.319375</v>
      </c>
      <c r="C928" s="1" t="n">
        <v>46186</v>
      </c>
      <c r="D928" t="inlineStr">
        <is>
          <t>JÖNKÖPINGS LÄN</t>
        </is>
      </c>
      <c r="E928" t="inlineStr">
        <is>
          <t>VETLANDA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64613-2023</t>
        </is>
      </c>
      <c r="B929" s="1" t="n">
        <v>45281.52006944444</v>
      </c>
      <c r="C929" s="1" t="n">
        <v>46186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34483-2024</t>
        </is>
      </c>
      <c r="B930" s="1" t="n">
        <v>45525.60603009259</v>
      </c>
      <c r="C930" s="1" t="n">
        <v>46186</v>
      </c>
      <c r="D930" t="inlineStr">
        <is>
          <t>JÖNKÖPINGS LÄN</t>
        </is>
      </c>
      <c r="E930" t="inlineStr">
        <is>
          <t>VETLANDA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33026-2022</t>
        </is>
      </c>
      <c r="B931" s="1" t="n">
        <v>44785.3465162037</v>
      </c>
      <c r="C931" s="1" t="n">
        <v>46186</v>
      </c>
      <c r="D931" t="inlineStr">
        <is>
          <t>JÖNKÖPINGS LÄN</t>
        </is>
      </c>
      <c r="E931" t="inlineStr">
        <is>
          <t>VETLANDA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5940-2026</t>
        </is>
      </c>
      <c r="B932" s="1" t="n">
        <v>46052.47891203704</v>
      </c>
      <c r="C932" s="1" t="n">
        <v>46186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38269-2025</t>
        </is>
      </c>
      <c r="B933" s="1" t="n">
        <v>45883.40668981482</v>
      </c>
      <c r="C933" s="1" t="n">
        <v>46186</v>
      </c>
      <c r="D933" t="inlineStr">
        <is>
          <t>JÖNKÖPINGS LÄN</t>
        </is>
      </c>
      <c r="E933" t="inlineStr">
        <is>
          <t>VETLANDA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13644-2023</t>
        </is>
      </c>
      <c r="B934" s="1" t="n">
        <v>45006.65795138889</v>
      </c>
      <c r="C934" s="1" t="n">
        <v>46186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47226-2023</t>
        </is>
      </c>
      <c r="B935" s="1" t="n">
        <v>45202</v>
      </c>
      <c r="C935" s="1" t="n">
        <v>46186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42431-2024</t>
        </is>
      </c>
      <c r="B936" s="1" t="n">
        <v>45563</v>
      </c>
      <c r="C936" s="1" t="n">
        <v>46186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47312-2021</t>
        </is>
      </c>
      <c r="B937" s="1" t="n">
        <v>44447.46810185185</v>
      </c>
      <c r="C937" s="1" t="n">
        <v>46186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8991-2024</t>
        </is>
      </c>
      <c r="B938" s="1" t="n">
        <v>45357.54391203704</v>
      </c>
      <c r="C938" s="1" t="n">
        <v>46186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5136-2025</t>
        </is>
      </c>
      <c r="B939" s="1" t="n">
        <v>45691.5809837963</v>
      </c>
      <c r="C939" s="1" t="n">
        <v>46186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40876-2023</t>
        </is>
      </c>
      <c r="B940" s="1" t="n">
        <v>45173</v>
      </c>
      <c r="C940" s="1" t="n">
        <v>46186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57308-2024</t>
        </is>
      </c>
      <c r="B941" s="1" t="n">
        <v>45629.60505787037</v>
      </c>
      <c r="C941" s="1" t="n">
        <v>46186</v>
      </c>
      <c r="D941" t="inlineStr">
        <is>
          <t>JÖNKÖPINGS LÄN</t>
        </is>
      </c>
      <c r="E941" t="inlineStr">
        <is>
          <t>VETLANDA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2772-2024</t>
        </is>
      </c>
      <c r="B942" s="1" t="n">
        <v>45314.61902777778</v>
      </c>
      <c r="C942" s="1" t="n">
        <v>46186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47846-2021</t>
        </is>
      </c>
      <c r="B943" s="1" t="n">
        <v>44448.65282407407</v>
      </c>
      <c r="C943" s="1" t="n">
        <v>46186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18193-2024</t>
        </is>
      </c>
      <c r="B944" s="1" t="n">
        <v>45420.6628125</v>
      </c>
      <c r="C944" s="1" t="n">
        <v>46186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45882-2023</t>
        </is>
      </c>
      <c r="B945" s="1" t="n">
        <v>45195.6445949074</v>
      </c>
      <c r="C945" s="1" t="n">
        <v>46186</v>
      </c>
      <c r="D945" t="inlineStr">
        <is>
          <t>JÖNKÖPINGS LÄN</t>
        </is>
      </c>
      <c r="E945" t="inlineStr">
        <is>
          <t>VETLANDA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26282-2026</t>
        </is>
      </c>
      <c r="B946" s="1" t="n">
        <v>46182.55842592593</v>
      </c>
      <c r="C946" s="1" t="n">
        <v>46186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55372-2023</t>
        </is>
      </c>
      <c r="B947" s="1" t="n">
        <v>45238.34974537037</v>
      </c>
      <c r="C947" s="1" t="n">
        <v>46186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53790-2022</t>
        </is>
      </c>
      <c r="B948" s="1" t="n">
        <v>44880.49763888889</v>
      </c>
      <c r="C948" s="1" t="n">
        <v>46186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53794-2022</t>
        </is>
      </c>
      <c r="B949" s="1" t="n">
        <v>44880.50003472222</v>
      </c>
      <c r="C949" s="1" t="n">
        <v>46186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24259-2023</t>
        </is>
      </c>
      <c r="B950" s="1" t="n">
        <v>45079</v>
      </c>
      <c r="C950" s="1" t="n">
        <v>46186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26266-2023</t>
        </is>
      </c>
      <c r="B951" s="1" t="n">
        <v>45091</v>
      </c>
      <c r="C951" s="1" t="n">
        <v>46186</v>
      </c>
      <c r="D951" t="inlineStr">
        <is>
          <t>JÖNKÖPINGS LÄN</t>
        </is>
      </c>
      <c r="E951" t="inlineStr">
        <is>
          <t>VETLANDA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12349-2024</t>
        </is>
      </c>
      <c r="B952" s="1" t="n">
        <v>45378</v>
      </c>
      <c r="C952" s="1" t="n">
        <v>46186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54188-2024</t>
        </is>
      </c>
      <c r="B953" s="1" t="n">
        <v>45616.64181712963</v>
      </c>
      <c r="C953" s="1" t="n">
        <v>46186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30346-2025</t>
        </is>
      </c>
      <c r="B954" s="1" t="n">
        <v>45827</v>
      </c>
      <c r="C954" s="1" t="n">
        <v>46186</v>
      </c>
      <c r="D954" t="inlineStr">
        <is>
          <t>JÖNKÖPINGS LÄN</t>
        </is>
      </c>
      <c r="E954" t="inlineStr">
        <is>
          <t>VETLANDA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6880-2022</t>
        </is>
      </c>
      <c r="B955" s="1" t="n">
        <v>44602</v>
      </c>
      <c r="C955" s="1" t="n">
        <v>46186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38932-2023</t>
        </is>
      </c>
      <c r="B956" s="1" t="n">
        <v>45163</v>
      </c>
      <c r="C956" s="1" t="n">
        <v>46186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26297-2026</t>
        </is>
      </c>
      <c r="B957" s="1" t="n">
        <v>46182.5702662037</v>
      </c>
      <c r="C957" s="1" t="n">
        <v>46186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67274-2021</t>
        </is>
      </c>
      <c r="B958" s="1" t="n">
        <v>44523.60070601852</v>
      </c>
      <c r="C958" s="1" t="n">
        <v>46186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17124-2022</t>
        </is>
      </c>
      <c r="B959" s="1" t="n">
        <v>44677.47850694445</v>
      </c>
      <c r="C959" s="1" t="n">
        <v>46186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1441-2024</t>
        </is>
      </c>
      <c r="B960" s="1" t="n">
        <v>45303</v>
      </c>
      <c r="C960" s="1" t="n">
        <v>46186</v>
      </c>
      <c r="D960" t="inlineStr">
        <is>
          <t>JÖNKÖPINGS LÄN</t>
        </is>
      </c>
      <c r="E960" t="inlineStr">
        <is>
          <t>VETLANDA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4679-2022</t>
        </is>
      </c>
      <c r="B961" s="1" t="n">
        <v>44592.47372685185</v>
      </c>
      <c r="C961" s="1" t="n">
        <v>46186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26289-2026</t>
        </is>
      </c>
      <c r="B962" s="1" t="n">
        <v>46182.56318287037</v>
      </c>
      <c r="C962" s="1" t="n">
        <v>46186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27687-2024</t>
        </is>
      </c>
      <c r="B963" s="1" t="n">
        <v>45475.33333333334</v>
      </c>
      <c r="C963" s="1" t="n">
        <v>46186</v>
      </c>
      <c r="D963" t="inlineStr">
        <is>
          <t>JÖNKÖPINGS LÄN</t>
        </is>
      </c>
      <c r="E963" t="inlineStr">
        <is>
          <t>VETLANDA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49444-2023</t>
        </is>
      </c>
      <c r="B964" s="1" t="n">
        <v>45211.4853125</v>
      </c>
      <c r="C964" s="1" t="n">
        <v>46186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48006-2024</t>
        </is>
      </c>
      <c r="B965" s="1" t="n">
        <v>45589.45113425926</v>
      </c>
      <c r="C965" s="1" t="n">
        <v>46186</v>
      </c>
      <c r="D965" t="inlineStr">
        <is>
          <t>JÖNKÖPINGS LÄN</t>
        </is>
      </c>
      <c r="E965" t="inlineStr">
        <is>
          <t>VETLANDA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8675-2024</t>
        </is>
      </c>
      <c r="B966" s="1" t="n">
        <v>45352</v>
      </c>
      <c r="C966" s="1" t="n">
        <v>46186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36845-2024</t>
        </is>
      </c>
      <c r="B967" s="1" t="n">
        <v>45538</v>
      </c>
      <c r="C967" s="1" t="n">
        <v>46186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4968-2024</t>
        </is>
      </c>
      <c r="B968" s="1" t="n">
        <v>45329</v>
      </c>
      <c r="C968" s="1" t="n">
        <v>46186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2786-2024</t>
        </is>
      </c>
      <c r="B969" s="1" t="n">
        <v>45314</v>
      </c>
      <c r="C969" s="1" t="n">
        <v>46186</v>
      </c>
      <c r="D969" t="inlineStr">
        <is>
          <t>JÖNKÖPINGS LÄN</t>
        </is>
      </c>
      <c r="E969" t="inlineStr">
        <is>
          <t>VETLANDA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61289-2024</t>
        </is>
      </c>
      <c r="B970" s="1" t="n">
        <v>45645.81355324074</v>
      </c>
      <c r="C970" s="1" t="n">
        <v>46186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38724-2022</t>
        </is>
      </c>
      <c r="B971" s="1" t="n">
        <v>44815.86887731482</v>
      </c>
      <c r="C971" s="1" t="n">
        <v>46186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60986-2021</t>
        </is>
      </c>
      <c r="B972" s="1" t="n">
        <v>44497.59402777778</v>
      </c>
      <c r="C972" s="1" t="n">
        <v>46186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16801-2025</t>
        </is>
      </c>
      <c r="B973" s="1" t="n">
        <v>45754.61956018519</v>
      </c>
      <c r="C973" s="1" t="n">
        <v>46186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26228-2023</t>
        </is>
      </c>
      <c r="B974" s="1" t="n">
        <v>45091.57478009259</v>
      </c>
      <c r="C974" s="1" t="n">
        <v>46186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15929-2023</t>
        </is>
      </c>
      <c r="B975" s="1" t="n">
        <v>45022</v>
      </c>
      <c r="C975" s="1" t="n">
        <v>46186</v>
      </c>
      <c r="D975" t="inlineStr">
        <is>
          <t>JÖNKÖPINGS LÄN</t>
        </is>
      </c>
      <c r="E975" t="inlineStr">
        <is>
          <t>VETLANDA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34794-2024</t>
        </is>
      </c>
      <c r="B976" s="1" t="n">
        <v>45526.66983796296</v>
      </c>
      <c r="C976" s="1" t="n">
        <v>46186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31457-2023</t>
        </is>
      </c>
      <c r="B977" s="1" t="n">
        <v>45114</v>
      </c>
      <c r="C977" s="1" t="n">
        <v>46186</v>
      </c>
      <c r="D977" t="inlineStr">
        <is>
          <t>JÖNKÖPINGS LÄN</t>
        </is>
      </c>
      <c r="E977" t="inlineStr">
        <is>
          <t>VETLANDA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27001-2026</t>
        </is>
      </c>
      <c r="B978" s="1" t="n">
        <v>46185.62405092592</v>
      </c>
      <c r="C978" s="1" t="n">
        <v>46186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26884-2026</t>
        </is>
      </c>
      <c r="B979" s="1" t="n">
        <v>46185.45840277777</v>
      </c>
      <c r="C979" s="1" t="n">
        <v>46186</v>
      </c>
      <c r="D979" t="inlineStr">
        <is>
          <t>JÖNKÖPINGS LÄN</t>
        </is>
      </c>
      <c r="E979" t="inlineStr">
        <is>
          <t>VETLANDA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21290-2024</t>
        </is>
      </c>
      <c r="B980" s="1" t="n">
        <v>45440.66215277778</v>
      </c>
      <c r="C980" s="1" t="n">
        <v>46186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3815-2022</t>
        </is>
      </c>
      <c r="B981" s="1" t="n">
        <v>44587.32568287037</v>
      </c>
      <c r="C981" s="1" t="n">
        <v>46186</v>
      </c>
      <c r="D981" t="inlineStr">
        <is>
          <t>JÖNKÖPINGS LÄN</t>
        </is>
      </c>
      <c r="E981" t="inlineStr">
        <is>
          <t>VETLANDA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22820-2022</t>
        </is>
      </c>
      <c r="B982" s="1" t="n">
        <v>44715.42476851852</v>
      </c>
      <c r="C982" s="1" t="n">
        <v>46186</v>
      </c>
      <c r="D982" t="inlineStr">
        <is>
          <t>JÖNKÖPINGS LÄN</t>
        </is>
      </c>
      <c r="E982" t="inlineStr">
        <is>
          <t>VETLANDA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38827-2022</t>
        </is>
      </c>
      <c r="B983" s="1" t="n">
        <v>44813</v>
      </c>
      <c r="C983" s="1" t="n">
        <v>46186</v>
      </c>
      <c r="D983" t="inlineStr">
        <is>
          <t>JÖNKÖPINGS LÄN</t>
        </is>
      </c>
      <c r="E983" t="inlineStr">
        <is>
          <t>VETLANDA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10381-2024</t>
        </is>
      </c>
      <c r="B984" s="1" t="n">
        <v>45365.64836805555</v>
      </c>
      <c r="C984" s="1" t="n">
        <v>46186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12875-2024</t>
        </is>
      </c>
      <c r="B985" s="1" t="n">
        <v>45385</v>
      </c>
      <c r="C985" s="1" t="n">
        <v>46186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3541-2023</t>
        </is>
      </c>
      <c r="B986" s="1" t="n">
        <v>44946</v>
      </c>
      <c r="C986" s="1" t="n">
        <v>46186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36700-2022</t>
        </is>
      </c>
      <c r="B987" s="1" t="n">
        <v>44805.27554398148</v>
      </c>
      <c r="C987" s="1" t="n">
        <v>46186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38628-2022</t>
        </is>
      </c>
      <c r="B988" s="1" t="n">
        <v>44813</v>
      </c>
      <c r="C988" s="1" t="n">
        <v>46186</v>
      </c>
      <c r="D988" t="inlineStr">
        <is>
          <t>JÖNKÖPINGS LÄN</t>
        </is>
      </c>
      <c r="E988" t="inlineStr">
        <is>
          <t>VETLANDA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14927-2024</t>
        </is>
      </c>
      <c r="B989" s="1" t="n">
        <v>45398.62652777778</v>
      </c>
      <c r="C989" s="1" t="n">
        <v>46186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1695-2024</t>
        </is>
      </c>
      <c r="B990" s="1" t="n">
        <v>45307.34739583333</v>
      </c>
      <c r="C990" s="1" t="n">
        <v>46186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46186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61666-2022</t>
        </is>
      </c>
      <c r="B992" s="1" t="n">
        <v>44917</v>
      </c>
      <c r="C992" s="1" t="n">
        <v>46186</v>
      </c>
      <c r="D992" t="inlineStr">
        <is>
          <t>JÖNKÖPINGS LÄN</t>
        </is>
      </c>
      <c r="E992" t="inlineStr">
        <is>
          <t>VETLANDA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42826-2023</t>
        </is>
      </c>
      <c r="B993" s="1" t="n">
        <v>45177</v>
      </c>
      <c r="C993" s="1" t="n">
        <v>46186</v>
      </c>
      <c r="D993" t="inlineStr">
        <is>
          <t>JÖNKÖPINGS LÄN</t>
        </is>
      </c>
      <c r="E993" t="inlineStr">
        <is>
          <t>VETLANDA</t>
        </is>
      </c>
      <c r="F993" t="inlineStr">
        <is>
          <t>Kyrkan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41173-2023</t>
        </is>
      </c>
      <c r="B994" s="1" t="n">
        <v>45174.35186342592</v>
      </c>
      <c r="C994" s="1" t="n">
        <v>46186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5031-2024</t>
        </is>
      </c>
      <c r="B995" s="1" t="n">
        <v>45329</v>
      </c>
      <c r="C995" s="1" t="n">
        <v>46186</v>
      </c>
      <c r="D995" t="inlineStr">
        <is>
          <t>JÖNKÖPINGS LÄN</t>
        </is>
      </c>
      <c r="E995" t="inlineStr">
        <is>
          <t>VETLANDA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57211-2023</t>
        </is>
      </c>
      <c r="B996" s="1" t="n">
        <v>45245.48828703703</v>
      </c>
      <c r="C996" s="1" t="n">
        <v>46186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37447-2021</t>
        </is>
      </c>
      <c r="B997" s="1" t="n">
        <v>44398</v>
      </c>
      <c r="C997" s="1" t="n">
        <v>46186</v>
      </c>
      <c r="D997" t="inlineStr">
        <is>
          <t>JÖNKÖPINGS LÄN</t>
        </is>
      </c>
      <c r="E997" t="inlineStr">
        <is>
          <t>VETLANDA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13811-2025</t>
        </is>
      </c>
      <c r="B998" s="1" t="n">
        <v>45737</v>
      </c>
      <c r="C998" s="1" t="n">
        <v>46186</v>
      </c>
      <c r="D998" t="inlineStr">
        <is>
          <t>JÖNKÖPINGS LÄN</t>
        </is>
      </c>
      <c r="E998" t="inlineStr">
        <is>
          <t>VETLANDA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10009-2025</t>
        </is>
      </c>
      <c r="B999" s="1" t="n">
        <v>45719.45905092593</v>
      </c>
      <c r="C999" s="1" t="n">
        <v>46186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10186-2024</t>
        </is>
      </c>
      <c r="B1000" s="1" t="n">
        <v>45364.88361111111</v>
      </c>
      <c r="C1000" s="1" t="n">
        <v>46186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25560-2023</t>
        </is>
      </c>
      <c r="B1001" s="1" t="n">
        <v>45089.60100694445</v>
      </c>
      <c r="C1001" s="1" t="n">
        <v>46186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50285-2021</t>
        </is>
      </c>
      <c r="B1002" s="1" t="n">
        <v>44459.33054398148</v>
      </c>
      <c r="C1002" s="1" t="n">
        <v>46186</v>
      </c>
      <c r="D1002" t="inlineStr">
        <is>
          <t>JÖNKÖPINGS LÄN</t>
        </is>
      </c>
      <c r="E1002" t="inlineStr">
        <is>
          <t>VETLANDA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606-2025</t>
        </is>
      </c>
      <c r="B1003" s="1" t="n">
        <v>45660</v>
      </c>
      <c r="C1003" s="1" t="n">
        <v>46186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29883-2023</t>
        </is>
      </c>
      <c r="B1004" s="1" t="n">
        <v>45107</v>
      </c>
      <c r="C1004" s="1" t="n">
        <v>46186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43559-2023</t>
        </is>
      </c>
      <c r="B1005" s="1" t="n">
        <v>45184.57670138889</v>
      </c>
      <c r="C1005" s="1" t="n">
        <v>46186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48080-2024</t>
        </is>
      </c>
      <c r="B1006" s="1" t="n">
        <v>45589.5802662037</v>
      </c>
      <c r="C1006" s="1" t="n">
        <v>46186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48100-2024</t>
        </is>
      </c>
      <c r="B1007" s="1" t="n">
        <v>45589.61851851852</v>
      </c>
      <c r="C1007" s="1" t="n">
        <v>46186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35809-2024</t>
        </is>
      </c>
      <c r="B1008" s="1" t="n">
        <v>45532.6524537037</v>
      </c>
      <c r="C1008" s="1" t="n">
        <v>46186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36691-2021</t>
        </is>
      </c>
      <c r="B1009" s="1" t="n">
        <v>44392.49893518518</v>
      </c>
      <c r="C1009" s="1" t="n">
        <v>46186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36751-2021</t>
        </is>
      </c>
      <c r="B1010" s="1" t="n">
        <v>44392.6381712963</v>
      </c>
      <c r="C1010" s="1" t="n">
        <v>46186</v>
      </c>
      <c r="D1010" t="inlineStr">
        <is>
          <t>JÖNKÖPINGS LÄN</t>
        </is>
      </c>
      <c r="E1010" t="inlineStr">
        <is>
          <t>VETLANDA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10934-2024</t>
        </is>
      </c>
      <c r="B1011" s="1" t="n">
        <v>45370</v>
      </c>
      <c r="C1011" s="1" t="n">
        <v>46186</v>
      </c>
      <c r="D1011" t="inlineStr">
        <is>
          <t>JÖNKÖPINGS LÄN</t>
        </is>
      </c>
      <c r="E1011" t="inlineStr">
        <is>
          <t>VETLANDA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16074-2024</t>
        </is>
      </c>
      <c r="B1012" s="1" t="n">
        <v>45406.34086805556</v>
      </c>
      <c r="C1012" s="1" t="n">
        <v>46186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5491-2022</t>
        </is>
      </c>
      <c r="B1013" s="1" t="n">
        <v>44595.52881944444</v>
      </c>
      <c r="C1013" s="1" t="n">
        <v>46186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29033-2023</t>
        </is>
      </c>
      <c r="B1014" s="1" t="n">
        <v>45104.73836805556</v>
      </c>
      <c r="C1014" s="1" t="n">
        <v>46186</v>
      </c>
      <c r="D1014" t="inlineStr">
        <is>
          <t>JÖNKÖPINGS LÄN</t>
        </is>
      </c>
      <c r="E1014" t="inlineStr">
        <is>
          <t>VETLANDA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22529-2023</t>
        </is>
      </c>
      <c r="B1015" s="1" t="n">
        <v>45071</v>
      </c>
      <c r="C1015" s="1" t="n">
        <v>46186</v>
      </c>
      <c r="D1015" t="inlineStr">
        <is>
          <t>JÖNKÖPINGS LÄN</t>
        </is>
      </c>
      <c r="E1015" t="inlineStr">
        <is>
          <t>VETLANDA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38887-2022</t>
        </is>
      </c>
      <c r="B1016" s="1" t="n">
        <v>44816</v>
      </c>
      <c r="C1016" s="1" t="n">
        <v>46186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50242-2023</t>
        </is>
      </c>
      <c r="B1017" s="1" t="n">
        <v>45216.33821759259</v>
      </c>
      <c r="C1017" s="1" t="n">
        <v>46186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1295-2024</t>
        </is>
      </c>
      <c r="B1018" s="1" t="n">
        <v>45303.34582175926</v>
      </c>
      <c r="C1018" s="1" t="n">
        <v>46186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2977-2025</t>
        </is>
      </c>
      <c r="B1019" s="1" t="n">
        <v>45678.47584490741</v>
      </c>
      <c r="C1019" s="1" t="n">
        <v>46186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42990-2023</t>
        </is>
      </c>
      <c r="B1020" s="1" t="n">
        <v>45182.62420138889</v>
      </c>
      <c r="C1020" s="1" t="n">
        <v>46186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60820-2021</t>
        </is>
      </c>
      <c r="B1021" s="1" t="n">
        <v>44495</v>
      </c>
      <c r="C1021" s="1" t="n">
        <v>46186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43100-2022</t>
        </is>
      </c>
      <c r="B1022" s="1" t="n">
        <v>44833</v>
      </c>
      <c r="C1022" s="1" t="n">
        <v>46186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52648-2023</t>
        </is>
      </c>
      <c r="B1023" s="1" t="n">
        <v>45219</v>
      </c>
      <c r="C1023" s="1" t="n">
        <v>46186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16637-2023</t>
        </is>
      </c>
      <c r="B1024" s="1" t="n">
        <v>45030.45988425926</v>
      </c>
      <c r="C1024" s="1" t="n">
        <v>46186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37829-2024</t>
        </is>
      </c>
      <c r="B1025" s="1" t="n">
        <v>45544.34594907407</v>
      </c>
      <c r="C1025" s="1" t="n">
        <v>46186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49360-2023</t>
        </is>
      </c>
      <c r="B1026" s="1" t="n">
        <v>45211</v>
      </c>
      <c r="C1026" s="1" t="n">
        <v>46186</v>
      </c>
      <c r="D1026" t="inlineStr">
        <is>
          <t>JÖNKÖPINGS LÄN</t>
        </is>
      </c>
      <c r="E1026" t="inlineStr">
        <is>
          <t>VETLANDA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5163-2025</t>
        </is>
      </c>
      <c r="B1027" s="1" t="n">
        <v>45691.61326388889</v>
      </c>
      <c r="C1027" s="1" t="n">
        <v>46186</v>
      </c>
      <c r="D1027" t="inlineStr">
        <is>
          <t>JÖNKÖPINGS LÄN</t>
        </is>
      </c>
      <c r="E1027" t="inlineStr">
        <is>
          <t>VETLANDA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58345-2021</t>
        </is>
      </c>
      <c r="B1028" s="1" t="n">
        <v>44488.41871527778</v>
      </c>
      <c r="C1028" s="1" t="n">
        <v>46186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57946-2024</t>
        </is>
      </c>
      <c r="B1029" s="1" t="n">
        <v>45631.55684027778</v>
      </c>
      <c r="C1029" s="1" t="n">
        <v>46186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50252-2023</t>
        </is>
      </c>
      <c r="B1030" s="1" t="n">
        <v>45216.36305555556</v>
      </c>
      <c r="C1030" s="1" t="n">
        <v>46186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9497-2024</t>
        </is>
      </c>
      <c r="B1031" s="1" t="n">
        <v>45359.59966435185</v>
      </c>
      <c r="C1031" s="1" t="n">
        <v>46186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11816-2024</t>
        </is>
      </c>
      <c r="B1032" s="1" t="n">
        <v>45376.32592592593</v>
      </c>
      <c r="C1032" s="1" t="n">
        <v>46186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37676-2022</t>
        </is>
      </c>
      <c r="B1033" s="1" t="n">
        <v>44810.47083333333</v>
      </c>
      <c r="C1033" s="1" t="n">
        <v>46186</v>
      </c>
      <c r="D1033" t="inlineStr">
        <is>
          <t>JÖNKÖPINGS LÄN</t>
        </is>
      </c>
      <c r="E1033" t="inlineStr">
        <is>
          <t>VETLANDA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48885-2023</t>
        </is>
      </c>
      <c r="B1034" s="1" t="n">
        <v>45209</v>
      </c>
      <c r="C1034" s="1" t="n">
        <v>46186</v>
      </c>
      <c r="D1034" t="inlineStr">
        <is>
          <t>JÖNKÖPINGS LÄN</t>
        </is>
      </c>
      <c r="E1034" t="inlineStr">
        <is>
          <t>VETLANDA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43158-2023</t>
        </is>
      </c>
      <c r="B1035" s="1" t="n">
        <v>45183.33701388889</v>
      </c>
      <c r="C1035" s="1" t="n">
        <v>46186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49411-2024</t>
        </is>
      </c>
      <c r="B1036" s="1" t="n">
        <v>45595.68493055556</v>
      </c>
      <c r="C1036" s="1" t="n">
        <v>46186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45010-2024</t>
        </is>
      </c>
      <c r="B1037" s="1" t="n">
        <v>45575.49151620371</v>
      </c>
      <c r="C1037" s="1" t="n">
        <v>46186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21267-2023</t>
        </is>
      </c>
      <c r="B1038" s="1" t="n">
        <v>45062</v>
      </c>
      <c r="C1038" s="1" t="n">
        <v>46186</v>
      </c>
      <c r="D1038" t="inlineStr">
        <is>
          <t>JÖNKÖPINGS LÄN</t>
        </is>
      </c>
      <c r="E1038" t="inlineStr">
        <is>
          <t>VETLANDA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53952-2023</t>
        </is>
      </c>
      <c r="B1039" s="1" t="n">
        <v>45231.61479166667</v>
      </c>
      <c r="C1039" s="1" t="n">
        <v>46186</v>
      </c>
      <c r="D1039" t="inlineStr">
        <is>
          <t>JÖNKÖPINGS LÄN</t>
        </is>
      </c>
      <c r="E1039" t="inlineStr">
        <is>
          <t>VETLANDA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6582-2025</t>
        </is>
      </c>
      <c r="B1040" s="1" t="n">
        <v>45699.97146990741</v>
      </c>
      <c r="C1040" s="1" t="n">
        <v>46186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13813-2025</t>
        </is>
      </c>
      <c r="B1041" s="1" t="n">
        <v>45737</v>
      </c>
      <c r="C1041" s="1" t="n">
        <v>46186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523-2023</t>
        </is>
      </c>
      <c r="B1042" s="1" t="n">
        <v>44930</v>
      </c>
      <c r="C1042" s="1" t="n">
        <v>46186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8253-2023</t>
        </is>
      </c>
      <c r="B1043" s="1" t="n">
        <v>44971</v>
      </c>
      <c r="C1043" s="1" t="n">
        <v>46186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50756-2024</t>
        </is>
      </c>
      <c r="B1044" s="1" t="n">
        <v>45602.43070601852</v>
      </c>
      <c r="C1044" s="1" t="n">
        <v>46186</v>
      </c>
      <c r="D1044" t="inlineStr">
        <is>
          <t>JÖNKÖPINGS LÄN</t>
        </is>
      </c>
      <c r="E1044" t="inlineStr">
        <is>
          <t>VETLANDA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26431-2023</t>
        </is>
      </c>
      <c r="B1045" s="1" t="n">
        <v>45092.40048611111</v>
      </c>
      <c r="C1045" s="1" t="n">
        <v>46186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2497-2025</t>
        </is>
      </c>
      <c r="B1046" s="1" t="n">
        <v>45674.52591435185</v>
      </c>
      <c r="C1046" s="1" t="n">
        <v>46186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28774-2024</t>
        </is>
      </c>
      <c r="B1047" s="1" t="n">
        <v>45478</v>
      </c>
      <c r="C1047" s="1" t="n">
        <v>46186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19431-2025</t>
        </is>
      </c>
      <c r="B1048" s="1" t="n">
        <v>45769.80791666666</v>
      </c>
      <c r="C1048" s="1" t="n">
        <v>46186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39110-2023</t>
        </is>
      </c>
      <c r="B1049" s="1" t="n">
        <v>45164.86072916666</v>
      </c>
      <c r="C1049" s="1" t="n">
        <v>46186</v>
      </c>
      <c r="D1049" t="inlineStr">
        <is>
          <t>JÖNKÖPINGS LÄN</t>
        </is>
      </c>
      <c r="E1049" t="inlineStr">
        <is>
          <t>VETLANDA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2202-2024</t>
        </is>
      </c>
      <c r="B1050" s="1" t="n">
        <v>45309</v>
      </c>
      <c r="C1050" s="1" t="n">
        <v>46186</v>
      </c>
      <c r="D1050" t="inlineStr">
        <is>
          <t>JÖNKÖPINGS LÄN</t>
        </is>
      </c>
      <c r="E1050" t="inlineStr">
        <is>
          <t>VETLANDA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2203-2024</t>
        </is>
      </c>
      <c r="B1051" s="1" t="n">
        <v>45309</v>
      </c>
      <c r="C1051" s="1" t="n">
        <v>46186</v>
      </c>
      <c r="D1051" t="inlineStr">
        <is>
          <t>JÖNKÖPINGS LÄN</t>
        </is>
      </c>
      <c r="E1051" t="inlineStr">
        <is>
          <t>VETLANDA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42880-2023</t>
        </is>
      </c>
      <c r="B1052" s="1" t="n">
        <v>45182.45072916667</v>
      </c>
      <c r="C1052" s="1" t="n">
        <v>46186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4941-2024</t>
        </is>
      </c>
      <c r="B1053" s="1" t="n">
        <v>45329</v>
      </c>
      <c r="C1053" s="1" t="n">
        <v>46186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53308-2023</t>
        </is>
      </c>
      <c r="B1054" s="1" t="n">
        <v>45222</v>
      </c>
      <c r="C1054" s="1" t="n">
        <v>46186</v>
      </c>
      <c r="D1054" t="inlineStr">
        <is>
          <t>JÖNKÖPINGS LÄN</t>
        </is>
      </c>
      <c r="E1054" t="inlineStr">
        <is>
          <t>VETLANDA</t>
        </is>
      </c>
      <c r="G1054" t="n">
        <v>13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6208-2024</t>
        </is>
      </c>
      <c r="B1055" s="1" t="n">
        <v>45337</v>
      </c>
      <c r="C1055" s="1" t="n">
        <v>46186</v>
      </c>
      <c r="D1055" t="inlineStr">
        <is>
          <t>JÖNKÖPINGS LÄN</t>
        </is>
      </c>
      <c r="E1055" t="inlineStr">
        <is>
          <t>VETLANDA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30522-2024</t>
        </is>
      </c>
      <c r="B1056" s="1" t="n">
        <v>45492.52554398148</v>
      </c>
      <c r="C1056" s="1" t="n">
        <v>46186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4033-2024</t>
        </is>
      </c>
      <c r="B1057" s="1" t="n">
        <v>45323.41452546296</v>
      </c>
      <c r="C1057" s="1" t="n">
        <v>46186</v>
      </c>
      <c r="D1057" t="inlineStr">
        <is>
          <t>JÖNKÖPINGS LÄN</t>
        </is>
      </c>
      <c r="E1057" t="inlineStr">
        <is>
          <t>VETLANDA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18665-2025</t>
        </is>
      </c>
      <c r="B1058" s="1" t="n">
        <v>45763.59106481481</v>
      </c>
      <c r="C1058" s="1" t="n">
        <v>46186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12700-2024</t>
        </is>
      </c>
      <c r="B1059" s="1" t="n">
        <v>45384.44951388889</v>
      </c>
      <c r="C1059" s="1" t="n">
        <v>46186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409-2024</t>
        </is>
      </c>
      <c r="B1060" s="1" t="n">
        <v>45296</v>
      </c>
      <c r="C1060" s="1" t="n">
        <v>46186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18507-2025</t>
        </is>
      </c>
      <c r="B1061" s="1" t="n">
        <v>45763.37726851852</v>
      </c>
      <c r="C1061" s="1" t="n">
        <v>46186</v>
      </c>
      <c r="D1061" t="inlineStr">
        <is>
          <t>JÖNKÖPINGS LÄN</t>
        </is>
      </c>
      <c r="E1061" t="inlineStr">
        <is>
          <t>VETLANDA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18509-2025</t>
        </is>
      </c>
      <c r="B1062" s="1" t="n">
        <v>45763.37920138889</v>
      </c>
      <c r="C1062" s="1" t="n">
        <v>46186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18518-2025</t>
        </is>
      </c>
      <c r="B1063" s="1" t="n">
        <v>45763.38908564814</v>
      </c>
      <c r="C1063" s="1" t="n">
        <v>46186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3536-2023</t>
        </is>
      </c>
      <c r="B1064" s="1" t="n">
        <v>44946</v>
      </c>
      <c r="C1064" s="1" t="n">
        <v>46186</v>
      </c>
      <c r="D1064" t="inlineStr">
        <is>
          <t>JÖNKÖPINGS LÄN</t>
        </is>
      </c>
      <c r="E1064" t="inlineStr">
        <is>
          <t>VETLANDA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25124-2024</t>
        </is>
      </c>
      <c r="B1065" s="1" t="n">
        <v>45462</v>
      </c>
      <c r="C1065" s="1" t="n">
        <v>46186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38552-2021</t>
        </is>
      </c>
      <c r="B1066" s="1" t="n">
        <v>44407.60175925926</v>
      </c>
      <c r="C1066" s="1" t="n">
        <v>46186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53551-2022</t>
        </is>
      </c>
      <c r="B1067" s="1" t="n">
        <v>44879</v>
      </c>
      <c r="C1067" s="1" t="n">
        <v>46186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10170-2025</t>
        </is>
      </c>
      <c r="B1068" s="1" t="n">
        <v>45719.65729166667</v>
      </c>
      <c r="C1068" s="1" t="n">
        <v>46186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37255-2024</t>
        </is>
      </c>
      <c r="B1069" s="1" t="n">
        <v>45540.36818287037</v>
      </c>
      <c r="C1069" s="1" t="n">
        <v>46186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33935-2023</t>
        </is>
      </c>
      <c r="B1070" s="1" t="n">
        <v>45134.50414351852</v>
      </c>
      <c r="C1070" s="1" t="n">
        <v>46186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2323-2024</t>
        </is>
      </c>
      <c r="B1071" s="1" t="n">
        <v>45310</v>
      </c>
      <c r="C1071" s="1" t="n">
        <v>46186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3116-2024</t>
        </is>
      </c>
      <c r="B1072" s="1" t="n">
        <v>45316.50005787037</v>
      </c>
      <c r="C1072" s="1" t="n">
        <v>46186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17227-2024</t>
        </is>
      </c>
      <c r="B1073" s="1" t="n">
        <v>45414.36013888889</v>
      </c>
      <c r="C1073" s="1" t="n">
        <v>46186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51906-2024</t>
        </is>
      </c>
      <c r="B1074" s="1" t="n">
        <v>45607</v>
      </c>
      <c r="C1074" s="1" t="n">
        <v>46186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39621-2022</t>
        </is>
      </c>
      <c r="B1075" s="1" t="n">
        <v>44818.64456018519</v>
      </c>
      <c r="C1075" s="1" t="n">
        <v>46186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2221-2025</t>
        </is>
      </c>
      <c r="B1076" s="1" t="n">
        <v>45673.45511574074</v>
      </c>
      <c r="C1076" s="1" t="n">
        <v>46186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42417-2022</t>
        </is>
      </c>
      <c r="B1077" s="1" t="n">
        <v>44831</v>
      </c>
      <c r="C1077" s="1" t="n">
        <v>46186</v>
      </c>
      <c r="D1077" t="inlineStr">
        <is>
          <t>JÖNKÖPINGS LÄN</t>
        </is>
      </c>
      <c r="E1077" t="inlineStr">
        <is>
          <t>VETLANDA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13710-2023</t>
        </is>
      </c>
      <c r="B1078" s="1" t="n">
        <v>45001</v>
      </c>
      <c r="C1078" s="1" t="n">
        <v>46186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59578-2023</t>
        </is>
      </c>
      <c r="B1079" s="1" t="n">
        <v>45254.60143518518</v>
      </c>
      <c r="C1079" s="1" t="n">
        <v>46186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Övriga Aktiebolag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25858-2023</t>
        </is>
      </c>
      <c r="B1080" s="1" t="n">
        <v>45090.59459490741</v>
      </c>
      <c r="C1080" s="1" t="n">
        <v>46186</v>
      </c>
      <c r="D1080" t="inlineStr">
        <is>
          <t>JÖNKÖPINGS LÄN</t>
        </is>
      </c>
      <c r="E1080" t="inlineStr">
        <is>
          <t>VETLANDA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33681-2023</t>
        </is>
      </c>
      <c r="B1081" s="1" t="n">
        <v>45132.64173611111</v>
      </c>
      <c r="C1081" s="1" t="n">
        <v>46186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5802-2024</t>
        </is>
      </c>
      <c r="B1082" s="1" t="n">
        <v>45335</v>
      </c>
      <c r="C1082" s="1" t="n">
        <v>46186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50759-2024</t>
        </is>
      </c>
      <c r="B1083" s="1" t="n">
        <v>45602.43329861111</v>
      </c>
      <c r="C1083" s="1" t="n">
        <v>46186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5937-2023</t>
        </is>
      </c>
      <c r="B1084" s="1" t="n">
        <v>44963.8266087963</v>
      </c>
      <c r="C1084" s="1" t="n">
        <v>46186</v>
      </c>
      <c r="D1084" t="inlineStr">
        <is>
          <t>JÖNKÖPINGS LÄN</t>
        </is>
      </c>
      <c r="E1084" t="inlineStr">
        <is>
          <t>VETLANDA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40051-2023</t>
        </is>
      </c>
      <c r="B1085" s="1" t="n">
        <v>45168.70575231482</v>
      </c>
      <c r="C1085" s="1" t="n">
        <v>46186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15289-2024</t>
        </is>
      </c>
      <c r="B1086" s="1" t="n">
        <v>45400.6177662037</v>
      </c>
      <c r="C1086" s="1" t="n">
        <v>46186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44331-2023</t>
        </is>
      </c>
      <c r="B1087" s="1" t="n">
        <v>45188.66708333333</v>
      </c>
      <c r="C1087" s="1" t="n">
        <v>46186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1587-2025</t>
        </is>
      </c>
      <c r="B1088" s="1" t="n">
        <v>45670.57783564815</v>
      </c>
      <c r="C1088" s="1" t="n">
        <v>46186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58578-2022</t>
        </is>
      </c>
      <c r="B1089" s="1" t="n">
        <v>44902.52461805556</v>
      </c>
      <c r="C1089" s="1" t="n">
        <v>46186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117-2022</t>
        </is>
      </c>
      <c r="B1090" s="1" t="n">
        <v>44564</v>
      </c>
      <c r="C1090" s="1" t="n">
        <v>46186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Övriga Aktiebolag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44464-2023</t>
        </is>
      </c>
      <c r="B1091" s="1" t="n">
        <v>45189.39834490741</v>
      </c>
      <c r="C1091" s="1" t="n">
        <v>46186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5194-2025</t>
        </is>
      </c>
      <c r="B1092" s="1" t="n">
        <v>45691.65603009259</v>
      </c>
      <c r="C1092" s="1" t="n">
        <v>46186</v>
      </c>
      <c r="D1092" t="inlineStr">
        <is>
          <t>JÖNKÖPINGS LÄN</t>
        </is>
      </c>
      <c r="E1092" t="inlineStr">
        <is>
          <t>VETLANDA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61454-2022</t>
        </is>
      </c>
      <c r="B1093" s="1" t="n">
        <v>44916.41415509259</v>
      </c>
      <c r="C1093" s="1" t="n">
        <v>46186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4794-2023</t>
        </is>
      </c>
      <c r="B1094" s="1" t="n">
        <v>44957.61083333333</v>
      </c>
      <c r="C1094" s="1" t="n">
        <v>46186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2026-06-13T09:24:25Z</dcterms:created>
  <dcterms:modified xmlns:dcterms="http://purl.org/dc/terms/" xmlns:xsi="http://www.w3.org/2001/XMLSchema-instance" xsi:type="dcterms:W3CDTF">2026-06-13T09:24:26Z</dcterms:modified>
</cp:coreProperties>
</file>