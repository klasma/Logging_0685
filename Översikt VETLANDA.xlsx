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45725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45725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45725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45725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45725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45725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45725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45725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45725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45725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45725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45725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45725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45725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45725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45725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45725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45725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45725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45725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45725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45725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45725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45725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45725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45725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45725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45725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45725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45725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45725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45725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45725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45725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45725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45725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45725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45725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45725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45725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45725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45725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45725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45725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45725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45725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45725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45725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45725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45725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45725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45725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45725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45725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45725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45725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45725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45725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45725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45725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45725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45725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45725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45725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45725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45725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45725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45725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45725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45725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45725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45725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45725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45725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45725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45725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45725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45725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45725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45725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45725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45725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45725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45725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45725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45725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45725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45725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45725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45725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45725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45725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45725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45725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10720-2025</t>
        </is>
      </c>
      <c r="B134" s="1" t="n">
        <v>45722</v>
      </c>
      <c r="C134" s="1" t="n">
        <v>45725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Vätteros</t>
        </is>
      </c>
      <c r="S134">
        <f>HYPERLINK("https://klasma.github.io/Logging_0685/artfynd/A 10720-2025 artfynd.xlsx", "A 10720-2025")</f>
        <v/>
      </c>
      <c r="T134">
        <f>HYPERLINK("https://klasma.github.io/Logging_0685/kartor/A 10720-2025 karta.png", "A 10720-2025")</f>
        <v/>
      </c>
      <c r="V134">
        <f>HYPERLINK("https://klasma.github.io/Logging_0685/klagomål/A 10720-2025 FSC-klagomål.docx", "A 10720-2025")</f>
        <v/>
      </c>
      <c r="W134">
        <f>HYPERLINK("https://klasma.github.io/Logging_0685/klagomålsmail/A 10720-2025 FSC-klagomål mail.docx", "A 10720-2025")</f>
        <v/>
      </c>
      <c r="X134">
        <f>HYPERLINK("https://klasma.github.io/Logging_0685/tillsyn/A 10720-2025 tillsynsbegäran.docx", "A 10720-2025")</f>
        <v/>
      </c>
      <c r="Y134">
        <f>HYPERLINK("https://klasma.github.io/Logging_0685/tillsynsmail/A 10720-2025 tillsynsbegäran mail.docx", "A 10720-2025")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45725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45725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45725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45725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45725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45725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45725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45725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45725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45725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45725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45725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45725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45725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45725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45725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45725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45725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45725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45725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45725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45725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45725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45725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45725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45725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45725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45725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45725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45725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45725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45725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45725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45725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45725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45725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45725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45725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45725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45725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45725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45725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45725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45725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45725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45725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45725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45725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45725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45725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45725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45725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45725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45725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45725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45725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45725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45725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45725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45725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45725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45725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45725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45725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45725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45725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45725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45725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45725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45725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45725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45725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45725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45725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45725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45725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45725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45725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45725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45725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45725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45725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45725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45725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45725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45725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45725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45725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45725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45725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45725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45725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45725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45725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45725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45725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45725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45725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45725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45725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45725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45725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45725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45725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45725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45725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45725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45725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45725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45725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45725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45725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45725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45725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45725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45725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45725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45725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45725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45725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45725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45725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45725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45725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45725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45725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45725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45725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45725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45725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45725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45725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45725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45725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45725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45725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45725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45725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45725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45725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45725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45725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45725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45725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45725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45725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45725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45725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45725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45725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45725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45725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45725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45725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45725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45725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45725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45725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45725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45725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45725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45725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45725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45725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45725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45725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45725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45725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45725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45725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45725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45725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45725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45725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45725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45725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45725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45725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45725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45725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45725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45725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45725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45725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45725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45725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45725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45725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45725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45725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45725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45725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45725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45725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45725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45725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45725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45725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45725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45725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45725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45725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45725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45725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45725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45725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45725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45725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45725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45725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45725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45725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45725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45725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45725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45725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45725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45725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45725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45725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45725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45725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45725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45725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45725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45725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45725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45725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45725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45725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45725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45725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45725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45725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45725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45725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45725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45725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45725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45725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45725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45725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45725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45725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45725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45725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45725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45725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45725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45725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45725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45725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45725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45725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45725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45725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45725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45725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45725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45725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45725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45725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45725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45725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45725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45725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45725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45725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45725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45725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45725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45725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45725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45725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45725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45725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45725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45725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45725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45725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45725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45725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45725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45725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45725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45725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45725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45725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45725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45725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45725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45725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45725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45725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45725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45725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45725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45725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45725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45725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45725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45725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45725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45725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45725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45725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45725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45725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45725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45725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45725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45725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45725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45725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45725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45725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45725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45725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45725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45725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45725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45725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45725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45725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45725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45725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45725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45725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45725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45725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45725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45725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45725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45725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45725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45725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45725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45725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45725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45725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45725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45725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45725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45725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45725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45725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45725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45725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45725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45725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45725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45725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45725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45725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45725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45725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45725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45725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45725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45725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45725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45725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45725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45725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45725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45725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45725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45725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45725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45725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45725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45725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45725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45725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45725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45725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45725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45725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45725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45725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45725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45725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45725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45725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45725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45725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45725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45725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45725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45725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45725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45725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45725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45725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45725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45725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45725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45725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45725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45725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45725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45725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45725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45725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45725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45725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45725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45725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45725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45725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45725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45725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45725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45725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45725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45725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45725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45725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45725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45725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45725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45725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45725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45725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45725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45725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45725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45725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45725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45725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45725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45725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45725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45725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45725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45725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45725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45725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45725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45725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45725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45725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45725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45725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45725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45725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45725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45725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45725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45725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45725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45725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45725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45725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45725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45725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45725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45725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45725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45725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45725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45725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45725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45725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45725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45725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45725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45725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45725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45725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45725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45725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45725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45725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45725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45725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45725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45725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45725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45725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45725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45725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45725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45725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45725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45725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45725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45725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45725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45725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45725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45725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45725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45725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45725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45725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45725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45725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45725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45725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45725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45725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45725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45725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45725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45725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45725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45725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45725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45725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45725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45725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45725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45725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45725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45725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45725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45725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45725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45725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45725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45725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45725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45725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45725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45725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45725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45725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45725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45725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45725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45725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45725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45725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45725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45725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45725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45725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45725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45725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45725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45725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45725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45725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45725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45725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45725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45725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45725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45725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45725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45725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45725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45725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45725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45725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45725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45725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45725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45725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45725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45725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45725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45725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45725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45725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45725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45725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45725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45725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45725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45725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45725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45725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45725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45725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45725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45725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45725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45725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45725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45725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45725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45725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45725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45725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45725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45725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45725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45725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45725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45725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45725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45725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45725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45725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45725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45725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45725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45725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45725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45725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45725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45725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45725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45725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45725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45725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45725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45725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45725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45725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45725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45725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45725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45725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45725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45725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45725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45725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45725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45725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45725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45725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45725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45725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45725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45725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45725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45725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45725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45725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45725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45725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45725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45725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45725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45725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45725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45725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45725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45725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45725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45725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45725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45725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45725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45725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45725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45725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45725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45725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45725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45725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45725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45725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45725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45725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45725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45725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45725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45725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45725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45725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45725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45725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45725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45725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45725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45725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45725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45725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45725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45725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45725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45725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45725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45725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45725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45725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45725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45725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45725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45725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45725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45725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45725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45725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45725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45725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45725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45725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45725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45725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45725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45725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45725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45725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45725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45725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45725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45725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45725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45725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45725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45725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45725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45725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45725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45725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45725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45725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45725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45725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45725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45725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45725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45725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45725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45725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45725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45725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45725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45725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45725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45725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45725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45725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45725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45725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45725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45725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45725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45725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45725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45725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45725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45725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45725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45725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45725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45725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45725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45725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45725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45725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45725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45725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45725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45725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45725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45725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45725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45725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45725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45725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45725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45725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45725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45725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45725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45725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45725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45725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45725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45725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45725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45725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45725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45725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45725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45725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45725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45725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45725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45725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45725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45725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45725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45725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45725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45725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45725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45725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45725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45725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45725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45725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45725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45725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45725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45725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45725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45725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45725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45725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45725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45725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45725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45725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45725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45725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45725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45725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45725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45725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45725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45725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45725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45725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45725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45725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45725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45725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45725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45725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45725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45725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45725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45725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45725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45725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45725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45725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45725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45725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45725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45725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45725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45725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45725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45725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45725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45725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45725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45725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45725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45725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45725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45725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45725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45725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45725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45725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45725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45725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45725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45725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45725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45725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45725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45725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45725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45725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45725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45725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45725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45725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45725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45725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45725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45725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45725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45725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45725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45725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45725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45725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45725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45725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45725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45725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45725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45725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45725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45725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45725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45725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45725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45725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45725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45725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45725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45725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45725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45725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45725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45725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45725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45725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45725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45725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45725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45725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45725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45725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45725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45725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45725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45725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45725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45725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45725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45725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45725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45725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45725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45725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45725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45725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45725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45725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45725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45725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45725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45725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45725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45725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45725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45725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45725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45725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45725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45725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45725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45725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45725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45725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45725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45725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45725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45725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45725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45725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45725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45725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45725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45725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45725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45725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45725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45725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45725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45725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45725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45725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45725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45725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45725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45725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45725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45725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45725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45725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45725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45725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45725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45725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45725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45725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45725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45725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45725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45725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45725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45725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45725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45725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45725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45725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45725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45725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45725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45725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45725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45725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45725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45725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45725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45725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45725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45725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45725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45725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45725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45725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45725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45725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45725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45725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45725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45725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45725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45725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45725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45725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45725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45725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45725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45725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45725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45725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45725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45725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45725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45725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45725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45725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45725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45725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45725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45725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45725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45725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45725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45725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45725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45725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45725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45725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45725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45725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45725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45725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45725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45725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45725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45725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45725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45725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45725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45725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45725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45725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45725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45725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45725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45725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45725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45725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45725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45725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45725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45725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45725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45725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45725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45725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45725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45725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45725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45725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45725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45725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45725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45725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45725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45725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45725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45725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45725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45725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45725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45725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45725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45725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45725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45725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45725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45725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45725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45725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45725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45725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45725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45725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45725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45725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45725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45725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45725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45725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45725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45725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45725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45725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45725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45725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45725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45725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45725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45725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45725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45725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45725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45725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45725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45725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45725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45725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45725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45725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45725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45725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45725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45725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45725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45725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45725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45725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45725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45725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45725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45725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45725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45725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45725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45725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45725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45725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45725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45725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45725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45725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45725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45725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45725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45725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45725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45725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45725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45725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45725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45725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45725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45725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45725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45725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45725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45725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45725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45725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45725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45725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45725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45725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45725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45725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45725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45725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45725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45725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45725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45725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45725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45725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45725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45725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45725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45725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45725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45725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45725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45725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45725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45725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45725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45725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45725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45725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45725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45725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45725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45725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45725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45725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45725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45725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45725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45725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45725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45725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45725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45725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45725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45725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45725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45725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45725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45725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45725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45725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45725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45725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45725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45725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45725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45725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45725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45725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45725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45725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45725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45725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45725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45725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45725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45725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45725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45725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45725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45725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45725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45725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45725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45725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45725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45725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45725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45725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45725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45725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45725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45725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45725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45725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45725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45725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45725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45725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45725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45725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45725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45725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45725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45725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45725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45725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45725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45725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45725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45725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45725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45725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45725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45725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45725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45725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45725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45725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45725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45725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45725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45725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45725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45725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45725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45725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45725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45725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45725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45725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45725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45725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45725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45725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45725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45725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45725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45725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45725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45725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45725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45725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45725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45725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45725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45725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45725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45725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45725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45725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45725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45725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45725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45725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45725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45725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45725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45725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45725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45725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45725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45725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45725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45725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45725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45725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45725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45725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45725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45725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45725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45725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45725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45725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45725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45725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45725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45725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45725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45725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45725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45725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45725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45725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45725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45725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45725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45725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45725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45725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45725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45725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45725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45725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45725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45725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45725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45725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45725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45725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45725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45725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45725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45725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45725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45725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45725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45725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45725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45725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45725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45725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45725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45725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45725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45725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45725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45725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45725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45725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45725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45725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45725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45725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45725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45725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45725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45725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45725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45725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45725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45725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45725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45725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45725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45725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45725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45725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45725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45725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45725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45725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45725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45725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45725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45725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45725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45725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45725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45725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45725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45725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45725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45725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45725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45725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45725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45725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45725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45725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45725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45725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45725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45725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45725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45725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45725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45725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45725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45725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45725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45725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45725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45725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45725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45725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45725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45725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45725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45725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45725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45725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45725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45725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45725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45725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45725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45725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45725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45725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45725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45725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45725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45725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45725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45725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45725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45725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45725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45725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45725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45725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45725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45725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45725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45725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45725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45725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45725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45725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45725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45725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45725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45725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45725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45725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45725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45725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45725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45725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45725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45725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45725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45725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45725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45725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45725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45725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45725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45725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45725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45725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45725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45725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45725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45725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45725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45725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45725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45725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45725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45725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45725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45725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45725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45725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45725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45725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45725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45725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45725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45725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45725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45725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45725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45725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45725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45725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45725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45725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45725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45725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45725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45725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45725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45725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45725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45725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45725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45725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45725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45725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45725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45725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45725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45725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45725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45725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45725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45725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45725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45725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45725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45725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45725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45725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45725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45725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45725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45725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45725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45725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45725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45725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45725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45725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45725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45725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45725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45725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45725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45725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45725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45725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45725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45725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45725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45725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45725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45725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45725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45725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45725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45725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45725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45725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45725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45725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45725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45725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45725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45725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45725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45725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45725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45725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45725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45725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45725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45725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45725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45725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45725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45725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45725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45725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45725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45725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45725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45725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45725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45725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45725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45725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45725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45725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45725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45725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45725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45725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45725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45725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45725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45725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45725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45725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45725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45725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45725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45725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45725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45725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45725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45725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45725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45725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45725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45725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45725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45725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45725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45725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45725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45725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45725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45725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45725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45725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45725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45725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45725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45725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45725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45725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45725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45725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45725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45725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45725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45725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45725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45725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45725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45725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45725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45725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45725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45725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45725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45725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45725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45725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45725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45725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45725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45725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45725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45725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45725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45725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45725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45725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45725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45725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45725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45725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45725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45725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45725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45725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45725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45725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45725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45725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45725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45725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45725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45725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45725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45725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45725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45725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45725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45725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45725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45725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45725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45725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45725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45725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45725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45725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45725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45725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45725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45725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45725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45725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45725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45725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45725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45725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45725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45725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45725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45725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45725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45725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45725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45725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45725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45725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45725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45725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45725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45725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45725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45725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45725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45725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45725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45725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45725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45725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45725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45725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45725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45725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45725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45725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45725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45725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45725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45725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45725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45725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45725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45725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45725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45725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45725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45725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45725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45725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45725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45725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45725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45725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45725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45725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45725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45725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45725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45725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45725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45725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45725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45725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45725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45725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45725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45725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45725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45725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45725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45725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45725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45725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45725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45725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45725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45725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45725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45725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45725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45725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45725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45725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45725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45725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45725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45725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45725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45725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45725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45725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45725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45725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45725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45725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45725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45725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45725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45725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45725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45725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45725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45725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45725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45725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45725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45725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45725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45725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45725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45725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45725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45725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45725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45725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45725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45725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45725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45725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45725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45725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45725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45725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45725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45725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45725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45725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45725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45725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45725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45725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45725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45725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45725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45725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45725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45725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45725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45725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45725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45725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45725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45725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45725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45725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45725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45725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45725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45725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45725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45725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45725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45725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45725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45725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45725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45725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45725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45725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45725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45725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45725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45725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45725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45725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45725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45725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45725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45725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45725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45725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45725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45725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45725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45725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45725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45725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45725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45725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45725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45725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45725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45725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45725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45725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45725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45725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45725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45725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45725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45725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45725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45725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45725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45725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45725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45725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45725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45725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45725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45725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45725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45725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45725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45725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45725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45725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45725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45725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45725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45725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45725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45725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45725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45725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45725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45725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45725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45725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45725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45725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45725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45725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45725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45725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45725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45725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45725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45725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45725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45725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45725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45725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45725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45725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45725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45725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45725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45725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45725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45725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45725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45725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45725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45725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45725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45725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45725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45725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45725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45725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45725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45725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45725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45725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45725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45725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45725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45725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45725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45725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45725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45725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45725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45725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45725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45725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45725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45725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45725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45725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45725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45725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45725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45725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45725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45725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45725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45725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45725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45725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45725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45725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45725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45725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45725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45725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45725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45725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45725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45725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45725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45725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45725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45725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45725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45725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45725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45725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45725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45725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45725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45725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45725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45725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45725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45725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45725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45725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45725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45725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45725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45725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45725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45725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45725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45725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45725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45725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45725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45725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45725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45725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45725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45725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45725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45725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45725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45725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45725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45725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45725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45725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45725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45725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45725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45725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45725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45725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45725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45725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45725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45725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45725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45725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45725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45725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45725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45725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45725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45725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45725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45725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45725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45725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45725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45725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45725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45725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45725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45725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45725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45725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45725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45725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45725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45725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45725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45725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45725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45725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45725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45725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45725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45725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45725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45725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45725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45725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45725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45725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45725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45725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45725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45725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45725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45725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45725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45725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45725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45725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45725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45725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45725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45725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45725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45725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45725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45725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45725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45725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45725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45725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45725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45725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45725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45725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45725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45725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45725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45725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45725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45725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45725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45725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45725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45725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45725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45725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45725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45725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45725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45725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45725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45725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45725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45725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45725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45725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45725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45725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6582-2025</t>
        </is>
      </c>
      <c r="B2243" s="1" t="n">
        <v>45700</v>
      </c>
      <c r="C2243" s="1" t="n">
        <v>45725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45725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6584-2025</t>
        </is>
      </c>
      <c r="B2245" s="1" t="n">
        <v>45700</v>
      </c>
      <c r="C2245" s="1" t="n">
        <v>45725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45725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45725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45725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45725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7034-2025</t>
        </is>
      </c>
      <c r="B2251" s="1" t="n">
        <v>45701</v>
      </c>
      <c r="C2251" s="1" t="n">
        <v>45725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45725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45725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7186-2025</t>
        </is>
      </c>
      <c r="B2254" s="1" t="n">
        <v>45702</v>
      </c>
      <c r="C2254" s="1" t="n">
        <v>45725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45725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45725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45725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45725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45725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45725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45725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45725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45725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9122-2025</t>
        </is>
      </c>
      <c r="B2264" s="1" t="n">
        <v>45713</v>
      </c>
      <c r="C2264" s="1" t="n">
        <v>45725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45725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45725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45725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45725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45725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45725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45725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45725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45725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10294-2025</t>
        </is>
      </c>
      <c r="B2274" s="1" t="n">
        <v>45720</v>
      </c>
      <c r="C2274" s="1" t="n">
        <v>45725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10366-2025</t>
        </is>
      </c>
      <c r="B2275" s="1" t="n">
        <v>45720</v>
      </c>
      <c r="C2275" s="1" t="n">
        <v>45725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10311-2025</t>
        </is>
      </c>
      <c r="B2276" s="1" t="n">
        <v>45720</v>
      </c>
      <c r="C2276" s="1" t="n">
        <v>45725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10305-2025</t>
        </is>
      </c>
      <c r="B2277" s="1" t="n">
        <v>45720</v>
      </c>
      <c r="C2277" s="1" t="n">
        <v>45725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10313-2025</t>
        </is>
      </c>
      <c r="B2278" s="1" t="n">
        <v>45720</v>
      </c>
      <c r="C2278" s="1" t="n">
        <v>45725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10372-2025</t>
        </is>
      </c>
      <c r="B2279" s="1" t="n">
        <v>45720</v>
      </c>
      <c r="C2279" s="1" t="n">
        <v>45725</v>
      </c>
      <c r="D2279" t="inlineStr">
        <is>
          <t>JÖNKÖPINGS LÄN</t>
        </is>
      </c>
      <c r="E2279" t="inlineStr">
        <is>
          <t>VETLANDA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45725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45725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45725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>
      <c r="A2283" t="inlineStr">
        <is>
          <t>A 10698-2025</t>
        </is>
      </c>
      <c r="B2283" s="1" t="n">
        <v>45722</v>
      </c>
      <c r="C2283" s="1" t="n">
        <v>45725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2025-03-09T17:27:44Z</dcterms:created>
  <dcterms:modified xmlns:dcterms="http://purl.org/dc/terms/" xmlns:xsi="http://www.w3.org/2001/XMLSchema-instance" xsi:type="dcterms:W3CDTF">2025-03-09T17:27:46Z</dcterms:modified>
</cp:coreProperties>
</file>