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45750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45750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45750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45750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45750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45750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45750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45750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45750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45750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45750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45750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45750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45750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45750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45750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45750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45750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45750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45750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45750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45750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45750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45750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45750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45750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45750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45750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45750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45750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45750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45750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45750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45750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45750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45750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45750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45750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45750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45750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45750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45750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45750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45750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45750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45750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45750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45750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45750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45750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45750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45750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45750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45750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45750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45750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45750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45750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45750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45750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45750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45750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45750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45750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45750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45750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45750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45750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45750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45750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45750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45750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45750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45750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45750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45750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45750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45750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45750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45750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45750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45750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45750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45750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45750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45750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45750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45750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45750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45750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45750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45750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45750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45750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45750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45750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45750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45750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45750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45750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45750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45750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45750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45750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45750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45750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45750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45750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45750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45750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45750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45750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45750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45750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45750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45750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45750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45750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45750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45750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45750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45750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45750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45750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45750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45750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45750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45750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45750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45750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45750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45750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HYPERLINK("https://klasma.github.io/Logging_060685/artfynd/A 10694-2025 artfynd.xlsx", "A 10694-2025")</f>
        <v/>
      </c>
      <c r="T135">
        <f>HYPERLINK("https://klasma.github.io/Logging_060685/kartor/A 10694-2025 karta.png", "A 10694-2025")</f>
        <v/>
      </c>
      <c r="V135">
        <f>HYPERLINK("https://klasma.github.io/Logging_060685/klagomål/A 10694-2025 FSC-klagomål.docx", "A 10694-2025")</f>
        <v/>
      </c>
      <c r="W135">
        <f>HYPERLINK("https://klasma.github.io/Logging_060685/klagomålsmail/A 10694-2025 FSC-klagomål mail.docx", "A 10694-2025")</f>
        <v/>
      </c>
      <c r="X135">
        <f>HYPERLINK("https://klasma.github.io/Logging_060685/tillsyn/A 10694-2025 tillsynsbegäran.docx", "A 10694-2025")</f>
        <v/>
      </c>
      <c r="Y135">
        <f>HYPERLINK("https://klasma.github.io/Logging_060685/tillsynsmail/A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45750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HYPERLINK("https://klasma.github.io/Logging_060685/artfynd/A 13613-2025 artfynd.xlsx", "A 13613-2025")</f>
        <v/>
      </c>
      <c r="T136">
        <f>HYPERLINK("https://klasma.github.io/Logging_060685/kartor/A 13613-2025 karta.png", "A 13613-2025")</f>
        <v/>
      </c>
      <c r="U136">
        <f>HYPERLINK("https://klasma.github.io/Logging_060685/knärot/A 13613-2025 karta knärot.png", "A 13613-2025")</f>
        <v/>
      </c>
      <c r="V136">
        <f>HYPERLINK("https://klasma.github.io/Logging_060685/klagomål/A 13613-2025 FSC-klagomål.docx", "A 13613-2025")</f>
        <v/>
      </c>
      <c r="W136">
        <f>HYPERLINK("https://klasma.github.io/Logging_060685/klagomålsmail/A 13613-2025 FSC-klagomål mail.docx", "A 13613-2025")</f>
        <v/>
      </c>
      <c r="X136">
        <f>HYPERLINK("https://klasma.github.io/Logging_060685/tillsyn/A 13613-2025 tillsynsbegäran.docx", "A 13613-2025")</f>
        <v/>
      </c>
      <c r="Y136">
        <f>HYPERLINK("https://klasma.github.io/Logging_060685/tillsynsmail/A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45750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45750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45750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45750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45750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45750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45750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45750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45750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45750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45750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45750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45750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45750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45750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45750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45750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45750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45750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45750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45750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45750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45750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45750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45750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45750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45750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45750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45750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45750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45750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45750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45750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45750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45750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45750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45750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45750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45750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45750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45750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45750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45750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45750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45750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45750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45750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45750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45750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45750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45750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45750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45750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45750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45750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45750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45750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45750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45750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45750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45750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45750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45750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45750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45750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45750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45750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45750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45750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45750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45750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45750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45750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45750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45750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45750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45750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45750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45750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45750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45750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45750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45750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45750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45750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45750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45750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45750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45750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45750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45750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45750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45750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45750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45750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45750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45750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45750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45750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45750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45750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45750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45750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45750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45750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45750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45750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45750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45750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45750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45750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45750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45750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45750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45750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45750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45750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45750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45750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45750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45750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45750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45750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45750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45750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45750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45750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45750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45750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45750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45750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45750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45750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45750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45750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45750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45750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45750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45750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45750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45750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45750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45750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45750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45750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45750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45750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45750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45750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45750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45750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45750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45750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45750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45750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45750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45750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45750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45750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45750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45750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45750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45750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45750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45750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45750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45750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45750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45750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45750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45750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45750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45750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45750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45750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45750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45750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45750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45750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45750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45750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45750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45750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45750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45750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45750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45750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45750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45750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45750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45750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45750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45750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45750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45750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45750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45750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45750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45750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45750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45750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45750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45750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45750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45750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45750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45750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45750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45750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45750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45750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45750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45750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45750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45750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45750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45750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45750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45750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45750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45750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45750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45750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45750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45750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45750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45750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45750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45750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45750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45750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45750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45750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45750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45750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45750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45750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45750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45750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45750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45750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45750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45750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45750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45750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45750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45750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45750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45750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45750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45750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45750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45750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45750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45750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45750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45750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45750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45750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45750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45750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45750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45750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45750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45750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45750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45750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45750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45750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45750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45750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45750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45750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45750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45750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45750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45750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45750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45750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45750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45750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45750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45750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45750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45750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45750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45750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45750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45750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45750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45750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45750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45750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45750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45750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45750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45750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45750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45750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45750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45750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45750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45750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45750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45750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45750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45750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45750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45750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45750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45750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45750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45750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45750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45750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45750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45750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45750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45750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45750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45750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45750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45750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45750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45750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45750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45750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45750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45750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45750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45750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45750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45750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45750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45750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45750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45750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45750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45750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45750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45750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45750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45750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45750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45750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45750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45750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45750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45750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45750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45750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45750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45750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45750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45750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45750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45750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45750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45750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45750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45750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45750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45750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45750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45750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45750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45750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45750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45750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45750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45750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45750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45750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45750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45750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45750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45750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45750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45750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45750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45750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45750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45750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45750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45750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45750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45750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45750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45750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45750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45750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45750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45750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45750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45750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45750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45750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45750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45750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45750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45750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45750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45750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45750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45750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45750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45750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45750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45750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45750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45750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45750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45750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45750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45750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45750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45750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45750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45750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45750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45750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45750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45750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45750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45750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45750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45750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45750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45750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45750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45750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45750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45750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45750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45750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45750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45750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45750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45750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45750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45750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45750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45750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45750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45750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45750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45750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45750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45750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45750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45750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45750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45750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45750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45750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45750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45750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45750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45750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45750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45750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45750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45750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45750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45750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45750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45750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45750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45750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45750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45750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45750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45750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45750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45750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45750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45750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45750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45750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45750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45750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45750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45750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45750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45750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45750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45750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45750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45750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45750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45750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45750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45750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45750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45750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45750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45750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45750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45750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45750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45750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45750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45750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45750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45750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45750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45750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45750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45750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45750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45750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45750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45750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45750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45750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45750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45750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45750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45750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45750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45750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45750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45750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45750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45750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45750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45750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45750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45750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45750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45750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45750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45750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45750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45750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45750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45750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45750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45750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45750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45750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45750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45750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45750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45750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45750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45750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45750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45750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45750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45750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45750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45750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45750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45750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45750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45750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45750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45750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45750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45750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45750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45750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45750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45750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45750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45750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45750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45750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45750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45750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45750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45750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45750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45750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45750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45750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45750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45750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45750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45750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45750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45750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45750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45750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45750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45750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45750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45750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45750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45750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45750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45750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45750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45750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45750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45750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45750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45750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45750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45750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45750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45750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45750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45750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45750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45750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45750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45750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45750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45750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45750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45750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45750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45750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45750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45750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45750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45750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45750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45750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45750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45750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45750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45750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45750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45750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45750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45750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45750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45750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45750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45750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45750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45750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45750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45750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45750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45750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45750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45750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45750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45750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45750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45750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45750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45750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45750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45750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45750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45750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45750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45750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45750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45750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45750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45750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45750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45750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45750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45750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45750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45750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45750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45750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45750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45750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45750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45750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45750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45750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45750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45750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45750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45750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45750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45750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45750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45750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45750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45750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45750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45750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45750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45750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45750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45750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45750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45750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45750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45750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45750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45750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45750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45750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45750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45750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45750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45750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45750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45750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45750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45750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45750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45750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45750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45750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45750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45750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45750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45750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45750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45750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45750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45750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45750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45750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45750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45750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45750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45750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45750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45750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45750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45750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45750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45750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45750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45750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45750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45750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45750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45750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45750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45750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45750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45750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45750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45750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45750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45750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45750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45750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45750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45750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45750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45750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45750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45750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45750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45750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45750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45750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45750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45750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45750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45750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45750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45750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45750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45750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45750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45750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45750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45750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45750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45750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45750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45750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45750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45750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45750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45750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45750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45750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45750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45750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45750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45750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45750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45750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45750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45750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45750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45750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45750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45750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45750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45750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45750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45750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45750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45750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45750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45750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45750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45750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45750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45750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45750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45750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45750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45750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45750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45750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45750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45750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45750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45750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45750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45750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45750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45750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45750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45750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45750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45750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45750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45750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45750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45750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45750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45750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45750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45750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45750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45750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45750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45750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45750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45750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45750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45750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45750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45750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45750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45750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45750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45750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45750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45750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45750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45750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45750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45750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45750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45750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45750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45750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45750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45750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45750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45750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45750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45750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45750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45750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45750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45750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45750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45750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45750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45750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45750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45750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45750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45750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45750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45750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45750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45750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45750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45750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45750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45750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45750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45750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45750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45750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45750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45750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45750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45750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45750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45750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45750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45750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45750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45750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45750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45750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45750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45750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45750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45750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45750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45750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45750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45750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45750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45750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45750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45750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45750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45750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45750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45750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45750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45750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45750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45750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45750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45750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45750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45750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45750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45750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45750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45750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45750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45750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45750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45750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45750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45750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45750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45750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45750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45750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45750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45750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45750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45750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45750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45750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45750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45750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45750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45750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45750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45750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45750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45750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45750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45750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45750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45750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45750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45750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45750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45750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45750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45750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45750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45750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45750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45750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45750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45750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45750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45750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45750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45750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45750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45750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45750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45750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45750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45750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45750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45750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45750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45750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45750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45750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45750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45750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45750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45750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45750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45750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45750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45750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45750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45750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45750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45750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45750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45750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45750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45750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45750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45750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45750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45750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45750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45750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45750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45750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45750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45750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45750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45750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45750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45750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45750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45750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45750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45750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45750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45750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45750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45750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45750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45750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45750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45750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45750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45750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45750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45750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45750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45750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45750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45750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45750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45750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45750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45750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45750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45750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45750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45750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45750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45750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45750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45750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45750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45750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45750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45750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45750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45750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45750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45750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45750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45750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45750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45750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45750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45750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45750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45750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45750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45750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45750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45750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45750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45750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45750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45750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45750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45750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45750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45750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45750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45750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45750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45750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45750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45750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45750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45750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45750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45750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45750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45750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45750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45750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45750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45750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45750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45750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45750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45750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45750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45750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45750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45750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45750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45750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45750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45750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45750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45750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45750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45750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45750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45750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45750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45750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45750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45750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45750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45750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45750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45750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45750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45750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45750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45750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45750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45750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45750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45750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45750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45750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45750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45750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45750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45750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45750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45750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45750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45750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45750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45750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45750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45750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45750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45750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45750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45750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45750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45750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45750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45750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45750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45750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45750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45750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45750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45750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45750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45750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45750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45750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45750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45750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45750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45750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45750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45750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45750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45750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45750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45750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45750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45750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45750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45750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45750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45750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45750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45750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45750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45750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45750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45750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45750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45750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45750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45750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45750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45750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45750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45750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45750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45750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45750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45750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45750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45750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45750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45750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45750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45750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45750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45750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45750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45750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45750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45750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45750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45750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45750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45750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45750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45750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45750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45750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45750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45750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45750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45750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45750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45750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45750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45750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45750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45750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45750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45750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45750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45750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45750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45750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45750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45750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45750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45750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45750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45750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45750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45750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45750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45750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45750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45750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45750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45750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45750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45750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45750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45750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45750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45750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45750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45750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45750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45750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45750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45750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45750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45750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45750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45750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45750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45750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45750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45750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45750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45750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45750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45750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45750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45750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45750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45750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45750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45750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45750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45750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45750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45750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45750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45750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45750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45750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45750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45750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45750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45750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45750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45750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45750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45750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45750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45750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45750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45750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45750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45750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45750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45750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45750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45750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45750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45750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45750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45750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45750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45750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45750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45750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45750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45750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45750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45750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45750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45750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45750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45750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45750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45750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45750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45750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45750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45750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45750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45750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45750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45750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45750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45750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45750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45750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45750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45750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45750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45750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45750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45750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45750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45750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45750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45750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45750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45750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45750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45750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45750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45750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45750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45750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45750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45750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45750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45750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45750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45750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45750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45750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45750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45750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45750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45750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45750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45750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45750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45750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45750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45750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45750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45750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45750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45750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45750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45750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45750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45750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45750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45750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45750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45750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45750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45750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45750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45750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45750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45750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45750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45750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45750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45750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45750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45750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45750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45750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45750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45750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45750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45750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45750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45750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45750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45750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45750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45750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45750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45750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45750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45750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45750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45750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45750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45750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45750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45750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45750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45750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45750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45750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45750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45750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45750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45750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45750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45750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45750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45750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45750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45750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45750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45750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45750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45750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45750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45750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45750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45750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45750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45750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45750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45750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45750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45750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45750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45750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45750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45750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45750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45750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45750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45750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45750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45750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45750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45750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45750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45750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45750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45750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45750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45750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45750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45750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45750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45750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45750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45750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45750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45750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45750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45750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45750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45750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45750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45750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45750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45750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45750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45750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45750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45750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45750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45750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45750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45750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45750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45750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45750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45750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45750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45750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45750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45750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45750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45750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45750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45750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45750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45750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45750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45750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45750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45750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45750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45750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45750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45750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45750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45750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45750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45750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45750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45750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45750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45750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45750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45750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45750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45750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45750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45750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45750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45750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45750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45750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45750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45750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45750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45750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45750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45750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45750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45750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45750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45750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45750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45750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45750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45750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45750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45750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45750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45750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45750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45750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45750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45750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45750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45750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45750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45750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45750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45750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45750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45750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45750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45750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45750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45750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45750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45750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45750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45750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45750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45750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45750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45750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45750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45750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45750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45750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45750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45750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45750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45750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45750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45750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45750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45750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45750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45750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45750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45750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45750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45750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45750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45750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45750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45750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45750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45750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45750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45750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45750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45750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45750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45750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45750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45750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45750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45750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45750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45750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45750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45750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45750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45750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45750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45750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45750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45750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45750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45750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45750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45750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45750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45750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45750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45750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45750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45750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45750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45750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45750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45750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45750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45750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45750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45750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45750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45750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45750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45750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45750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45750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45750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45750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45750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45750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45750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45750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45750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45750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45750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45750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45750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45750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45750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45750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45750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45750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45750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45750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45750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45750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45750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45750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45750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45750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45750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45750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45750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45750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45750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45750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45750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45750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45750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45750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45750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45750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45750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45750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45750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45750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45750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45750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45750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45750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45750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45750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45750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45750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45750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45750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45750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45750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45750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45750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45750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45750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45750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45750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45750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45750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45750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45750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45750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45750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45750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45750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45750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45750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45750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45750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45750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45750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45750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45750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45750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45750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45750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45750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45750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45750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45750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45750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45750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45750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45750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45750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45750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45750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45750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45750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45750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45750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45750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45750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45750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45750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45750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45750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45750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45750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45750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45750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45750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45750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45750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45750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45750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45750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45750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45750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45750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45750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45750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45750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45750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45750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45750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45750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45750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45750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45750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45750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45750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45750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45750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45750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45750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45750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45750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45750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45750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45750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45750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45750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45750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45750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45750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45750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45750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45750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45750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45750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45750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45750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45750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45750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45750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45750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45750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45750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45750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45750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45750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45750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45750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45750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45750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45750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45750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45750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45750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45750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45750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45750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45750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45750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45750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45750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45750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45750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45750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45750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45750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45750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45750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45750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45750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45750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45750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45750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45750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45750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45750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45750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45750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45750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45750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45750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45750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45750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45750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45750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45750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45750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45750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45750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45750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45750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45750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45750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45750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45750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45750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45750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45750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45750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45750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45750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45750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45750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45750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45750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45750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45750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45750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45750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45750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45750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45750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45750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45750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45750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45750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45750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45750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45750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45750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45750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45750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45750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45750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45750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45750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45750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45750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45750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45750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45750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45750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45750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45750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45750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45750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45750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45750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45750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45750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45750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45750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45750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45750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45750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45750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45750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45750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45750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45750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45750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45750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45750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45750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45750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45750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45750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45750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45750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45750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45750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45750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45750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45750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45750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45750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45750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45750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45750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45750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45750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45750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45750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45750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45750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45750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45750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45750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45750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45750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45750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45750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45750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45750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45750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45750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45750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45750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45750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45750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45750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45750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45750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45750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45750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45750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45750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45750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45750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45750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45750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45750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45750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45750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45750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45750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45750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45750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45750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45750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45750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45750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45750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45750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45750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45750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45750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45750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45750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45750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45750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45750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45750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45750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45750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45750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45750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45750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45750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45750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45750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45750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45750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45750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45750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45750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45750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45750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45750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45750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45750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45750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45750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45750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45750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45750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45750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45750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45750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45750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45750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45750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45750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45750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45750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45750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45750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45750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45750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45750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45750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45750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45750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45750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45750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45750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45750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45750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45750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45750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45750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45750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45750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45750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45750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45750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45750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45750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45750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45750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45750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45750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45750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45750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45750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45750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45750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45750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45750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45750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45750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45750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45750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45750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45750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45750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45750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45750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45750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45750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45750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45750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45750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45750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45750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45750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45750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45750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45750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45750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45750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45750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45750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45750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45750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45750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45750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45750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45750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45750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45750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45750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45750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45750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45750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45750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45750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45750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45750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45750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45750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45750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45750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45750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45750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45750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45750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45750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45750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45750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45750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45750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45750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45750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45750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45750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45750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45750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45750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45750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45750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45750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45750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45750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45750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45750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45750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45750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45750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45750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45750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45750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45750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45750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45750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45750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45750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45750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45750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45750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45750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45750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45750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45750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45750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45750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45750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45750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45750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45750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45750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45750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45750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45750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45750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45750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45750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45750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45750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45750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45750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45750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45750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45750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45750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45750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45750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45750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45750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45750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45750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45750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45750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45750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45750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45750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45750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45750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45750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10009-2025</t>
        </is>
      </c>
      <c r="B2272" s="1" t="n">
        <v>45719</v>
      </c>
      <c r="C2272" s="1" t="n">
        <v>45750</v>
      </c>
      <c r="D2272" t="inlineStr">
        <is>
          <t>JÖNKÖPINGS LÄN</t>
        </is>
      </c>
      <c r="E2272" t="inlineStr">
        <is>
          <t>VETLANDA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45750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10311-2025</t>
        </is>
      </c>
      <c r="B2274" s="1" t="n">
        <v>45720</v>
      </c>
      <c r="C2274" s="1" t="n">
        <v>45750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45750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45750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45750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45750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45750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45750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45750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45750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45750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45750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45750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45750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45750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45750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45750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45750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45750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45750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45750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45750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45750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45750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45750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45750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45750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45750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45750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13593-2025</t>
        </is>
      </c>
      <c r="B2302" s="1" t="n">
        <v>45736</v>
      </c>
      <c r="C2302" s="1" t="n">
        <v>45750</v>
      </c>
      <c r="D2302" t="inlineStr">
        <is>
          <t>JÖNKÖPINGS LÄN</t>
        </is>
      </c>
      <c r="E2302" t="inlineStr">
        <is>
          <t>VETLANDA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45750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HYPERLINK("https://klasma.github.io/Logging_060685/knärot/A 13587-2025 karta knärot.png", "A 13587-2025")</f>
        <v/>
      </c>
      <c r="V2303">
        <f>HYPERLINK("https://klasma.github.io/Logging_060685/klagomål/A 13587-2025 FSC-klagomål.docx", "A 13587-2025")</f>
        <v/>
      </c>
      <c r="W2303">
        <f>HYPERLINK("https://klasma.github.io/Logging_060685/klagomålsmail/A 13587-2025 FSC-klagomål mail.docx", "A 13587-2025")</f>
        <v/>
      </c>
      <c r="X2303">
        <f>HYPERLINK("https://klasma.github.io/Logging_060685/tillsyn/A 13587-2025 tillsynsbegäran.docx", "A 13587-2025")</f>
        <v/>
      </c>
      <c r="Y2303">
        <f>HYPERLINK("https://klasma.github.io/Logging_060685/tillsynsmail/A 13587-2025 tillsynsbegäran mail.docx", "A 13587-2025")</f>
        <v/>
      </c>
    </row>
    <row r="2304" ht="15" customHeight="1">
      <c r="A2304" t="inlineStr">
        <is>
          <t>A 13813-2025</t>
        </is>
      </c>
      <c r="B2304" s="1" t="n">
        <v>45737</v>
      </c>
      <c r="C2304" s="1" t="n">
        <v>45750</v>
      </c>
      <c r="D2304" t="inlineStr">
        <is>
          <t>JÖNKÖPINGS LÄN</t>
        </is>
      </c>
      <c r="E2304" t="inlineStr">
        <is>
          <t>VETLANDA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13811-2025</t>
        </is>
      </c>
      <c r="B2305" s="1" t="n">
        <v>45737</v>
      </c>
      <c r="C2305" s="1" t="n">
        <v>45750</v>
      </c>
      <c r="D2305" t="inlineStr">
        <is>
          <t>JÖNKÖPINGS LÄN</t>
        </is>
      </c>
      <c r="E2305" t="inlineStr">
        <is>
          <t>VETLANDA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13814-2025</t>
        </is>
      </c>
      <c r="B2306" s="1" t="n">
        <v>45737</v>
      </c>
      <c r="C2306" s="1" t="n">
        <v>45750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13815-2025</t>
        </is>
      </c>
      <c r="B2307" s="1" t="n">
        <v>45737</v>
      </c>
      <c r="C2307" s="1" t="n">
        <v>45750</v>
      </c>
      <c r="D2307" t="inlineStr">
        <is>
          <t>JÖNKÖPINGS LÄN</t>
        </is>
      </c>
      <c r="E2307" t="inlineStr">
        <is>
          <t>VETLANDA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13816-2025</t>
        </is>
      </c>
      <c r="B2308" s="1" t="n">
        <v>45737</v>
      </c>
      <c r="C2308" s="1" t="n">
        <v>45750</v>
      </c>
      <c r="D2308" t="inlineStr">
        <is>
          <t>JÖNKÖPINGS LÄN</t>
        </is>
      </c>
      <c r="E2308" t="inlineStr">
        <is>
          <t>VETLANDA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13786-2025</t>
        </is>
      </c>
      <c r="B2309" s="1" t="n">
        <v>45737</v>
      </c>
      <c r="C2309" s="1" t="n">
        <v>45750</v>
      </c>
      <c r="D2309" t="inlineStr">
        <is>
          <t>JÖNKÖPINGS LÄN</t>
        </is>
      </c>
      <c r="E2309" t="inlineStr">
        <is>
          <t>VETLANDA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13789-2025</t>
        </is>
      </c>
      <c r="B2310" s="1" t="n">
        <v>45737</v>
      </c>
      <c r="C2310" s="1" t="n">
        <v>45750</v>
      </c>
      <c r="D2310" t="inlineStr">
        <is>
          <t>JÖNKÖPINGS LÄN</t>
        </is>
      </c>
      <c r="E2310" t="inlineStr">
        <is>
          <t>VETLANDA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13791-2025</t>
        </is>
      </c>
      <c r="B2311" s="1" t="n">
        <v>45737</v>
      </c>
      <c r="C2311" s="1" t="n">
        <v>45750</v>
      </c>
      <c r="D2311" t="inlineStr">
        <is>
          <t>JÖNKÖPINGS LÄN</t>
        </is>
      </c>
      <c r="E2311" t="inlineStr">
        <is>
          <t>VETLANDA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45750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45750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45750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45750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45750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14393-2025</t>
        </is>
      </c>
      <c r="B2317" s="1" t="n">
        <v>45741</v>
      </c>
      <c r="C2317" s="1" t="n">
        <v>45750</v>
      </c>
      <c r="D2317" t="inlineStr">
        <is>
          <t>JÖNKÖPINGS LÄN</t>
        </is>
      </c>
      <c r="E2317" t="inlineStr">
        <is>
          <t>VETLANDA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14440-2025</t>
        </is>
      </c>
      <c r="B2318" s="1" t="n">
        <v>45741</v>
      </c>
      <c r="C2318" s="1" t="n">
        <v>45750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14561-2025</t>
        </is>
      </c>
      <c r="B2319" s="1" t="n">
        <v>45741</v>
      </c>
      <c r="C2319" s="1" t="n">
        <v>45750</v>
      </c>
      <c r="D2319" t="inlineStr">
        <is>
          <t>JÖNKÖPINGS LÄN</t>
        </is>
      </c>
      <c r="E2319" t="inlineStr">
        <is>
          <t>VETLANDA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14439-2025</t>
        </is>
      </c>
      <c r="B2320" s="1" t="n">
        <v>45741</v>
      </c>
      <c r="C2320" s="1" t="n">
        <v>45750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45750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45750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45750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45750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45750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45750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45750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45750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14923-2025</t>
        </is>
      </c>
      <c r="B2329" s="1" t="n">
        <v>45743</v>
      </c>
      <c r="C2329" s="1" t="n">
        <v>45750</v>
      </c>
      <c r="D2329" t="inlineStr">
        <is>
          <t>JÖNKÖPINGS LÄN</t>
        </is>
      </c>
      <c r="E2329" t="inlineStr">
        <is>
          <t>VETLANDA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14959-2025</t>
        </is>
      </c>
      <c r="B2330" s="1" t="n">
        <v>45743</v>
      </c>
      <c r="C2330" s="1" t="n">
        <v>45750</v>
      </c>
      <c r="D2330" t="inlineStr">
        <is>
          <t>JÖNKÖPINGS LÄN</t>
        </is>
      </c>
      <c r="E2330" t="inlineStr">
        <is>
          <t>VETLANDA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45750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15498-2025</t>
        </is>
      </c>
      <c r="B2332" s="1" t="n">
        <v>45747</v>
      </c>
      <c r="C2332" s="1" t="n">
        <v>45750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15492-2025</t>
        </is>
      </c>
      <c r="B2333" s="1" t="n">
        <v>45747</v>
      </c>
      <c r="C2333" s="1" t="n">
        <v>45750</v>
      </c>
      <c r="D2333" t="inlineStr">
        <is>
          <t>JÖNKÖPINGS LÄN</t>
        </is>
      </c>
      <c r="E2333" t="inlineStr">
        <is>
          <t>VETLANDA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15369-2025</t>
        </is>
      </c>
      <c r="B2334" s="1" t="n">
        <v>45747</v>
      </c>
      <c r="C2334" s="1" t="n">
        <v>45750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15343-2025</t>
        </is>
      </c>
      <c r="B2335" s="1" t="n">
        <v>45747</v>
      </c>
      <c r="C2335" s="1" t="n">
        <v>45750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15350-2025</t>
        </is>
      </c>
      <c r="B2336" s="1" t="n">
        <v>45747</v>
      </c>
      <c r="C2336" s="1" t="n">
        <v>45750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45750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45750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45750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>
      <c r="A2340" t="inlineStr">
        <is>
          <t>A 15863-2025</t>
        </is>
      </c>
      <c r="B2340" s="1" t="n">
        <v>45749</v>
      </c>
      <c r="C2340" s="1" t="n">
        <v>45750</v>
      </c>
      <c r="D2340" t="inlineStr">
        <is>
          <t>JÖNKÖPINGS LÄN</t>
        </is>
      </c>
      <c r="E2340" t="inlineStr">
        <is>
          <t>VETLANDA</t>
        </is>
      </c>
      <c r="G2340" t="n">
        <v>8.4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2025-04-03T20:42:00Z</dcterms:created>
  <dcterms:modified xmlns:dcterms="http://purl.org/dc/terms/" xmlns:xsi="http://www.w3.org/2001/XMLSchema-instance" xsi:type="dcterms:W3CDTF">2025-04-03T20:42:02Z</dcterms:modified>
</cp:coreProperties>
</file>