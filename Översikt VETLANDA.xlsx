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45754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Småvaxskivling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45754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45754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45754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45754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45754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45754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45754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45754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45754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45754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45754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45754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45754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45754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45754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45754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45754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45754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45754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45754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45754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45754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45754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45754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45754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46781-2024</t>
        </is>
      </c>
      <c r="B35" s="1" t="n">
        <v>45583</v>
      </c>
      <c r="C35" s="1" t="n">
        <v>45754</v>
      </c>
      <c r="D35" t="inlineStr">
        <is>
          <t>JÖNKÖPINGS LÄN</t>
        </is>
      </c>
      <c r="E35" t="inlineStr">
        <is>
          <t>VETLANDA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Nordfladdermus
Vattenfladdermus</t>
        </is>
      </c>
      <c r="S35">
        <f>HYPERLINK("https://klasma.github.io/Logging_0685/artfynd/A 46781-2024 artfynd.xlsx", "A 46781-2024")</f>
        <v/>
      </c>
      <c r="T35">
        <f>HYPERLINK("https://klasma.github.io/Logging_0685/kartor/A 46781-2024 karta.png", "A 46781-2024")</f>
        <v/>
      </c>
      <c r="V35">
        <f>HYPERLINK("https://klasma.github.io/Logging_0685/klagomål/A 46781-2024 FSC-klagomål.docx", "A 46781-2024")</f>
        <v/>
      </c>
      <c r="W35">
        <f>HYPERLINK("https://klasma.github.io/Logging_0685/klagomålsmail/A 46781-2024 FSC-klagomål mail.docx", "A 46781-2024")</f>
        <v/>
      </c>
      <c r="X35">
        <f>HYPERLINK("https://klasma.github.io/Logging_0685/tillsyn/A 46781-2024 tillsynsbegäran.docx", "A 46781-2024")</f>
        <v/>
      </c>
      <c r="Y35">
        <f>HYPERLINK("https://klasma.github.io/Logging_0685/tillsynsmail/A 46781-2024 tillsynsbegäran mail.docx", "A 46781-2024")</f>
        <v/>
      </c>
    </row>
    <row r="36" ht="15" customHeight="1">
      <c r="A36" t="inlineStr">
        <is>
          <t>A 18024-2019</t>
        </is>
      </c>
      <c r="B36" s="1" t="n">
        <v>43556</v>
      </c>
      <c r="C36" s="1" t="n">
        <v>45754</v>
      </c>
      <c r="D36" t="inlineStr">
        <is>
          <t>JÖNKÖPINGS LÄN</t>
        </is>
      </c>
      <c r="E36" t="inlineStr">
        <is>
          <t>VETLANDA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Tibast</t>
        </is>
      </c>
      <c r="S36">
        <f>HYPERLINK("https://klasma.github.io/Logging_0685/artfynd/A 18024-2019 artfynd.xlsx", "A 18024-2019")</f>
        <v/>
      </c>
      <c r="T36">
        <f>HYPERLINK("https://klasma.github.io/Logging_0685/kartor/A 18024-2019 karta.png", "A 18024-2019")</f>
        <v/>
      </c>
      <c r="V36">
        <f>HYPERLINK("https://klasma.github.io/Logging_0685/klagomål/A 18024-2019 FSC-klagomål.docx", "A 18024-2019")</f>
        <v/>
      </c>
      <c r="W36">
        <f>HYPERLINK("https://klasma.github.io/Logging_0685/klagomålsmail/A 18024-2019 FSC-klagomål mail.docx", "A 18024-2019")</f>
        <v/>
      </c>
      <c r="X36">
        <f>HYPERLINK("https://klasma.github.io/Logging_0685/tillsyn/A 18024-2019 tillsynsbegäran.docx", "A 18024-2019")</f>
        <v/>
      </c>
      <c r="Y36">
        <f>HYPERLINK("https://klasma.github.io/Logging_0685/tillsynsmail/A 18024-2019 tillsynsbegäran mail.docx", "A 18024-2019")</f>
        <v/>
      </c>
    </row>
    <row r="37" ht="15" customHeight="1">
      <c r="A37" t="inlineStr">
        <is>
          <t>A 25895-2019</t>
        </is>
      </c>
      <c r="B37" s="1" t="n">
        <v>43605</v>
      </c>
      <c r="C37" s="1" t="n">
        <v>45754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6.7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Vedticka</t>
        </is>
      </c>
      <c r="S37">
        <f>HYPERLINK("https://klasma.github.io/Logging_0685/artfynd/A 25895-2019 artfynd.xlsx", "A 25895-2019")</f>
        <v/>
      </c>
      <c r="T37">
        <f>HYPERLINK("https://klasma.github.io/Logging_0685/kartor/A 25895-2019 karta.png", "A 25895-2019")</f>
        <v/>
      </c>
      <c r="U37">
        <f>HYPERLINK("https://klasma.github.io/Logging_0685/knärot/A 25895-2019 karta knärot.png", "A 25895-2019")</f>
        <v/>
      </c>
      <c r="V37">
        <f>HYPERLINK("https://klasma.github.io/Logging_0685/klagomål/A 25895-2019 FSC-klagomål.docx", "A 25895-2019")</f>
        <v/>
      </c>
      <c r="W37">
        <f>HYPERLINK("https://klasma.github.io/Logging_0685/klagomålsmail/A 25895-2019 FSC-klagomål mail.docx", "A 25895-2019")</f>
        <v/>
      </c>
      <c r="X37">
        <f>HYPERLINK("https://klasma.github.io/Logging_0685/tillsyn/A 25895-2019 tillsynsbegäran.docx", "A 25895-2019")</f>
        <v/>
      </c>
      <c r="Y37">
        <f>HYPERLINK("https://klasma.github.io/Logging_0685/tillsynsmail/A 25895-2019 tillsynsbegäran mail.docx", "A 25895-2019")</f>
        <v/>
      </c>
    </row>
    <row r="38" ht="15" customHeight="1">
      <c r="A38" t="inlineStr">
        <is>
          <t>A 29578-2019</t>
        </is>
      </c>
      <c r="B38" s="1" t="n">
        <v>43627</v>
      </c>
      <c r="C38" s="1" t="n">
        <v>45754</v>
      </c>
      <c r="D38" t="inlineStr">
        <is>
          <t>JÖNKÖPINGS LÄN</t>
        </is>
      </c>
      <c r="E38" t="inlineStr">
        <is>
          <t>VETLANDA</t>
        </is>
      </c>
      <c r="F38" t="inlineStr">
        <is>
          <t>Övriga Aktiebolag</t>
        </is>
      </c>
      <c r="G38" t="n">
        <v>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Trollfibbla
Gullgröppa</t>
        </is>
      </c>
      <c r="S38">
        <f>HYPERLINK("https://klasma.github.io/Logging_0685/artfynd/A 29578-2019 artfynd.xlsx", "A 29578-2019")</f>
        <v/>
      </c>
      <c r="T38">
        <f>HYPERLINK("https://klasma.github.io/Logging_0685/kartor/A 29578-2019 karta.png", "A 29578-2019")</f>
        <v/>
      </c>
      <c r="U38">
        <f>HYPERLINK("https://klasma.github.io/Logging_0685/knärot/A 29578-2019 karta knärot.png", "A 29578-2019")</f>
        <v/>
      </c>
      <c r="V38">
        <f>HYPERLINK("https://klasma.github.io/Logging_0685/klagomål/A 29578-2019 FSC-klagomål.docx", "A 29578-2019")</f>
        <v/>
      </c>
      <c r="W38">
        <f>HYPERLINK("https://klasma.github.io/Logging_0685/klagomålsmail/A 29578-2019 FSC-klagomål mail.docx", "A 29578-2019")</f>
        <v/>
      </c>
      <c r="X38">
        <f>HYPERLINK("https://klasma.github.io/Logging_0685/tillsyn/A 29578-2019 tillsynsbegäran.docx", "A 29578-2019")</f>
        <v/>
      </c>
      <c r="Y38">
        <f>HYPERLINK("https://klasma.github.io/Logging_0685/tillsynsmail/A 29578-2019 tillsynsbegäran mail.docx", "A 29578-2019")</f>
        <v/>
      </c>
    </row>
    <row r="39" ht="15" customHeight="1">
      <c r="A39" t="inlineStr">
        <is>
          <t>A 32503-2019</t>
        </is>
      </c>
      <c r="B39" s="1" t="n">
        <v>43644</v>
      </c>
      <c r="C39" s="1" t="n">
        <v>45754</v>
      </c>
      <c r="D39" t="inlineStr">
        <is>
          <t>JÖNKÖPINGS LÄN</t>
        </is>
      </c>
      <c r="E39" t="inlineStr">
        <is>
          <t>VETLANDA</t>
        </is>
      </c>
      <c r="G39" t="n">
        <v>1.7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HYPERLINK("https://klasma.github.io/Logging_0685/artfynd/A 32503-2019 artfynd.xlsx", "A 32503-2019")</f>
        <v/>
      </c>
      <c r="T39">
        <f>HYPERLINK("https://klasma.github.io/Logging_0685/kartor/A 32503-2019 karta.png", "A 32503-2019")</f>
        <v/>
      </c>
      <c r="V39">
        <f>HYPERLINK("https://klasma.github.io/Logging_0685/klagomål/A 32503-2019 FSC-klagomål.docx", "A 32503-2019")</f>
        <v/>
      </c>
      <c r="W39">
        <f>HYPERLINK("https://klasma.github.io/Logging_0685/klagomålsmail/A 32503-2019 FSC-klagomål mail.docx", "A 32503-2019")</f>
        <v/>
      </c>
      <c r="X39">
        <f>HYPERLINK("https://klasma.github.io/Logging_0685/tillsyn/A 32503-2019 tillsynsbegäran.docx", "A 32503-2019")</f>
        <v/>
      </c>
      <c r="Y39">
        <f>HYPERLINK("https://klasma.github.io/Logging_0685/tillsynsmail/A 32503-2019 tillsynsbegäran mail.docx", "A 32503-2019")</f>
        <v/>
      </c>
    </row>
    <row r="40" ht="15" customHeight="1">
      <c r="A40" t="inlineStr">
        <is>
          <t>A 45348-2019</t>
        </is>
      </c>
      <c r="B40" s="1" t="n">
        <v>43714</v>
      </c>
      <c r="C40" s="1" t="n">
        <v>45754</v>
      </c>
      <c r="D40" t="inlineStr">
        <is>
          <t>JÖNKÖPINGS LÄN</t>
        </is>
      </c>
      <c r="E40" t="inlineStr">
        <is>
          <t>VETLANDA</t>
        </is>
      </c>
      <c r="G40" t="n">
        <v>12.2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Vanlig padda</t>
        </is>
      </c>
      <c r="S40">
        <f>HYPERLINK("https://klasma.github.io/Logging_0685/artfynd/A 45348-2019 artfynd.xlsx", "A 45348-2019")</f>
        <v/>
      </c>
      <c r="T40">
        <f>HYPERLINK("https://klasma.github.io/Logging_0685/kartor/A 45348-2019 karta.png", "A 45348-2019")</f>
        <v/>
      </c>
      <c r="V40">
        <f>HYPERLINK("https://klasma.github.io/Logging_0685/klagomål/A 45348-2019 FSC-klagomål.docx", "A 45348-2019")</f>
        <v/>
      </c>
      <c r="W40">
        <f>HYPERLINK("https://klasma.github.io/Logging_0685/klagomålsmail/A 45348-2019 FSC-klagomål mail.docx", "A 45348-2019")</f>
        <v/>
      </c>
      <c r="X40">
        <f>HYPERLINK("https://klasma.github.io/Logging_0685/tillsyn/A 45348-2019 tillsynsbegäran.docx", "A 45348-2019")</f>
        <v/>
      </c>
      <c r="Y40">
        <f>HYPERLINK("https://klasma.github.io/Logging_0685/tillsynsmail/A 45348-2019 tillsynsbegäran mail.docx", "A 45348-2019")</f>
        <v/>
      </c>
    </row>
    <row r="41" ht="15" customHeight="1">
      <c r="A41" t="inlineStr">
        <is>
          <t>A 47251-2019</t>
        </is>
      </c>
      <c r="B41" s="1" t="n">
        <v>43721</v>
      </c>
      <c r="C41" s="1" t="n">
        <v>45754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HYPERLINK("https://klasma.github.io/Logging_0685/artfynd/A 47251-2019 artfynd.xlsx", "A 47251-2019")</f>
        <v/>
      </c>
      <c r="T41">
        <f>HYPERLINK("https://klasma.github.io/Logging_0685/kartor/A 47251-2019 karta.png", "A 47251-2019")</f>
        <v/>
      </c>
      <c r="U41">
        <f>HYPERLINK("https://klasma.github.io/Logging_0685/knärot/A 47251-2019 karta knärot.png", "A 47251-2019")</f>
        <v/>
      </c>
      <c r="V41">
        <f>HYPERLINK("https://klasma.github.io/Logging_0685/klagomål/A 47251-2019 FSC-klagomål.docx", "A 47251-2019")</f>
        <v/>
      </c>
      <c r="W41">
        <f>HYPERLINK("https://klasma.github.io/Logging_0685/klagomålsmail/A 47251-2019 FSC-klagomål mail.docx", "A 47251-2019")</f>
        <v/>
      </c>
      <c r="X41">
        <f>HYPERLINK("https://klasma.github.io/Logging_0685/tillsyn/A 47251-2019 tillsynsbegäran.docx", "A 47251-2019")</f>
        <v/>
      </c>
      <c r="Y41">
        <f>HYPERLINK("https://klasma.github.io/Logging_0685/tillsynsmail/A 47251-2019 tillsynsbegäran mail.docx", "A 47251-2019")</f>
        <v/>
      </c>
    </row>
    <row r="42" ht="15" customHeight="1">
      <c r="A42" t="inlineStr">
        <is>
          <t>A 16952-2020</t>
        </is>
      </c>
      <c r="B42" s="1" t="n">
        <v>43913</v>
      </c>
      <c r="C42" s="1" t="n">
        <v>45754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Revlummer</t>
        </is>
      </c>
      <c r="S42">
        <f>HYPERLINK("https://klasma.github.io/Logging_0685/artfynd/A 16952-2020 artfynd.xlsx", "A 16952-2020")</f>
        <v/>
      </c>
      <c r="T42">
        <f>HYPERLINK("https://klasma.github.io/Logging_0685/kartor/A 16952-2020 karta.png", "A 16952-2020")</f>
        <v/>
      </c>
      <c r="V42">
        <f>HYPERLINK("https://klasma.github.io/Logging_0685/klagomål/A 16952-2020 FSC-klagomål.docx", "A 16952-2020")</f>
        <v/>
      </c>
      <c r="W42">
        <f>HYPERLINK("https://klasma.github.io/Logging_0685/klagomålsmail/A 16952-2020 FSC-klagomål mail.docx", "A 16952-2020")</f>
        <v/>
      </c>
      <c r="X42">
        <f>HYPERLINK("https://klasma.github.io/Logging_0685/tillsyn/A 16952-2020 tillsynsbegäran.docx", "A 16952-2020")</f>
        <v/>
      </c>
      <c r="Y42">
        <f>HYPERLINK("https://klasma.github.io/Logging_0685/tillsynsmail/A 16952-2020 tillsynsbegäran mail.docx", "A 16952-2020")</f>
        <v/>
      </c>
    </row>
    <row r="43" ht="15" customHeight="1">
      <c r="A43" t="inlineStr">
        <is>
          <t>A 29939-2020</t>
        </is>
      </c>
      <c r="B43" s="1" t="n">
        <v>44006</v>
      </c>
      <c r="C43" s="1" t="n">
        <v>45754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Backstarr
Sandviol</t>
        </is>
      </c>
      <c r="S43">
        <f>HYPERLINK("https://klasma.github.io/Logging_0685/artfynd/A 29939-2020 artfynd.xlsx", "A 29939-2020")</f>
        <v/>
      </c>
      <c r="T43">
        <f>HYPERLINK("https://klasma.github.io/Logging_0685/kartor/A 29939-2020 karta.png", "A 29939-2020")</f>
        <v/>
      </c>
      <c r="V43">
        <f>HYPERLINK("https://klasma.github.io/Logging_0685/klagomål/A 29939-2020 FSC-klagomål.docx", "A 29939-2020")</f>
        <v/>
      </c>
      <c r="W43">
        <f>HYPERLINK("https://klasma.github.io/Logging_0685/klagomålsmail/A 29939-2020 FSC-klagomål mail.docx", "A 29939-2020")</f>
        <v/>
      </c>
      <c r="X43">
        <f>HYPERLINK("https://klasma.github.io/Logging_0685/tillsyn/A 29939-2020 tillsynsbegäran.docx", "A 29939-2020")</f>
        <v/>
      </c>
      <c r="Y43">
        <f>HYPERLINK("https://klasma.github.io/Logging_0685/tillsynsmail/A 29939-2020 tillsynsbegäran mail.docx", "A 29939-2020")</f>
        <v/>
      </c>
    </row>
    <row r="44" ht="15" customHeight="1">
      <c r="A44" t="inlineStr">
        <is>
          <t>A 36233-2020</t>
        </is>
      </c>
      <c r="B44" s="1" t="n">
        <v>44049</v>
      </c>
      <c r="C44" s="1" t="n">
        <v>45754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Klofibbla</t>
        </is>
      </c>
      <c r="S44">
        <f>HYPERLINK("https://klasma.github.io/Logging_0685/artfynd/A 36233-2020 artfynd.xlsx", "A 36233-2020")</f>
        <v/>
      </c>
      <c r="T44">
        <f>HYPERLINK("https://klasma.github.io/Logging_0685/kartor/A 36233-2020 karta.png", "A 36233-2020")</f>
        <v/>
      </c>
      <c r="V44">
        <f>HYPERLINK("https://klasma.github.io/Logging_0685/klagomål/A 36233-2020 FSC-klagomål.docx", "A 36233-2020")</f>
        <v/>
      </c>
      <c r="W44">
        <f>HYPERLINK("https://klasma.github.io/Logging_0685/klagomålsmail/A 36233-2020 FSC-klagomål mail.docx", "A 36233-2020")</f>
        <v/>
      </c>
      <c r="X44">
        <f>HYPERLINK("https://klasma.github.io/Logging_0685/tillsyn/A 36233-2020 tillsynsbegäran.docx", "A 36233-2020")</f>
        <v/>
      </c>
      <c r="Y44">
        <f>HYPERLINK("https://klasma.github.io/Logging_0685/tillsynsmail/A 36233-2020 tillsynsbegäran mail.docx", "A 36233-2020")</f>
        <v/>
      </c>
    </row>
    <row r="45" ht="15" customHeight="1">
      <c r="A45" t="inlineStr">
        <is>
          <t>A 882-2021</t>
        </is>
      </c>
      <c r="B45" s="1" t="n">
        <v>44205</v>
      </c>
      <c r="C45" s="1" t="n">
        <v>45754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Sommarfibbla
Svinrot</t>
        </is>
      </c>
      <c r="S45">
        <f>HYPERLINK("https://klasma.github.io/Logging_0685/artfynd/A 882-2021 artfynd.xlsx", "A 882-2021")</f>
        <v/>
      </c>
      <c r="T45">
        <f>HYPERLINK("https://klasma.github.io/Logging_0685/kartor/A 882-2021 karta.png", "A 882-2021")</f>
        <v/>
      </c>
      <c r="V45">
        <f>HYPERLINK("https://klasma.github.io/Logging_0685/klagomål/A 882-2021 FSC-klagomål.docx", "A 882-2021")</f>
        <v/>
      </c>
      <c r="W45">
        <f>HYPERLINK("https://klasma.github.io/Logging_0685/klagomålsmail/A 882-2021 FSC-klagomål mail.docx", "A 882-2021")</f>
        <v/>
      </c>
      <c r="X45">
        <f>HYPERLINK("https://klasma.github.io/Logging_0685/tillsyn/A 882-2021 tillsynsbegäran.docx", "A 882-2021")</f>
        <v/>
      </c>
      <c r="Y45">
        <f>HYPERLINK("https://klasma.github.io/Logging_0685/tillsynsmail/A 882-2021 tillsynsbegäran mail.docx", "A 882-2021")</f>
        <v/>
      </c>
    </row>
    <row r="46" ht="15" customHeight="1">
      <c r="A46" t="inlineStr">
        <is>
          <t>A 10009-2021</t>
        </is>
      </c>
      <c r="B46" s="1" t="n">
        <v>44255</v>
      </c>
      <c r="C46" s="1" t="n">
        <v>45754</v>
      </c>
      <c r="D46" t="inlineStr">
        <is>
          <t>JÖNKÖPINGS LÄN</t>
        </is>
      </c>
      <c r="E46" t="inlineStr">
        <is>
          <t>VETLANDA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Blåsippa</t>
        </is>
      </c>
      <c r="S46">
        <f>HYPERLINK("https://klasma.github.io/Logging_0685/artfynd/A 10009-2021 artfynd.xlsx", "A 10009-2021")</f>
        <v/>
      </c>
      <c r="T46">
        <f>HYPERLINK("https://klasma.github.io/Logging_0685/kartor/A 10009-2021 karta.png", "A 10009-2021")</f>
        <v/>
      </c>
      <c r="V46">
        <f>HYPERLINK("https://klasma.github.io/Logging_0685/klagomål/A 10009-2021 FSC-klagomål.docx", "A 10009-2021")</f>
        <v/>
      </c>
      <c r="W46">
        <f>HYPERLINK("https://klasma.github.io/Logging_0685/klagomålsmail/A 10009-2021 FSC-klagomål mail.docx", "A 10009-2021")</f>
        <v/>
      </c>
      <c r="X46">
        <f>HYPERLINK("https://klasma.github.io/Logging_0685/tillsyn/A 10009-2021 tillsynsbegäran.docx", "A 10009-2021")</f>
        <v/>
      </c>
      <c r="Y46">
        <f>HYPERLINK("https://klasma.github.io/Logging_0685/tillsynsmail/A 10009-2021 tillsynsbegäran mail.docx", "A 10009-2021")</f>
        <v/>
      </c>
    </row>
    <row r="47" ht="15" customHeight="1">
      <c r="A47" t="inlineStr">
        <is>
          <t>A 45507-2021</t>
        </is>
      </c>
      <c r="B47" s="1" t="n">
        <v>44440</v>
      </c>
      <c r="C47" s="1" t="n">
        <v>45754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HYPERLINK("https://klasma.github.io/Logging_0685/artfynd/A 45507-2021 artfynd.xlsx", "A 45507-2021")</f>
        <v/>
      </c>
      <c r="T47">
        <f>HYPERLINK("https://klasma.github.io/Logging_0685/kartor/A 45507-2021 karta.png", "A 45507-2021")</f>
        <v/>
      </c>
      <c r="V47">
        <f>HYPERLINK("https://klasma.github.io/Logging_0685/klagomål/A 45507-2021 FSC-klagomål.docx", "A 45507-2021")</f>
        <v/>
      </c>
      <c r="W47">
        <f>HYPERLINK("https://klasma.github.io/Logging_0685/klagomålsmail/A 45507-2021 FSC-klagomål mail.docx", "A 45507-2021")</f>
        <v/>
      </c>
      <c r="X47">
        <f>HYPERLINK("https://klasma.github.io/Logging_0685/tillsyn/A 45507-2021 tillsynsbegäran.docx", "A 45507-2021")</f>
        <v/>
      </c>
      <c r="Y47">
        <f>HYPERLINK("https://klasma.github.io/Logging_0685/tillsynsmail/A 45507-2021 tillsynsbegäran mail.docx", "A 45507-2021")</f>
        <v/>
      </c>
    </row>
    <row r="48" ht="15" customHeight="1">
      <c r="A48" t="inlineStr">
        <is>
          <t>A 73375-2021</t>
        </is>
      </c>
      <c r="B48" s="1" t="n">
        <v>44550</v>
      </c>
      <c r="C48" s="1" t="n">
        <v>45754</v>
      </c>
      <c r="D48" t="inlineStr">
        <is>
          <t>JÖNKÖPINGS LÄN</t>
        </is>
      </c>
      <c r="E48" t="inlineStr">
        <is>
          <t>VETLANDA</t>
        </is>
      </c>
      <c r="G48" t="n">
        <v>7.4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Blåsippa</t>
        </is>
      </c>
      <c r="S48">
        <f>HYPERLINK("https://klasma.github.io/Logging_0685/artfynd/A 73375-2021 artfynd.xlsx", "A 73375-2021")</f>
        <v/>
      </c>
      <c r="T48">
        <f>HYPERLINK("https://klasma.github.io/Logging_0685/kartor/A 73375-2021 karta.png", "A 73375-2021")</f>
        <v/>
      </c>
      <c r="V48">
        <f>HYPERLINK("https://klasma.github.io/Logging_0685/klagomål/A 73375-2021 FSC-klagomål.docx", "A 73375-2021")</f>
        <v/>
      </c>
      <c r="W48">
        <f>HYPERLINK("https://klasma.github.io/Logging_0685/klagomålsmail/A 73375-2021 FSC-klagomål mail.docx", "A 73375-2021")</f>
        <v/>
      </c>
      <c r="X48">
        <f>HYPERLINK("https://klasma.github.io/Logging_0685/tillsyn/A 73375-2021 tillsynsbegäran.docx", "A 73375-2021")</f>
        <v/>
      </c>
      <c r="Y48">
        <f>HYPERLINK("https://klasma.github.io/Logging_0685/tillsynsmail/A 73375-2021 tillsynsbegäran mail.docx", "A 73375-2021")</f>
        <v/>
      </c>
      <c r="Z48">
        <f>HYPERLINK("https://klasma.github.io/Logging_0685/fåglar/A 73375-2021 prioriterade fågelarter.docx", "A 73375-2021")</f>
        <v/>
      </c>
    </row>
    <row r="49" ht="15" customHeight="1">
      <c r="A49" t="inlineStr">
        <is>
          <t>A 7078-2022</t>
        </is>
      </c>
      <c r="B49" s="1" t="n">
        <v>44603</v>
      </c>
      <c r="C49" s="1" t="n">
        <v>45754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Narrklibbfibbla
Fjällig taggsvamp s.str.</t>
        </is>
      </c>
      <c r="S49">
        <f>HYPERLINK("https://klasma.github.io/Logging_0685/artfynd/A 7078-2022 artfynd.xlsx", "A 7078-2022")</f>
        <v/>
      </c>
      <c r="T49">
        <f>HYPERLINK("https://klasma.github.io/Logging_0685/kartor/A 7078-2022 karta.png", "A 7078-2022")</f>
        <v/>
      </c>
      <c r="V49">
        <f>HYPERLINK("https://klasma.github.io/Logging_0685/klagomål/A 7078-2022 FSC-klagomål.docx", "A 7078-2022")</f>
        <v/>
      </c>
      <c r="W49">
        <f>HYPERLINK("https://klasma.github.io/Logging_0685/klagomålsmail/A 7078-2022 FSC-klagomål mail.docx", "A 7078-2022")</f>
        <v/>
      </c>
      <c r="X49">
        <f>HYPERLINK("https://klasma.github.io/Logging_0685/tillsyn/A 7078-2022 tillsynsbegäran.docx", "A 7078-2022")</f>
        <v/>
      </c>
      <c r="Y49">
        <f>HYPERLINK("https://klasma.github.io/Logging_0685/tillsynsmail/A 7078-2022 tillsynsbegäran mail.docx", "A 7078-2022")</f>
        <v/>
      </c>
    </row>
    <row r="50" ht="15" customHeight="1">
      <c r="A50" t="inlineStr">
        <is>
          <t>A 13006-2022</t>
        </is>
      </c>
      <c r="B50" s="1" t="n">
        <v>44643</v>
      </c>
      <c r="C50" s="1" t="n">
        <v>45754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12.5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13006-2022 artfynd.xlsx", "A 13006-2022")</f>
        <v/>
      </c>
      <c r="T50">
        <f>HYPERLINK("https://klasma.github.io/Logging_0685/kartor/A 13006-2022 karta.png", "A 13006-2022")</f>
        <v/>
      </c>
      <c r="U50">
        <f>HYPERLINK("https://klasma.github.io/Logging_0685/knärot/A 13006-2022 karta knärot.png", "A 13006-2022")</f>
        <v/>
      </c>
      <c r="V50">
        <f>HYPERLINK("https://klasma.github.io/Logging_0685/klagomål/A 13006-2022 FSC-klagomål.docx", "A 13006-2022")</f>
        <v/>
      </c>
      <c r="W50">
        <f>HYPERLINK("https://klasma.github.io/Logging_0685/klagomålsmail/A 13006-2022 FSC-klagomål mail.docx", "A 13006-2022")</f>
        <v/>
      </c>
      <c r="X50">
        <f>HYPERLINK("https://klasma.github.io/Logging_0685/tillsyn/A 13006-2022 tillsynsbegäran.docx", "A 13006-2022")</f>
        <v/>
      </c>
      <c r="Y50">
        <f>HYPERLINK("https://klasma.github.io/Logging_0685/tillsynsmail/A 13006-2022 tillsynsbegäran mail.docx", "A 13006-2022")</f>
        <v/>
      </c>
    </row>
    <row r="51" ht="15" customHeight="1">
      <c r="A51" t="inlineStr">
        <is>
          <t>A 17256-2023</t>
        </is>
      </c>
      <c r="B51" s="1" t="n">
        <v>45035</v>
      </c>
      <c r="C51" s="1" t="n">
        <v>45754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Klasefibbla
Vårärt</t>
        </is>
      </c>
      <c r="S51">
        <f>HYPERLINK("https://klasma.github.io/Logging_0685/artfynd/A 17256-2023 artfynd.xlsx", "A 17256-2023")</f>
        <v/>
      </c>
      <c r="T51">
        <f>HYPERLINK("https://klasma.github.io/Logging_0685/kartor/A 17256-2023 karta.png", "A 17256-2023")</f>
        <v/>
      </c>
      <c r="V51">
        <f>HYPERLINK("https://klasma.github.io/Logging_0685/klagomål/A 17256-2023 FSC-klagomål.docx", "A 17256-2023")</f>
        <v/>
      </c>
      <c r="W51">
        <f>HYPERLINK("https://klasma.github.io/Logging_0685/klagomålsmail/A 17256-2023 FSC-klagomål mail.docx", "A 17256-2023")</f>
        <v/>
      </c>
      <c r="X51">
        <f>HYPERLINK("https://klasma.github.io/Logging_0685/tillsyn/A 17256-2023 tillsynsbegäran.docx", "A 17256-2023")</f>
        <v/>
      </c>
      <c r="Y51">
        <f>HYPERLINK("https://klasma.github.io/Logging_0685/tillsynsmail/A 17256-2023 tillsynsbegäran mail.docx", "A 17256-2023")</f>
        <v/>
      </c>
    </row>
    <row r="52" ht="15" customHeight="1">
      <c r="A52" t="inlineStr">
        <is>
          <t>A 19201-2023</t>
        </is>
      </c>
      <c r="B52" s="1" t="n">
        <v>45048</v>
      </c>
      <c r="C52" s="1" t="n">
        <v>45754</v>
      </c>
      <c r="D52" t="inlineStr">
        <is>
          <t>JÖNKÖPINGS LÄN</t>
        </is>
      </c>
      <c r="E52" t="inlineStr">
        <is>
          <t>VETLANDA</t>
        </is>
      </c>
      <c r="G52" t="n">
        <v>4.6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Backsippa
Kryddspindling</t>
        </is>
      </c>
      <c r="S52">
        <f>HYPERLINK("https://klasma.github.io/Logging_0685/artfynd/A 19201-2023 artfynd.xlsx", "A 19201-2023")</f>
        <v/>
      </c>
      <c r="T52">
        <f>HYPERLINK("https://klasma.github.io/Logging_0685/kartor/A 19201-2023 karta.png", "A 19201-2023")</f>
        <v/>
      </c>
      <c r="V52">
        <f>HYPERLINK("https://klasma.github.io/Logging_0685/klagomål/A 19201-2023 FSC-klagomål.docx", "A 19201-2023")</f>
        <v/>
      </c>
      <c r="W52">
        <f>HYPERLINK("https://klasma.github.io/Logging_0685/klagomålsmail/A 19201-2023 FSC-klagomål mail.docx", "A 19201-2023")</f>
        <v/>
      </c>
      <c r="X52">
        <f>HYPERLINK("https://klasma.github.io/Logging_0685/tillsyn/A 19201-2023 tillsynsbegäran.docx", "A 19201-2023")</f>
        <v/>
      </c>
      <c r="Y52">
        <f>HYPERLINK("https://klasma.github.io/Logging_0685/tillsynsmail/A 19201-2023 tillsynsbegäran mail.docx", "A 19201-2023")</f>
        <v/>
      </c>
    </row>
    <row r="53" ht="15" customHeight="1">
      <c r="A53" t="inlineStr">
        <is>
          <t>A 43195-2023</t>
        </is>
      </c>
      <c r="B53" s="1" t="n">
        <v>45183</v>
      </c>
      <c r="C53" s="1" t="n">
        <v>45754</v>
      </c>
      <c r="D53" t="inlineStr">
        <is>
          <t>JÖNKÖPINGS LÄN</t>
        </is>
      </c>
      <c r="E53" t="inlineStr">
        <is>
          <t>VETLANDA</t>
        </is>
      </c>
      <c r="G53" t="n">
        <v>11.9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Talltita</t>
        </is>
      </c>
      <c r="S53">
        <f>HYPERLINK("https://klasma.github.io/Logging_0685/artfynd/A 43195-2023 artfynd.xlsx", "A 43195-2023")</f>
        <v/>
      </c>
      <c r="T53">
        <f>HYPERLINK("https://klasma.github.io/Logging_0685/kartor/A 43195-2023 karta.png", "A 43195-2023")</f>
        <v/>
      </c>
      <c r="U53">
        <f>HYPERLINK("https://klasma.github.io/Logging_0685/knärot/A 43195-2023 karta knärot.png", "A 43195-2023")</f>
        <v/>
      </c>
      <c r="V53">
        <f>HYPERLINK("https://klasma.github.io/Logging_0685/klagomål/A 43195-2023 FSC-klagomål.docx", "A 43195-2023")</f>
        <v/>
      </c>
      <c r="W53">
        <f>HYPERLINK("https://klasma.github.io/Logging_0685/klagomålsmail/A 43195-2023 FSC-klagomål mail.docx", "A 43195-2023")</f>
        <v/>
      </c>
      <c r="X53">
        <f>HYPERLINK("https://klasma.github.io/Logging_0685/tillsyn/A 43195-2023 tillsynsbegäran.docx", "A 43195-2023")</f>
        <v/>
      </c>
      <c r="Y53">
        <f>HYPERLINK("https://klasma.github.io/Logging_0685/tillsynsmail/A 43195-2023 tillsynsbegäran mail.docx", "A 43195-2023")</f>
        <v/>
      </c>
      <c r="Z53">
        <f>HYPERLINK("https://klasma.github.io/Logging_0685/fåglar/A 43195-2023 prioriterade fågelarter.docx", "A 43195-2023")</f>
        <v/>
      </c>
    </row>
    <row r="54" ht="15" customHeight="1">
      <c r="A54" t="inlineStr">
        <is>
          <t>A 48393-2023</t>
        </is>
      </c>
      <c r="B54" s="1" t="n">
        <v>45201</v>
      </c>
      <c r="C54" s="1" t="n">
        <v>45754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5.3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Björktrast
Röd glada</t>
        </is>
      </c>
      <c r="S54">
        <f>HYPERLINK("https://klasma.github.io/Logging_0685/artfynd/A 48393-2023 artfynd.xlsx", "A 48393-2023")</f>
        <v/>
      </c>
      <c r="T54">
        <f>HYPERLINK("https://klasma.github.io/Logging_0685/kartor/A 48393-2023 karta.png", "A 48393-2023")</f>
        <v/>
      </c>
      <c r="V54">
        <f>HYPERLINK("https://klasma.github.io/Logging_0685/klagomål/A 48393-2023 FSC-klagomål.docx", "A 48393-2023")</f>
        <v/>
      </c>
      <c r="W54">
        <f>HYPERLINK("https://klasma.github.io/Logging_0685/klagomålsmail/A 48393-2023 FSC-klagomål mail.docx", "A 48393-2023")</f>
        <v/>
      </c>
      <c r="X54">
        <f>HYPERLINK("https://klasma.github.io/Logging_0685/tillsyn/A 48393-2023 tillsynsbegäran.docx", "A 48393-2023")</f>
        <v/>
      </c>
      <c r="Y54">
        <f>HYPERLINK("https://klasma.github.io/Logging_0685/tillsynsmail/A 48393-2023 tillsynsbegäran mail.docx", "A 48393-2023")</f>
        <v/>
      </c>
      <c r="Z54">
        <f>HYPERLINK("https://klasma.github.io/Logging_0685/fåglar/A 48393-2023 prioriterade fågelarter.docx", "A 48393-2023")</f>
        <v/>
      </c>
    </row>
    <row r="55" ht="15" customHeight="1">
      <c r="A55" t="inlineStr">
        <is>
          <t>A 50867-2023</t>
        </is>
      </c>
      <c r="B55" s="1" t="n">
        <v>45218</v>
      </c>
      <c r="C55" s="1" t="n">
        <v>45754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50867-2023 artfynd.xlsx", "A 50867-2023")</f>
        <v/>
      </c>
      <c r="T55">
        <f>HYPERLINK("https://klasma.github.io/Logging_0685/kartor/A 50867-2023 karta.png", "A 50867-2023")</f>
        <v/>
      </c>
      <c r="U55">
        <f>HYPERLINK("https://klasma.github.io/Logging_0685/knärot/A 50867-2023 karta knärot.png", "A 50867-2023")</f>
        <v/>
      </c>
      <c r="V55">
        <f>HYPERLINK("https://klasma.github.io/Logging_0685/klagomål/A 50867-2023 FSC-klagomål.docx", "A 50867-2023")</f>
        <v/>
      </c>
      <c r="W55">
        <f>HYPERLINK("https://klasma.github.io/Logging_0685/klagomålsmail/A 50867-2023 FSC-klagomål mail.docx", "A 50867-2023")</f>
        <v/>
      </c>
      <c r="X55">
        <f>HYPERLINK("https://klasma.github.io/Logging_0685/tillsyn/A 50867-2023 tillsynsbegäran.docx", "A 50867-2023")</f>
        <v/>
      </c>
      <c r="Y55">
        <f>HYPERLINK("https://klasma.github.io/Logging_0685/tillsynsmail/A 50867-2023 tillsynsbegäran mail.docx", "A 50867-2023")</f>
        <v/>
      </c>
    </row>
    <row r="56" ht="15" customHeight="1">
      <c r="A56" t="inlineStr">
        <is>
          <t>A 13323-2024</t>
        </is>
      </c>
      <c r="B56" s="1" t="n">
        <v>45386</v>
      </c>
      <c r="C56" s="1" t="n">
        <v>45754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Vanlig snok</t>
        </is>
      </c>
      <c r="S56">
        <f>HYPERLINK("https://klasma.github.io/Logging_0685/artfynd/A 13323-2024 artfynd.xlsx", "A 13323-2024")</f>
        <v/>
      </c>
      <c r="T56">
        <f>HYPERLINK("https://klasma.github.io/Logging_0685/kartor/A 13323-2024 karta.png", "A 13323-2024")</f>
        <v/>
      </c>
      <c r="U56">
        <f>HYPERLINK("https://klasma.github.io/Logging_0685/knärot/A 13323-2024 karta knärot.png", "A 13323-2024")</f>
        <v/>
      </c>
      <c r="V56">
        <f>HYPERLINK("https://klasma.github.io/Logging_0685/klagomål/A 13323-2024 FSC-klagomål.docx", "A 13323-2024")</f>
        <v/>
      </c>
      <c r="W56">
        <f>HYPERLINK("https://klasma.github.io/Logging_0685/klagomålsmail/A 13323-2024 FSC-klagomål mail.docx", "A 13323-2024")</f>
        <v/>
      </c>
      <c r="X56">
        <f>HYPERLINK("https://klasma.github.io/Logging_0685/tillsyn/A 13323-2024 tillsynsbegäran.docx", "A 13323-2024")</f>
        <v/>
      </c>
      <c r="Y56">
        <f>HYPERLINK("https://klasma.github.io/Logging_0685/tillsynsmail/A 13323-2024 tillsynsbegäran mail.docx", "A 13323-2024")</f>
        <v/>
      </c>
    </row>
    <row r="57" ht="15" customHeight="1">
      <c r="A57" t="inlineStr">
        <is>
          <t>A 28300-2024</t>
        </is>
      </c>
      <c r="B57" s="1" t="n">
        <v>45477</v>
      </c>
      <c r="C57" s="1" t="n">
        <v>45754</v>
      </c>
      <c r="D57" t="inlineStr">
        <is>
          <t>JÖNKÖPINGS LÄN</t>
        </is>
      </c>
      <c r="E57" t="inlineStr">
        <is>
          <t>VETLANDA</t>
        </is>
      </c>
      <c r="G57" t="n">
        <v>7.9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Dropptaggsvamp</t>
        </is>
      </c>
      <c r="S57">
        <f>HYPERLINK("https://klasma.github.io/Logging_0685/artfynd/A 28300-2024 artfynd.xlsx", "A 28300-2024")</f>
        <v/>
      </c>
      <c r="T57">
        <f>HYPERLINK("https://klasma.github.io/Logging_0685/kartor/A 28300-2024 karta.png", "A 28300-2024")</f>
        <v/>
      </c>
      <c r="V57">
        <f>HYPERLINK("https://klasma.github.io/Logging_0685/klagomål/A 28300-2024 FSC-klagomål.docx", "A 28300-2024")</f>
        <v/>
      </c>
      <c r="W57">
        <f>HYPERLINK("https://klasma.github.io/Logging_0685/klagomålsmail/A 28300-2024 FSC-klagomål mail.docx", "A 28300-2024")</f>
        <v/>
      </c>
      <c r="X57">
        <f>HYPERLINK("https://klasma.github.io/Logging_0685/tillsyn/A 28300-2024 tillsynsbegäran.docx", "A 28300-2024")</f>
        <v/>
      </c>
      <c r="Y57">
        <f>HYPERLINK("https://klasma.github.io/Logging_0685/tillsynsmail/A 28300-2024 tillsynsbegäran mail.docx", "A 28300-2024")</f>
        <v/>
      </c>
      <c r="Z57">
        <f>HYPERLINK("https://klasma.github.io/Logging_0685/fåglar/A 28300-2024 prioriterade fågelarter.docx", "A 28300-2024")</f>
        <v/>
      </c>
    </row>
    <row r="58" ht="15" customHeight="1">
      <c r="A58" t="inlineStr">
        <is>
          <t>A 33797-2024</t>
        </is>
      </c>
      <c r="B58" s="1" t="n">
        <v>45520</v>
      </c>
      <c r="C58" s="1" t="n">
        <v>45754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Vanlig groda</t>
        </is>
      </c>
      <c r="S58">
        <f>HYPERLINK("https://klasma.github.io/Logging_0685/artfynd/A 33797-2024 artfynd.xlsx", "A 33797-2024")</f>
        <v/>
      </c>
      <c r="T58">
        <f>HYPERLINK("https://klasma.github.io/Logging_0685/kartor/A 33797-2024 karta.png", "A 33797-2024")</f>
        <v/>
      </c>
      <c r="U58">
        <f>HYPERLINK("https://klasma.github.io/Logging_0685/knärot/A 33797-2024 karta knärot.png", "A 33797-2024")</f>
        <v/>
      </c>
      <c r="V58">
        <f>HYPERLINK("https://klasma.github.io/Logging_0685/klagomål/A 33797-2024 FSC-klagomål.docx", "A 33797-2024")</f>
        <v/>
      </c>
      <c r="W58">
        <f>HYPERLINK("https://klasma.github.io/Logging_0685/klagomålsmail/A 33797-2024 FSC-klagomål mail.docx", "A 33797-2024")</f>
        <v/>
      </c>
      <c r="X58">
        <f>HYPERLINK("https://klasma.github.io/Logging_0685/tillsyn/A 33797-2024 tillsynsbegäran.docx", "A 33797-2024")</f>
        <v/>
      </c>
      <c r="Y58">
        <f>HYPERLINK("https://klasma.github.io/Logging_0685/tillsynsmail/A 33797-2024 tillsynsbegäran mail.docx", "A 33797-2024")</f>
        <v/>
      </c>
    </row>
    <row r="59" ht="15" customHeight="1">
      <c r="A59" t="inlineStr">
        <is>
          <t>A 39302-2024</t>
        </is>
      </c>
      <c r="B59" s="1" t="n">
        <v>45551</v>
      </c>
      <c r="C59" s="1" t="n">
        <v>45754</v>
      </c>
      <c r="D59" t="inlineStr">
        <is>
          <t>JÖNKÖPINGS LÄN</t>
        </is>
      </c>
      <c r="E59" t="inlineStr">
        <is>
          <t>VETLANDA</t>
        </is>
      </c>
      <c r="G59" t="n">
        <v>0.7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Nordfladdermus
Dvärgpipistrell</t>
        </is>
      </c>
      <c r="S59">
        <f>HYPERLINK("https://klasma.github.io/Logging_0685/artfynd/A 39302-2024 artfynd.xlsx", "A 39302-2024")</f>
        <v/>
      </c>
      <c r="T59">
        <f>HYPERLINK("https://klasma.github.io/Logging_0685/kartor/A 39302-2024 karta.png", "A 39302-2024")</f>
        <v/>
      </c>
      <c r="V59">
        <f>HYPERLINK("https://klasma.github.io/Logging_0685/klagomål/A 39302-2024 FSC-klagomål.docx", "A 39302-2024")</f>
        <v/>
      </c>
      <c r="W59">
        <f>HYPERLINK("https://klasma.github.io/Logging_0685/klagomålsmail/A 39302-2024 FSC-klagomål mail.docx", "A 39302-2024")</f>
        <v/>
      </c>
      <c r="X59">
        <f>HYPERLINK("https://klasma.github.io/Logging_0685/tillsyn/A 39302-2024 tillsynsbegäran.docx", "A 39302-2024")</f>
        <v/>
      </c>
      <c r="Y59">
        <f>HYPERLINK("https://klasma.github.io/Logging_0685/tillsynsmail/A 39302-2024 tillsynsbegäran mail.docx", "A 39302-2024")</f>
        <v/>
      </c>
    </row>
    <row r="60" ht="15" customHeight="1">
      <c r="A60" t="inlineStr">
        <is>
          <t>A 47346-2024</t>
        </is>
      </c>
      <c r="B60" s="1" t="n">
        <v>45587</v>
      </c>
      <c r="C60" s="1" t="n">
        <v>45754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HYPERLINK("https://klasma.github.io/Logging_0685/artfynd/A 47346-2024 artfynd.xlsx", "A 47346-2024")</f>
        <v/>
      </c>
      <c r="T60">
        <f>HYPERLINK("https://klasma.github.io/Logging_0685/kartor/A 47346-2024 karta.png", "A 47346-2024")</f>
        <v/>
      </c>
      <c r="V60">
        <f>HYPERLINK("https://klasma.github.io/Logging_0685/klagomål/A 47346-2024 FSC-klagomål.docx", "A 47346-2024")</f>
        <v/>
      </c>
      <c r="W60">
        <f>HYPERLINK("https://klasma.github.io/Logging_0685/klagomålsmail/A 47346-2024 FSC-klagomål mail.docx", "A 47346-2024")</f>
        <v/>
      </c>
      <c r="X60">
        <f>HYPERLINK("https://klasma.github.io/Logging_0685/tillsyn/A 47346-2024 tillsynsbegäran.docx", "A 47346-2024")</f>
        <v/>
      </c>
      <c r="Y60">
        <f>HYPERLINK("https://klasma.github.io/Logging_0685/tillsynsmail/A 47346-2024 tillsynsbegäran mail.docx", "A 47346-2024")</f>
        <v/>
      </c>
    </row>
    <row r="61" ht="15" customHeight="1">
      <c r="A61" t="inlineStr">
        <is>
          <t>A 50033-2024</t>
        </is>
      </c>
      <c r="B61" s="1" t="n">
        <v>45599</v>
      </c>
      <c r="C61" s="1" t="n">
        <v>45754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Skogsalm
Ask</t>
        </is>
      </c>
      <c r="S61">
        <f>HYPERLINK("https://klasma.github.io/Logging_0685/artfynd/A 50033-2024 artfynd.xlsx", "A 50033-2024")</f>
        <v/>
      </c>
      <c r="T61">
        <f>HYPERLINK("https://klasma.github.io/Logging_0685/kartor/A 50033-2024 karta.png", "A 50033-2024")</f>
        <v/>
      </c>
      <c r="V61">
        <f>HYPERLINK("https://klasma.github.io/Logging_0685/klagomål/A 50033-2024 FSC-klagomål.docx", "A 50033-2024")</f>
        <v/>
      </c>
      <c r="W61">
        <f>HYPERLINK("https://klasma.github.io/Logging_0685/klagomålsmail/A 50033-2024 FSC-klagomål mail.docx", "A 50033-2024")</f>
        <v/>
      </c>
      <c r="X61">
        <f>HYPERLINK("https://klasma.github.io/Logging_0685/tillsyn/A 50033-2024 tillsynsbegäran.docx", "A 50033-2024")</f>
        <v/>
      </c>
      <c r="Y61">
        <f>HYPERLINK("https://klasma.github.io/Logging_0685/tillsynsmail/A 50033-2024 tillsynsbegäran mail.docx", "A 50033-2024")</f>
        <v/>
      </c>
    </row>
    <row r="62" ht="15" customHeight="1">
      <c r="A62" t="inlineStr">
        <is>
          <t>A 54055-2024</t>
        </is>
      </c>
      <c r="B62" s="1" t="n">
        <v>45616</v>
      </c>
      <c r="C62" s="1" t="n">
        <v>45754</v>
      </c>
      <c r="D62" t="inlineStr">
        <is>
          <t>JÖNKÖPINGS LÄN</t>
        </is>
      </c>
      <c r="E62" t="inlineStr">
        <is>
          <t>VETLANDA</t>
        </is>
      </c>
      <c r="G62" t="n">
        <v>4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Västlig hakmossa</t>
        </is>
      </c>
      <c r="S62">
        <f>HYPERLINK("https://klasma.github.io/Logging_0685/artfynd/A 54055-2024 artfynd.xlsx", "A 54055-2024")</f>
        <v/>
      </c>
      <c r="T62">
        <f>HYPERLINK("https://klasma.github.io/Logging_0685/kartor/A 54055-2024 karta.png", "A 54055-2024")</f>
        <v/>
      </c>
      <c r="V62">
        <f>HYPERLINK("https://klasma.github.io/Logging_0685/klagomål/A 54055-2024 FSC-klagomål.docx", "A 54055-2024")</f>
        <v/>
      </c>
      <c r="W62">
        <f>HYPERLINK("https://klasma.github.io/Logging_0685/klagomålsmail/A 54055-2024 FSC-klagomål mail.docx", "A 54055-2024")</f>
        <v/>
      </c>
      <c r="X62">
        <f>HYPERLINK("https://klasma.github.io/Logging_0685/tillsyn/A 54055-2024 tillsynsbegäran.docx", "A 54055-2024")</f>
        <v/>
      </c>
      <c r="Y62">
        <f>HYPERLINK("https://klasma.github.io/Logging_0685/tillsynsmail/A 54055-2024 tillsynsbegäran mail.docx", "A 54055-2024")</f>
        <v/>
      </c>
    </row>
    <row r="63" ht="15" customHeight="1">
      <c r="A63" t="inlineStr">
        <is>
          <t>A 57042-2024</t>
        </is>
      </c>
      <c r="B63" s="1" t="n">
        <v>45629</v>
      </c>
      <c r="C63" s="1" t="n">
        <v>45754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Orange taggsvamp
Fjällig taggsvamp s.str.</t>
        </is>
      </c>
      <c r="S63">
        <f>HYPERLINK("https://klasma.github.io/Logging_0685/artfynd/A 57042-2024 artfynd.xlsx", "A 57042-2024")</f>
        <v/>
      </c>
      <c r="T63">
        <f>HYPERLINK("https://klasma.github.io/Logging_0685/kartor/A 57042-2024 karta.png", "A 57042-2024")</f>
        <v/>
      </c>
      <c r="V63">
        <f>HYPERLINK("https://klasma.github.io/Logging_0685/klagomål/A 57042-2024 FSC-klagomål.docx", "A 57042-2024")</f>
        <v/>
      </c>
      <c r="W63">
        <f>HYPERLINK("https://klasma.github.io/Logging_0685/klagomålsmail/A 57042-2024 FSC-klagomål mail.docx", "A 57042-2024")</f>
        <v/>
      </c>
      <c r="X63">
        <f>HYPERLINK("https://klasma.github.io/Logging_0685/tillsyn/A 57042-2024 tillsynsbegäran.docx", "A 57042-2024")</f>
        <v/>
      </c>
      <c r="Y63">
        <f>HYPERLINK("https://klasma.github.io/Logging_0685/tillsynsmail/A 57042-2024 tillsynsbegäran mail.docx", "A 57042-2024")</f>
        <v/>
      </c>
    </row>
    <row r="64" ht="15" customHeight="1">
      <c r="A64" t="inlineStr">
        <is>
          <t>A 8838-2025</t>
        </is>
      </c>
      <c r="B64" s="1" t="n">
        <v>45713</v>
      </c>
      <c r="C64" s="1" t="n">
        <v>45754</v>
      </c>
      <c r="D64" t="inlineStr">
        <is>
          <t>JÖNKÖPINGS LÄN</t>
        </is>
      </c>
      <c r="E64" t="inlineStr">
        <is>
          <t>VETLANDA</t>
        </is>
      </c>
      <c r="G64" t="n">
        <v>1.8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Brunlångöra
Nordfladdermus</t>
        </is>
      </c>
      <c r="S64">
        <f>HYPERLINK("https://klasma.github.io/Logging_0685/artfynd/A 8838-2025 artfynd.xlsx", "A 8838-2025")</f>
        <v/>
      </c>
      <c r="T64">
        <f>HYPERLINK("https://klasma.github.io/Logging_0685/kartor/A 8838-2025 karta.png", "A 8838-2025")</f>
        <v/>
      </c>
      <c r="V64">
        <f>HYPERLINK("https://klasma.github.io/Logging_0685/klagomål/A 8838-2025 FSC-klagomål.docx", "A 8838-2025")</f>
        <v/>
      </c>
      <c r="W64">
        <f>HYPERLINK("https://klasma.github.io/Logging_0685/klagomålsmail/A 8838-2025 FSC-klagomål mail.docx", "A 8838-2025")</f>
        <v/>
      </c>
      <c r="X64">
        <f>HYPERLINK("https://klasma.github.io/Logging_0685/tillsyn/A 8838-2025 tillsynsbegäran.docx", "A 8838-2025")</f>
        <v/>
      </c>
      <c r="Y64">
        <f>HYPERLINK("https://klasma.github.io/Logging_0685/tillsynsmail/A 8838-2025 tillsynsbegäran mail.docx", "A 8838-2025")</f>
        <v/>
      </c>
    </row>
    <row r="65" ht="15" customHeight="1">
      <c r="A65" t="inlineStr">
        <is>
          <t>A 20306-2019</t>
        </is>
      </c>
      <c r="B65" s="1" t="n">
        <v>43571</v>
      </c>
      <c r="C65" s="1" t="n">
        <v>45754</v>
      </c>
      <c r="D65" t="inlineStr">
        <is>
          <t>JÖNKÖPINGS LÄN</t>
        </is>
      </c>
      <c r="E65" t="inlineStr">
        <is>
          <t>VETLANDA</t>
        </is>
      </c>
      <c r="G65" t="n">
        <v>8.800000000000001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HYPERLINK("https://klasma.github.io/Logging_0685/artfynd/A 20306-2019 artfynd.xlsx", "A 20306-2019")</f>
        <v/>
      </c>
      <c r="T65">
        <f>HYPERLINK("https://klasma.github.io/Logging_0685/kartor/A 20306-2019 karta.png", "A 20306-2019")</f>
        <v/>
      </c>
      <c r="V65">
        <f>HYPERLINK("https://klasma.github.io/Logging_0685/klagomål/A 20306-2019 FSC-klagomål.docx", "A 20306-2019")</f>
        <v/>
      </c>
      <c r="W65">
        <f>HYPERLINK("https://klasma.github.io/Logging_0685/klagomålsmail/A 20306-2019 FSC-klagomål mail.docx", "A 20306-2019")</f>
        <v/>
      </c>
      <c r="X65">
        <f>HYPERLINK("https://klasma.github.io/Logging_0685/tillsyn/A 20306-2019 tillsynsbegäran.docx", "A 20306-2019")</f>
        <v/>
      </c>
      <c r="Y65">
        <f>HYPERLINK("https://klasma.github.io/Logging_0685/tillsynsmail/A 20306-2019 tillsynsbegäran mail.docx", "A 20306-2019")</f>
        <v/>
      </c>
    </row>
    <row r="66" ht="15" customHeight="1">
      <c r="A66" t="inlineStr">
        <is>
          <t>A 20308-2019</t>
        </is>
      </c>
      <c r="B66" s="1" t="n">
        <v>43571</v>
      </c>
      <c r="C66" s="1" t="n">
        <v>45754</v>
      </c>
      <c r="D66" t="inlineStr">
        <is>
          <t>JÖNKÖPINGS LÄN</t>
        </is>
      </c>
      <c r="E66" t="inlineStr">
        <is>
          <t>VETLANDA</t>
        </is>
      </c>
      <c r="G66" t="n">
        <v>7.1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20308-2019 artfynd.xlsx", "A 20308-2019")</f>
        <v/>
      </c>
      <c r="T66">
        <f>HYPERLINK("https://klasma.github.io/Logging_0685/kartor/A 20308-2019 karta.png", "A 20308-2019")</f>
        <v/>
      </c>
      <c r="U66">
        <f>HYPERLINK("https://klasma.github.io/Logging_0685/knärot/A 20308-2019 karta knärot.png", "A 20308-2019")</f>
        <v/>
      </c>
      <c r="V66">
        <f>HYPERLINK("https://klasma.github.io/Logging_0685/klagomål/A 20308-2019 FSC-klagomål.docx", "A 20308-2019")</f>
        <v/>
      </c>
      <c r="W66">
        <f>HYPERLINK("https://klasma.github.io/Logging_0685/klagomålsmail/A 20308-2019 FSC-klagomål mail.docx", "A 20308-2019")</f>
        <v/>
      </c>
      <c r="X66">
        <f>HYPERLINK("https://klasma.github.io/Logging_0685/tillsyn/A 20308-2019 tillsynsbegäran.docx", "A 20308-2019")</f>
        <v/>
      </c>
      <c r="Y66">
        <f>HYPERLINK("https://klasma.github.io/Logging_0685/tillsynsmail/A 20308-2019 tillsynsbegäran mail.docx", "A 20308-2019")</f>
        <v/>
      </c>
    </row>
    <row r="67" ht="15" customHeight="1">
      <c r="A67" t="inlineStr">
        <is>
          <t>A 23988-2019</t>
        </is>
      </c>
      <c r="B67" s="1" t="n">
        <v>43595</v>
      </c>
      <c r="C67" s="1" t="n">
        <v>45754</v>
      </c>
      <c r="D67" t="inlineStr">
        <is>
          <t>JÖNKÖPINGS LÄN</t>
        </is>
      </c>
      <c r="E67" t="inlineStr">
        <is>
          <t>VETLANDA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HYPERLINK("https://klasma.github.io/Logging_0685/artfynd/A 23988-2019 artfynd.xlsx", "A 23988-2019")</f>
        <v/>
      </c>
      <c r="T67">
        <f>HYPERLINK("https://klasma.github.io/Logging_0685/kartor/A 23988-2019 karta.png", "A 23988-2019")</f>
        <v/>
      </c>
      <c r="V67">
        <f>HYPERLINK("https://klasma.github.io/Logging_0685/klagomål/A 23988-2019 FSC-klagomål.docx", "A 23988-2019")</f>
        <v/>
      </c>
      <c r="W67">
        <f>HYPERLINK("https://klasma.github.io/Logging_0685/klagomålsmail/A 23988-2019 FSC-klagomål mail.docx", "A 23988-2019")</f>
        <v/>
      </c>
      <c r="X67">
        <f>HYPERLINK("https://klasma.github.io/Logging_0685/tillsyn/A 23988-2019 tillsynsbegäran.docx", "A 23988-2019")</f>
        <v/>
      </c>
      <c r="Y67">
        <f>HYPERLINK("https://klasma.github.io/Logging_0685/tillsynsmail/A 23988-2019 tillsynsbegäran mail.docx", "A 23988-2019")</f>
        <v/>
      </c>
    </row>
    <row r="68" ht="15" customHeight="1">
      <c r="A68" t="inlineStr">
        <is>
          <t>A 25880-2019</t>
        </is>
      </c>
      <c r="B68" s="1" t="n">
        <v>43605</v>
      </c>
      <c r="C68" s="1" t="n">
        <v>45754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4.8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25880-2019 artfynd.xlsx", "A 25880-2019")</f>
        <v/>
      </c>
      <c r="T68">
        <f>HYPERLINK("https://klasma.github.io/Logging_0685/kartor/A 25880-2019 karta.png", "A 25880-2019")</f>
        <v/>
      </c>
      <c r="U68">
        <f>HYPERLINK("https://klasma.github.io/Logging_0685/knärot/A 25880-2019 karta knärot.png", "A 25880-2019")</f>
        <v/>
      </c>
      <c r="V68">
        <f>HYPERLINK("https://klasma.github.io/Logging_0685/klagomål/A 25880-2019 FSC-klagomål.docx", "A 25880-2019")</f>
        <v/>
      </c>
      <c r="W68">
        <f>HYPERLINK("https://klasma.github.io/Logging_0685/klagomålsmail/A 25880-2019 FSC-klagomål mail.docx", "A 25880-2019")</f>
        <v/>
      </c>
      <c r="X68">
        <f>HYPERLINK("https://klasma.github.io/Logging_0685/tillsyn/A 25880-2019 tillsynsbegäran.docx", "A 25880-2019")</f>
        <v/>
      </c>
      <c r="Y68">
        <f>HYPERLINK("https://klasma.github.io/Logging_0685/tillsynsmail/A 25880-2019 tillsynsbegäran mail.docx", "A 25880-2019")</f>
        <v/>
      </c>
    </row>
    <row r="69" ht="15" customHeight="1">
      <c r="A69" t="inlineStr">
        <is>
          <t>A 30971-2019</t>
        </is>
      </c>
      <c r="B69" s="1" t="n">
        <v>43639</v>
      </c>
      <c r="C69" s="1" t="n">
        <v>45754</v>
      </c>
      <c r="D69" t="inlineStr">
        <is>
          <t>JÖNKÖPINGS LÄN</t>
        </is>
      </c>
      <c r="E69" t="inlineStr">
        <is>
          <t>VETLANDA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HYPERLINK("https://klasma.github.io/Logging_0685/artfynd/A 30971-2019 artfynd.xlsx", "A 30971-2019")</f>
        <v/>
      </c>
      <c r="T69">
        <f>HYPERLINK("https://klasma.github.io/Logging_0685/kartor/A 30971-2019 karta.png", "A 30971-2019")</f>
        <v/>
      </c>
      <c r="V69">
        <f>HYPERLINK("https://klasma.github.io/Logging_0685/klagomål/A 30971-2019 FSC-klagomål.docx", "A 30971-2019")</f>
        <v/>
      </c>
      <c r="W69">
        <f>HYPERLINK("https://klasma.github.io/Logging_0685/klagomålsmail/A 30971-2019 FSC-klagomål mail.docx", "A 30971-2019")</f>
        <v/>
      </c>
      <c r="X69">
        <f>HYPERLINK("https://klasma.github.io/Logging_0685/tillsyn/A 30971-2019 tillsynsbegäran.docx", "A 30971-2019")</f>
        <v/>
      </c>
      <c r="Y69">
        <f>HYPERLINK("https://klasma.github.io/Logging_0685/tillsynsmail/A 30971-2019 tillsynsbegäran mail.docx", "A 30971-2019")</f>
        <v/>
      </c>
    </row>
    <row r="70" ht="15" customHeight="1">
      <c r="A70" t="inlineStr">
        <is>
          <t>A 45093-2019</t>
        </is>
      </c>
      <c r="B70" s="1" t="n">
        <v>43713</v>
      </c>
      <c r="C70" s="1" t="n">
        <v>45754</v>
      </c>
      <c r="D70" t="inlineStr">
        <is>
          <t>JÖNKÖPINGS LÄN</t>
        </is>
      </c>
      <c r="E70" t="inlineStr">
        <is>
          <t>VETLANDA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45093-2019 artfynd.xlsx", "A 45093-2019")</f>
        <v/>
      </c>
      <c r="T70">
        <f>HYPERLINK("https://klasma.github.io/Logging_0685/kartor/A 45093-2019 karta.png", "A 45093-2019")</f>
        <v/>
      </c>
      <c r="V70">
        <f>HYPERLINK("https://klasma.github.io/Logging_0685/klagomål/A 45093-2019 FSC-klagomål.docx", "A 45093-2019")</f>
        <v/>
      </c>
      <c r="W70">
        <f>HYPERLINK("https://klasma.github.io/Logging_0685/klagomålsmail/A 45093-2019 FSC-klagomål mail.docx", "A 45093-2019")</f>
        <v/>
      </c>
      <c r="X70">
        <f>HYPERLINK("https://klasma.github.io/Logging_0685/tillsyn/A 45093-2019 tillsynsbegäran.docx", "A 45093-2019")</f>
        <v/>
      </c>
      <c r="Y70">
        <f>HYPERLINK("https://klasma.github.io/Logging_0685/tillsynsmail/A 45093-2019 tillsynsbegäran mail.docx", "A 45093-2019")</f>
        <v/>
      </c>
    </row>
    <row r="71" ht="15" customHeight="1">
      <c r="A71" t="inlineStr">
        <is>
          <t>A 46208-2019</t>
        </is>
      </c>
      <c r="B71" s="1" t="n">
        <v>43718</v>
      </c>
      <c r="C71" s="1" t="n">
        <v>45754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HYPERLINK("https://klasma.github.io/Logging_0685/artfynd/A 46208-2019 artfynd.xlsx", "A 46208-2019")</f>
        <v/>
      </c>
      <c r="T71">
        <f>HYPERLINK("https://klasma.github.io/Logging_0685/kartor/A 46208-2019 karta.png", "A 46208-2019")</f>
        <v/>
      </c>
      <c r="V71">
        <f>HYPERLINK("https://klasma.github.io/Logging_0685/klagomål/A 46208-2019 FSC-klagomål.docx", "A 46208-2019")</f>
        <v/>
      </c>
      <c r="W71">
        <f>HYPERLINK("https://klasma.github.io/Logging_0685/klagomålsmail/A 46208-2019 FSC-klagomål mail.docx", "A 46208-2019")</f>
        <v/>
      </c>
      <c r="X71">
        <f>HYPERLINK("https://klasma.github.io/Logging_0685/tillsyn/A 46208-2019 tillsynsbegäran.docx", "A 46208-2019")</f>
        <v/>
      </c>
      <c r="Y71">
        <f>HYPERLINK("https://klasma.github.io/Logging_0685/tillsynsmail/A 46208-2019 tillsynsbegäran mail.docx", "A 46208-2019")</f>
        <v/>
      </c>
    </row>
    <row r="72" ht="15" customHeight="1">
      <c r="A72" t="inlineStr">
        <is>
          <t>A 53433-2019</t>
        </is>
      </c>
      <c r="B72" s="1" t="n">
        <v>43748</v>
      </c>
      <c r="C72" s="1" t="n">
        <v>45754</v>
      </c>
      <c r="D72" t="inlineStr">
        <is>
          <t>JÖNKÖPINGS LÄN</t>
        </is>
      </c>
      <c r="E72" t="inlineStr">
        <is>
          <t>VETLANDA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HYPERLINK("https://klasma.github.io/Logging_0685/artfynd/A 53433-2019 artfynd.xlsx", "A 53433-2019")</f>
        <v/>
      </c>
      <c r="T72">
        <f>HYPERLINK("https://klasma.github.io/Logging_0685/kartor/A 53433-2019 karta.png", "A 53433-2019")</f>
        <v/>
      </c>
      <c r="V72">
        <f>HYPERLINK("https://klasma.github.io/Logging_0685/klagomål/A 53433-2019 FSC-klagomål.docx", "A 53433-2019")</f>
        <v/>
      </c>
      <c r="W72">
        <f>HYPERLINK("https://klasma.github.io/Logging_0685/klagomålsmail/A 53433-2019 FSC-klagomål mail.docx", "A 53433-2019")</f>
        <v/>
      </c>
      <c r="X72">
        <f>HYPERLINK("https://klasma.github.io/Logging_0685/tillsyn/A 53433-2019 tillsynsbegäran.docx", "A 53433-2019")</f>
        <v/>
      </c>
      <c r="Y72">
        <f>HYPERLINK("https://klasma.github.io/Logging_0685/tillsynsmail/A 53433-2019 tillsynsbegäran mail.docx", "A 53433-2019")</f>
        <v/>
      </c>
    </row>
    <row r="73" ht="15" customHeight="1">
      <c r="A73" t="inlineStr">
        <is>
          <t>A 67950-2019</t>
        </is>
      </c>
      <c r="B73" s="1" t="n">
        <v>43811</v>
      </c>
      <c r="C73" s="1" t="n">
        <v>45754</v>
      </c>
      <c r="D73" t="inlineStr">
        <is>
          <t>JÖNKÖPINGS LÄN</t>
        </is>
      </c>
      <c r="E73" t="inlineStr">
        <is>
          <t>VETLANDA</t>
        </is>
      </c>
      <c r="G73" t="n">
        <v>10.9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67950-2019 artfynd.xlsx", "A 67950-2019")</f>
        <v/>
      </c>
      <c r="T73">
        <f>HYPERLINK("https://klasma.github.io/Logging_0685/kartor/A 67950-2019 karta.png", "A 67950-2019")</f>
        <v/>
      </c>
      <c r="U73">
        <f>HYPERLINK("https://klasma.github.io/Logging_0685/knärot/A 67950-2019 karta knärot.png", "A 67950-2019")</f>
        <v/>
      </c>
      <c r="V73">
        <f>HYPERLINK("https://klasma.github.io/Logging_0685/klagomål/A 67950-2019 FSC-klagomål.docx", "A 67950-2019")</f>
        <v/>
      </c>
      <c r="W73">
        <f>HYPERLINK("https://klasma.github.io/Logging_0685/klagomålsmail/A 67950-2019 FSC-klagomål mail.docx", "A 67950-2019")</f>
        <v/>
      </c>
      <c r="X73">
        <f>HYPERLINK("https://klasma.github.io/Logging_0685/tillsyn/A 67950-2019 tillsynsbegäran.docx", "A 67950-2019")</f>
        <v/>
      </c>
      <c r="Y73">
        <f>HYPERLINK("https://klasma.github.io/Logging_0685/tillsynsmail/A 67950-2019 tillsynsbegäran mail.docx", "A 67950-2019")</f>
        <v/>
      </c>
    </row>
    <row r="74" ht="15" customHeight="1">
      <c r="A74" t="inlineStr">
        <is>
          <t>A 18710-2020</t>
        </is>
      </c>
      <c r="B74" s="1" t="n">
        <v>43930</v>
      </c>
      <c r="C74" s="1" t="n">
        <v>45754</v>
      </c>
      <c r="D74" t="inlineStr">
        <is>
          <t>JÖNKÖPINGS LÄN</t>
        </is>
      </c>
      <c r="E74" t="inlineStr">
        <is>
          <t>VETLANDA</t>
        </is>
      </c>
      <c r="G74" t="n">
        <v>3.4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18710-2020 artfynd.xlsx", "A 18710-2020")</f>
        <v/>
      </c>
      <c r="T74">
        <f>HYPERLINK("https://klasma.github.io/Logging_0685/kartor/A 18710-2020 karta.png", "A 18710-2020")</f>
        <v/>
      </c>
      <c r="U74">
        <f>HYPERLINK("https://klasma.github.io/Logging_0685/knärot/A 18710-2020 karta knärot.png", "A 18710-2020")</f>
        <v/>
      </c>
      <c r="V74">
        <f>HYPERLINK("https://klasma.github.io/Logging_0685/klagomål/A 18710-2020 FSC-klagomål.docx", "A 18710-2020")</f>
        <v/>
      </c>
      <c r="W74">
        <f>HYPERLINK("https://klasma.github.io/Logging_0685/klagomålsmail/A 18710-2020 FSC-klagomål mail.docx", "A 18710-2020")</f>
        <v/>
      </c>
      <c r="X74">
        <f>HYPERLINK("https://klasma.github.io/Logging_0685/tillsyn/A 18710-2020 tillsynsbegäran.docx", "A 18710-2020")</f>
        <v/>
      </c>
      <c r="Y74">
        <f>HYPERLINK("https://klasma.github.io/Logging_0685/tillsynsmail/A 18710-2020 tillsynsbegäran mail.docx", "A 18710-2020")</f>
        <v/>
      </c>
    </row>
    <row r="75" ht="15" customHeight="1">
      <c r="A75" t="inlineStr">
        <is>
          <t>A 32870-2020</t>
        </is>
      </c>
      <c r="B75" s="1" t="n">
        <v>44018</v>
      </c>
      <c r="C75" s="1" t="n">
        <v>45754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32870-2020 artfynd.xlsx", "A 32870-2020")</f>
        <v/>
      </c>
      <c r="T75">
        <f>HYPERLINK("https://klasma.github.io/Logging_0685/kartor/A 32870-2020 karta.png", "A 32870-2020")</f>
        <v/>
      </c>
      <c r="U75">
        <f>HYPERLINK("https://klasma.github.io/Logging_0685/knärot/A 32870-2020 karta knärot.png", "A 32870-2020")</f>
        <v/>
      </c>
      <c r="V75">
        <f>HYPERLINK("https://klasma.github.io/Logging_0685/klagomål/A 32870-2020 FSC-klagomål.docx", "A 32870-2020")</f>
        <v/>
      </c>
      <c r="W75">
        <f>HYPERLINK("https://klasma.github.io/Logging_0685/klagomålsmail/A 32870-2020 FSC-klagomål mail.docx", "A 32870-2020")</f>
        <v/>
      </c>
      <c r="X75">
        <f>HYPERLINK("https://klasma.github.io/Logging_0685/tillsyn/A 32870-2020 tillsynsbegäran.docx", "A 32870-2020")</f>
        <v/>
      </c>
      <c r="Y75">
        <f>HYPERLINK("https://klasma.github.io/Logging_0685/tillsynsmail/A 32870-2020 tillsynsbegäran mail.docx", "A 32870-2020")</f>
        <v/>
      </c>
    </row>
    <row r="76" ht="15" customHeight="1">
      <c r="A76" t="inlineStr">
        <is>
          <t>A 36801-2020</t>
        </is>
      </c>
      <c r="B76" s="1" t="n">
        <v>44053</v>
      </c>
      <c r="C76" s="1" t="n">
        <v>45754</v>
      </c>
      <c r="D76" t="inlineStr">
        <is>
          <t>JÖNKÖPINGS LÄN</t>
        </is>
      </c>
      <c r="E76" t="inlineStr">
        <is>
          <t>VETLANDA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HYPERLINK("https://klasma.github.io/Logging_0685/artfynd/A 36801-2020 artfynd.xlsx", "A 36801-2020")</f>
        <v/>
      </c>
      <c r="T76">
        <f>HYPERLINK("https://klasma.github.io/Logging_0685/kartor/A 36801-2020 karta.png", "A 36801-2020")</f>
        <v/>
      </c>
      <c r="V76">
        <f>HYPERLINK("https://klasma.github.io/Logging_0685/klagomål/A 36801-2020 FSC-klagomål.docx", "A 36801-2020")</f>
        <v/>
      </c>
      <c r="W76">
        <f>HYPERLINK("https://klasma.github.io/Logging_0685/klagomålsmail/A 36801-2020 FSC-klagomål mail.docx", "A 36801-2020")</f>
        <v/>
      </c>
      <c r="X76">
        <f>HYPERLINK("https://klasma.github.io/Logging_0685/tillsyn/A 36801-2020 tillsynsbegäran.docx", "A 36801-2020")</f>
        <v/>
      </c>
      <c r="Y76">
        <f>HYPERLINK("https://klasma.github.io/Logging_0685/tillsynsmail/A 36801-2020 tillsynsbegäran mail.docx", "A 36801-2020")</f>
        <v/>
      </c>
    </row>
    <row r="77" ht="15" customHeight="1">
      <c r="A77" t="inlineStr">
        <is>
          <t>A 39588-2020</t>
        </is>
      </c>
      <c r="B77" s="1" t="n">
        <v>44064</v>
      </c>
      <c r="C77" s="1" t="n">
        <v>45754</v>
      </c>
      <c r="D77" t="inlineStr">
        <is>
          <t>JÖNKÖPINGS LÄN</t>
        </is>
      </c>
      <c r="E77" t="inlineStr">
        <is>
          <t>VETLANDA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39588-2020 artfynd.xlsx", "A 39588-2020")</f>
        <v/>
      </c>
      <c r="T77">
        <f>HYPERLINK("https://klasma.github.io/Logging_0685/kartor/A 39588-2020 karta.png", "A 39588-2020")</f>
        <v/>
      </c>
      <c r="V77">
        <f>HYPERLINK("https://klasma.github.io/Logging_0685/klagomål/A 39588-2020 FSC-klagomål.docx", "A 39588-2020")</f>
        <v/>
      </c>
      <c r="W77">
        <f>HYPERLINK("https://klasma.github.io/Logging_0685/klagomålsmail/A 39588-2020 FSC-klagomål mail.docx", "A 39588-2020")</f>
        <v/>
      </c>
      <c r="X77">
        <f>HYPERLINK("https://klasma.github.io/Logging_0685/tillsyn/A 39588-2020 tillsynsbegäran.docx", "A 39588-2020")</f>
        <v/>
      </c>
      <c r="Y77">
        <f>HYPERLINK("https://klasma.github.io/Logging_0685/tillsynsmail/A 39588-2020 tillsynsbegäran mail.docx", "A 39588-2020")</f>
        <v/>
      </c>
    </row>
    <row r="78" ht="15" customHeight="1">
      <c r="A78" t="inlineStr">
        <is>
          <t>A 69070-2020</t>
        </is>
      </c>
      <c r="B78" s="1" t="n">
        <v>44187</v>
      </c>
      <c r="C78" s="1" t="n">
        <v>45754</v>
      </c>
      <c r="D78" t="inlineStr">
        <is>
          <t>JÖNKÖPINGS LÄN</t>
        </is>
      </c>
      <c r="E78" t="inlineStr">
        <is>
          <t>VETLANDA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Gropticka</t>
        </is>
      </c>
      <c r="S78">
        <f>HYPERLINK("https://klasma.github.io/Logging_0685/artfynd/A 69070-2020 artfynd.xlsx", "A 69070-2020")</f>
        <v/>
      </c>
      <c r="T78">
        <f>HYPERLINK("https://klasma.github.io/Logging_0685/kartor/A 69070-2020 karta.png", "A 69070-2020")</f>
        <v/>
      </c>
      <c r="V78">
        <f>HYPERLINK("https://klasma.github.io/Logging_0685/klagomål/A 69070-2020 FSC-klagomål.docx", "A 69070-2020")</f>
        <v/>
      </c>
      <c r="W78">
        <f>HYPERLINK("https://klasma.github.io/Logging_0685/klagomålsmail/A 69070-2020 FSC-klagomål mail.docx", "A 69070-2020")</f>
        <v/>
      </c>
      <c r="X78">
        <f>HYPERLINK("https://klasma.github.io/Logging_0685/tillsyn/A 69070-2020 tillsynsbegäran.docx", "A 69070-2020")</f>
        <v/>
      </c>
      <c r="Y78">
        <f>HYPERLINK("https://klasma.github.io/Logging_0685/tillsynsmail/A 69070-2020 tillsynsbegäran mail.docx", "A 69070-2020")</f>
        <v/>
      </c>
    </row>
    <row r="79" ht="15" customHeight="1">
      <c r="A79" t="inlineStr">
        <is>
          <t>A 5211-2021</t>
        </is>
      </c>
      <c r="B79" s="1" t="n">
        <v>44229</v>
      </c>
      <c r="C79" s="1" t="n">
        <v>45754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HYPERLINK("https://klasma.github.io/Logging_0685/artfynd/A 5211-2021 artfynd.xlsx", "A 5211-2021")</f>
        <v/>
      </c>
      <c r="T79">
        <f>HYPERLINK("https://klasma.github.io/Logging_0685/kartor/A 5211-2021 karta.png", "A 5211-2021")</f>
        <v/>
      </c>
      <c r="V79">
        <f>HYPERLINK("https://klasma.github.io/Logging_0685/klagomål/A 5211-2021 FSC-klagomål.docx", "A 5211-2021")</f>
        <v/>
      </c>
      <c r="W79">
        <f>HYPERLINK("https://klasma.github.io/Logging_0685/klagomålsmail/A 5211-2021 FSC-klagomål mail.docx", "A 5211-2021")</f>
        <v/>
      </c>
      <c r="X79">
        <f>HYPERLINK("https://klasma.github.io/Logging_0685/tillsyn/A 5211-2021 tillsynsbegäran.docx", "A 5211-2021")</f>
        <v/>
      </c>
      <c r="Y79">
        <f>HYPERLINK("https://klasma.github.io/Logging_0685/tillsynsmail/A 5211-2021 tillsynsbegäran mail.docx", "A 5211-2021")</f>
        <v/>
      </c>
    </row>
    <row r="80" ht="15" customHeight="1">
      <c r="A80" t="inlineStr">
        <is>
          <t>A 14385-2021</t>
        </is>
      </c>
      <c r="B80" s="1" t="n">
        <v>44279</v>
      </c>
      <c r="C80" s="1" t="n">
        <v>45754</v>
      </c>
      <c r="D80" t="inlineStr">
        <is>
          <t>JÖNKÖPINGS LÄN</t>
        </is>
      </c>
      <c r="E80" t="inlineStr">
        <is>
          <t>VETLANDA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14385-2021 artfynd.xlsx", "A 14385-2021")</f>
        <v/>
      </c>
      <c r="T80">
        <f>HYPERLINK("https://klasma.github.io/Logging_0685/kartor/A 14385-2021 karta.png", "A 14385-2021")</f>
        <v/>
      </c>
      <c r="V80">
        <f>HYPERLINK("https://klasma.github.io/Logging_0685/klagomål/A 14385-2021 FSC-klagomål.docx", "A 14385-2021")</f>
        <v/>
      </c>
      <c r="W80">
        <f>HYPERLINK("https://klasma.github.io/Logging_0685/klagomålsmail/A 14385-2021 FSC-klagomål mail.docx", "A 14385-2021")</f>
        <v/>
      </c>
      <c r="X80">
        <f>HYPERLINK("https://klasma.github.io/Logging_0685/tillsyn/A 14385-2021 tillsynsbegäran.docx", "A 14385-2021")</f>
        <v/>
      </c>
      <c r="Y80">
        <f>HYPERLINK("https://klasma.github.io/Logging_0685/tillsynsmail/A 14385-2021 tillsynsbegäran mail.docx", "A 14385-2021")</f>
        <v/>
      </c>
    </row>
    <row r="81" ht="15" customHeight="1">
      <c r="A81" t="inlineStr">
        <is>
          <t>A 18270-2021</t>
        </is>
      </c>
      <c r="B81" s="1" t="n">
        <v>44305</v>
      </c>
      <c r="C81" s="1" t="n">
        <v>45754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HYPERLINK("https://klasma.github.io/Logging_0685/artfynd/A 18270-2021 artfynd.xlsx", "A 18270-2021")</f>
        <v/>
      </c>
      <c r="T81">
        <f>HYPERLINK("https://klasma.github.io/Logging_0685/kartor/A 18270-2021 karta.png", "A 18270-2021")</f>
        <v/>
      </c>
      <c r="V81">
        <f>HYPERLINK("https://klasma.github.io/Logging_0685/klagomål/A 18270-2021 FSC-klagomål.docx", "A 18270-2021")</f>
        <v/>
      </c>
      <c r="W81">
        <f>HYPERLINK("https://klasma.github.io/Logging_0685/klagomålsmail/A 18270-2021 FSC-klagomål mail.docx", "A 18270-2021")</f>
        <v/>
      </c>
      <c r="X81">
        <f>HYPERLINK("https://klasma.github.io/Logging_0685/tillsyn/A 18270-2021 tillsynsbegäran.docx", "A 18270-2021")</f>
        <v/>
      </c>
      <c r="Y81">
        <f>HYPERLINK("https://klasma.github.io/Logging_0685/tillsynsmail/A 18270-2021 tillsynsbegäran mail.docx", "A 18270-2021")</f>
        <v/>
      </c>
    </row>
    <row r="82" ht="15" customHeight="1">
      <c r="A82" t="inlineStr">
        <is>
          <t>A 44177-2021</t>
        </is>
      </c>
      <c r="B82" s="1" t="n">
        <v>44434</v>
      </c>
      <c r="C82" s="1" t="n">
        <v>45754</v>
      </c>
      <c r="D82" t="inlineStr">
        <is>
          <t>JÖNKÖPINGS LÄN</t>
        </is>
      </c>
      <c r="E82" t="inlineStr">
        <is>
          <t>VETLANDA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HYPERLINK("https://klasma.github.io/Logging_0685/artfynd/A 44177-2021 artfynd.xlsx", "A 44177-2021")</f>
        <v/>
      </c>
      <c r="T82">
        <f>HYPERLINK("https://klasma.github.io/Logging_0685/kartor/A 44177-2021 karta.png", "A 44177-2021")</f>
        <v/>
      </c>
      <c r="V82">
        <f>HYPERLINK("https://klasma.github.io/Logging_0685/klagomål/A 44177-2021 FSC-klagomål.docx", "A 44177-2021")</f>
        <v/>
      </c>
      <c r="W82">
        <f>HYPERLINK("https://klasma.github.io/Logging_0685/klagomålsmail/A 44177-2021 FSC-klagomål mail.docx", "A 44177-2021")</f>
        <v/>
      </c>
      <c r="X82">
        <f>HYPERLINK("https://klasma.github.io/Logging_0685/tillsyn/A 44177-2021 tillsynsbegäran.docx", "A 44177-2021")</f>
        <v/>
      </c>
      <c r="Y82">
        <f>HYPERLINK("https://klasma.github.io/Logging_0685/tillsynsmail/A 44177-2021 tillsynsbegäran mail.docx", "A 44177-2021")</f>
        <v/>
      </c>
    </row>
    <row r="83" ht="15" customHeight="1">
      <c r="A83" t="inlineStr">
        <is>
          <t>A 46862-2021</t>
        </is>
      </c>
      <c r="B83" s="1" t="n">
        <v>44446</v>
      </c>
      <c r="C83" s="1" t="n">
        <v>45754</v>
      </c>
      <c r="D83" t="inlineStr">
        <is>
          <t>JÖNKÖPINGS LÄN</t>
        </is>
      </c>
      <c r="E83" t="inlineStr">
        <is>
          <t>VETLANDA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HYPERLINK("https://klasma.github.io/Logging_0685/artfynd/A 46862-2021 artfynd.xlsx", "A 46862-2021")</f>
        <v/>
      </c>
      <c r="T83">
        <f>HYPERLINK("https://klasma.github.io/Logging_0685/kartor/A 46862-2021 karta.png", "A 46862-2021")</f>
        <v/>
      </c>
      <c r="V83">
        <f>HYPERLINK("https://klasma.github.io/Logging_0685/klagomål/A 46862-2021 FSC-klagomål.docx", "A 46862-2021")</f>
        <v/>
      </c>
      <c r="W83">
        <f>HYPERLINK("https://klasma.github.io/Logging_0685/klagomålsmail/A 46862-2021 FSC-klagomål mail.docx", "A 46862-2021")</f>
        <v/>
      </c>
      <c r="X83">
        <f>HYPERLINK("https://klasma.github.io/Logging_0685/tillsyn/A 46862-2021 tillsynsbegäran.docx", "A 46862-2021")</f>
        <v/>
      </c>
      <c r="Y83">
        <f>HYPERLINK("https://klasma.github.io/Logging_0685/tillsynsmail/A 46862-2021 tillsynsbegäran mail.docx", "A 46862-2021")</f>
        <v/>
      </c>
    </row>
    <row r="84" ht="15" customHeight="1">
      <c r="A84" t="inlineStr">
        <is>
          <t>A 49388-2021</t>
        </is>
      </c>
      <c r="B84" s="1" t="n">
        <v>44454</v>
      </c>
      <c r="C84" s="1" t="n">
        <v>45754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49388-2021 artfynd.xlsx", "A 49388-2021")</f>
        <v/>
      </c>
      <c r="T84">
        <f>HYPERLINK("https://klasma.github.io/Logging_0685/kartor/A 49388-2021 karta.png", "A 49388-2021")</f>
        <v/>
      </c>
      <c r="V84">
        <f>HYPERLINK("https://klasma.github.io/Logging_0685/klagomål/A 49388-2021 FSC-klagomål.docx", "A 49388-2021")</f>
        <v/>
      </c>
      <c r="W84">
        <f>HYPERLINK("https://klasma.github.io/Logging_0685/klagomålsmail/A 49388-2021 FSC-klagomål mail.docx", "A 49388-2021")</f>
        <v/>
      </c>
      <c r="X84">
        <f>HYPERLINK("https://klasma.github.io/Logging_0685/tillsyn/A 49388-2021 tillsynsbegäran.docx", "A 49388-2021")</f>
        <v/>
      </c>
      <c r="Y84">
        <f>HYPERLINK("https://klasma.github.io/Logging_0685/tillsynsmail/A 49388-2021 tillsynsbegäran mail.docx", "A 49388-2021")</f>
        <v/>
      </c>
    </row>
    <row r="85" ht="15" customHeight="1">
      <c r="A85" t="inlineStr">
        <is>
          <t>A 51852-2021</t>
        </is>
      </c>
      <c r="B85" s="1" t="n">
        <v>44462</v>
      </c>
      <c r="C85" s="1" t="n">
        <v>45754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51852-2021 artfynd.xlsx", "A 51852-2021")</f>
        <v/>
      </c>
      <c r="T85">
        <f>HYPERLINK("https://klasma.github.io/Logging_0685/kartor/A 51852-2021 karta.png", "A 51852-2021")</f>
        <v/>
      </c>
      <c r="V85">
        <f>HYPERLINK("https://klasma.github.io/Logging_0685/klagomål/A 51852-2021 FSC-klagomål.docx", "A 51852-2021")</f>
        <v/>
      </c>
      <c r="W85">
        <f>HYPERLINK("https://klasma.github.io/Logging_0685/klagomålsmail/A 51852-2021 FSC-klagomål mail.docx", "A 51852-2021")</f>
        <v/>
      </c>
      <c r="X85">
        <f>HYPERLINK("https://klasma.github.io/Logging_0685/tillsyn/A 51852-2021 tillsynsbegäran.docx", "A 51852-2021")</f>
        <v/>
      </c>
      <c r="Y85">
        <f>HYPERLINK("https://klasma.github.io/Logging_0685/tillsynsmail/A 51852-2021 tillsynsbegäran mail.docx", "A 51852-2021")</f>
        <v/>
      </c>
    </row>
    <row r="86" ht="15" customHeight="1">
      <c r="A86" t="inlineStr">
        <is>
          <t>A 64995-2021</t>
        </is>
      </c>
      <c r="B86" s="1" t="n">
        <v>44514</v>
      </c>
      <c r="C86" s="1" t="n">
        <v>45754</v>
      </c>
      <c r="D86" t="inlineStr">
        <is>
          <t>JÖNKÖPINGS LÄN</t>
        </is>
      </c>
      <c r="E86" t="inlineStr">
        <is>
          <t>VETLANDA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64995-2021 artfynd.xlsx", "A 64995-2021")</f>
        <v/>
      </c>
      <c r="T86">
        <f>HYPERLINK("https://klasma.github.io/Logging_0685/kartor/A 64995-2021 karta.png", "A 64995-2021")</f>
        <v/>
      </c>
      <c r="V86">
        <f>HYPERLINK("https://klasma.github.io/Logging_0685/klagomål/A 64995-2021 FSC-klagomål.docx", "A 64995-2021")</f>
        <v/>
      </c>
      <c r="W86">
        <f>HYPERLINK("https://klasma.github.io/Logging_0685/klagomålsmail/A 64995-2021 FSC-klagomål mail.docx", "A 64995-2021")</f>
        <v/>
      </c>
      <c r="X86">
        <f>HYPERLINK("https://klasma.github.io/Logging_0685/tillsyn/A 64995-2021 tillsynsbegäran.docx", "A 64995-2021")</f>
        <v/>
      </c>
      <c r="Y86">
        <f>HYPERLINK("https://klasma.github.io/Logging_0685/tillsynsmail/A 64995-2021 tillsynsbegäran mail.docx", "A 64995-2021")</f>
        <v/>
      </c>
    </row>
    <row r="87" ht="15" customHeight="1">
      <c r="A87" t="inlineStr">
        <is>
          <t>A 5498-2022</t>
        </is>
      </c>
      <c r="B87" s="1" t="n">
        <v>44595</v>
      </c>
      <c r="C87" s="1" t="n">
        <v>45754</v>
      </c>
      <c r="D87" t="inlineStr">
        <is>
          <t>JÖNKÖPINGS LÄN</t>
        </is>
      </c>
      <c r="E87" t="inlineStr">
        <is>
          <t>VETLANDA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5498-2022 artfynd.xlsx", "A 5498-2022")</f>
        <v/>
      </c>
      <c r="T87">
        <f>HYPERLINK("https://klasma.github.io/Logging_0685/kartor/A 5498-2022 karta.png", "A 5498-2022")</f>
        <v/>
      </c>
      <c r="V87">
        <f>HYPERLINK("https://klasma.github.io/Logging_0685/klagomål/A 5498-2022 FSC-klagomål.docx", "A 5498-2022")</f>
        <v/>
      </c>
      <c r="W87">
        <f>HYPERLINK("https://klasma.github.io/Logging_0685/klagomålsmail/A 5498-2022 FSC-klagomål mail.docx", "A 5498-2022")</f>
        <v/>
      </c>
      <c r="X87">
        <f>HYPERLINK("https://klasma.github.io/Logging_0685/tillsyn/A 5498-2022 tillsynsbegäran.docx", "A 5498-2022")</f>
        <v/>
      </c>
      <c r="Y87">
        <f>HYPERLINK("https://klasma.github.io/Logging_0685/tillsynsmail/A 5498-2022 tillsynsbegäran mail.docx", "A 5498-2022")</f>
        <v/>
      </c>
    </row>
    <row r="88" ht="15" customHeight="1">
      <c r="A88" t="inlineStr">
        <is>
          <t>A 26920-2022</t>
        </is>
      </c>
      <c r="B88" s="1" t="n">
        <v>44740</v>
      </c>
      <c r="C88" s="1" t="n">
        <v>45754</v>
      </c>
      <c r="D88" t="inlineStr">
        <is>
          <t>JÖNKÖPINGS LÄN</t>
        </is>
      </c>
      <c r="E88" t="inlineStr">
        <is>
          <t>VETLANDA</t>
        </is>
      </c>
      <c r="F88" t="inlineStr">
        <is>
          <t>Kyrkan</t>
        </is>
      </c>
      <c r="G88" t="n">
        <v>9.1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Adam och eva</t>
        </is>
      </c>
      <c r="S88">
        <f>HYPERLINK("https://klasma.github.io/Logging_0685/artfynd/A 26920-2022 artfynd.xlsx", "A 26920-2022")</f>
        <v/>
      </c>
      <c r="T88">
        <f>HYPERLINK("https://klasma.github.io/Logging_0685/kartor/A 26920-2022 karta.png", "A 26920-2022")</f>
        <v/>
      </c>
      <c r="V88">
        <f>HYPERLINK("https://klasma.github.io/Logging_0685/klagomål/A 26920-2022 FSC-klagomål.docx", "A 26920-2022")</f>
        <v/>
      </c>
      <c r="W88">
        <f>HYPERLINK("https://klasma.github.io/Logging_0685/klagomålsmail/A 26920-2022 FSC-klagomål mail.docx", "A 26920-2022")</f>
        <v/>
      </c>
      <c r="X88">
        <f>HYPERLINK("https://klasma.github.io/Logging_0685/tillsyn/A 26920-2022 tillsynsbegäran.docx", "A 26920-2022")</f>
        <v/>
      </c>
      <c r="Y88">
        <f>HYPERLINK("https://klasma.github.io/Logging_0685/tillsynsmail/A 26920-2022 tillsynsbegäran mail.docx", "A 26920-2022")</f>
        <v/>
      </c>
    </row>
    <row r="89" ht="15" customHeight="1">
      <c r="A89" t="inlineStr">
        <is>
          <t>A 28349-2022</t>
        </is>
      </c>
      <c r="B89" s="1" t="n">
        <v>44747</v>
      </c>
      <c r="C89" s="1" t="n">
        <v>45754</v>
      </c>
      <c r="D89" t="inlineStr">
        <is>
          <t>JÖNKÖPINGS LÄN</t>
        </is>
      </c>
      <c r="E89" t="inlineStr">
        <is>
          <t>VETLANDA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HYPERLINK("https://klasma.github.io/Logging_0685/artfynd/A 28349-2022 artfynd.xlsx", "A 28349-2022")</f>
        <v/>
      </c>
      <c r="T89">
        <f>HYPERLINK("https://klasma.github.io/Logging_0685/kartor/A 28349-2022 karta.png", "A 28349-2022")</f>
        <v/>
      </c>
      <c r="V89">
        <f>HYPERLINK("https://klasma.github.io/Logging_0685/klagomål/A 28349-2022 FSC-klagomål.docx", "A 28349-2022")</f>
        <v/>
      </c>
      <c r="W89">
        <f>HYPERLINK("https://klasma.github.io/Logging_0685/klagomålsmail/A 28349-2022 FSC-klagomål mail.docx", "A 28349-2022")</f>
        <v/>
      </c>
      <c r="X89">
        <f>HYPERLINK("https://klasma.github.io/Logging_0685/tillsyn/A 28349-2022 tillsynsbegäran.docx", "A 28349-2022")</f>
        <v/>
      </c>
      <c r="Y89">
        <f>HYPERLINK("https://klasma.github.io/Logging_0685/tillsynsmail/A 28349-2022 tillsynsbegäran mail.docx", "A 28349-2022")</f>
        <v/>
      </c>
    </row>
    <row r="90" ht="15" customHeight="1">
      <c r="A90" t="inlineStr">
        <is>
          <t>A 39612-2022</t>
        </is>
      </c>
      <c r="B90" s="1" t="n">
        <v>44818</v>
      </c>
      <c r="C90" s="1" t="n">
        <v>45754</v>
      </c>
      <c r="D90" t="inlineStr">
        <is>
          <t>JÖNKÖPINGS LÄN</t>
        </is>
      </c>
      <c r="E90" t="inlineStr">
        <is>
          <t>VETLANDA</t>
        </is>
      </c>
      <c r="G90" t="n">
        <v>7.6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39612-2022 artfynd.xlsx", "A 39612-2022")</f>
        <v/>
      </c>
      <c r="T90">
        <f>HYPERLINK("https://klasma.github.io/Logging_0685/kartor/A 39612-2022 karta.png", "A 39612-2022")</f>
        <v/>
      </c>
      <c r="V90">
        <f>HYPERLINK("https://klasma.github.io/Logging_0685/klagomål/A 39612-2022 FSC-klagomål.docx", "A 39612-2022")</f>
        <v/>
      </c>
      <c r="W90">
        <f>HYPERLINK("https://klasma.github.io/Logging_0685/klagomålsmail/A 39612-2022 FSC-klagomål mail.docx", "A 39612-2022")</f>
        <v/>
      </c>
      <c r="X90">
        <f>HYPERLINK("https://klasma.github.io/Logging_0685/tillsyn/A 39612-2022 tillsynsbegäran.docx", "A 39612-2022")</f>
        <v/>
      </c>
      <c r="Y90">
        <f>HYPERLINK("https://klasma.github.io/Logging_0685/tillsynsmail/A 39612-2022 tillsynsbegäran mail.docx", "A 39612-2022")</f>
        <v/>
      </c>
    </row>
    <row r="91" ht="15" customHeight="1">
      <c r="A91" t="inlineStr">
        <is>
          <t>A 39857-2022</t>
        </is>
      </c>
      <c r="B91" s="1" t="n">
        <v>44819</v>
      </c>
      <c r="C91" s="1" t="n">
        <v>45754</v>
      </c>
      <c r="D91" t="inlineStr">
        <is>
          <t>JÖNKÖPINGS LÄN</t>
        </is>
      </c>
      <c r="E91" t="inlineStr">
        <is>
          <t>VETLANDA</t>
        </is>
      </c>
      <c r="G91" t="n">
        <v>11.8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HYPERLINK("https://klasma.github.io/Logging_0685/artfynd/A 39857-2022 artfynd.xlsx", "A 39857-2022")</f>
        <v/>
      </c>
      <c r="T91">
        <f>HYPERLINK("https://klasma.github.io/Logging_0685/kartor/A 39857-2022 karta.png", "A 39857-2022")</f>
        <v/>
      </c>
      <c r="V91">
        <f>HYPERLINK("https://klasma.github.io/Logging_0685/klagomål/A 39857-2022 FSC-klagomål.docx", "A 39857-2022")</f>
        <v/>
      </c>
      <c r="W91">
        <f>HYPERLINK("https://klasma.github.io/Logging_0685/klagomålsmail/A 39857-2022 FSC-klagomål mail.docx", "A 39857-2022")</f>
        <v/>
      </c>
      <c r="X91">
        <f>HYPERLINK("https://klasma.github.io/Logging_0685/tillsyn/A 39857-2022 tillsynsbegäran.docx", "A 39857-2022")</f>
        <v/>
      </c>
      <c r="Y91">
        <f>HYPERLINK("https://klasma.github.io/Logging_0685/tillsynsmail/A 39857-2022 tillsynsbegäran mail.docx", "A 39857-2022")</f>
        <v/>
      </c>
    </row>
    <row r="92" ht="15" customHeight="1">
      <c r="A92" t="inlineStr">
        <is>
          <t>A 42142-2022</t>
        </is>
      </c>
      <c r="B92" s="1" t="n">
        <v>44830</v>
      </c>
      <c r="C92" s="1" t="n">
        <v>45754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42142-2022 artfynd.xlsx", "A 42142-2022")</f>
        <v/>
      </c>
      <c r="T92">
        <f>HYPERLINK("https://klasma.github.io/Logging_0685/kartor/A 42142-2022 karta.png", "A 42142-2022")</f>
        <v/>
      </c>
      <c r="V92">
        <f>HYPERLINK("https://klasma.github.io/Logging_0685/klagomål/A 42142-2022 FSC-klagomål.docx", "A 42142-2022")</f>
        <v/>
      </c>
      <c r="W92">
        <f>HYPERLINK("https://klasma.github.io/Logging_0685/klagomålsmail/A 42142-2022 FSC-klagomål mail.docx", "A 42142-2022")</f>
        <v/>
      </c>
      <c r="X92">
        <f>HYPERLINK("https://klasma.github.io/Logging_0685/tillsyn/A 42142-2022 tillsynsbegäran.docx", "A 42142-2022")</f>
        <v/>
      </c>
      <c r="Y92">
        <f>HYPERLINK("https://klasma.github.io/Logging_0685/tillsynsmail/A 42142-2022 tillsynsbegäran mail.docx", "A 42142-2022")</f>
        <v/>
      </c>
    </row>
    <row r="93" ht="15" customHeight="1">
      <c r="A93" t="inlineStr">
        <is>
          <t>A 43385-2022</t>
        </is>
      </c>
      <c r="B93" s="1" t="n">
        <v>44834</v>
      </c>
      <c r="C93" s="1" t="n">
        <v>45754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43385-2022 artfynd.xlsx", "A 43385-2022")</f>
        <v/>
      </c>
      <c r="T93">
        <f>HYPERLINK("https://klasma.github.io/Logging_0685/kartor/A 43385-2022 karta.png", "A 43385-2022")</f>
        <v/>
      </c>
      <c r="V93">
        <f>HYPERLINK("https://klasma.github.io/Logging_0685/klagomål/A 43385-2022 FSC-klagomål.docx", "A 43385-2022")</f>
        <v/>
      </c>
      <c r="W93">
        <f>HYPERLINK("https://klasma.github.io/Logging_0685/klagomålsmail/A 43385-2022 FSC-klagomål mail.docx", "A 43385-2022")</f>
        <v/>
      </c>
      <c r="X93">
        <f>HYPERLINK("https://klasma.github.io/Logging_0685/tillsyn/A 43385-2022 tillsynsbegäran.docx", "A 43385-2022")</f>
        <v/>
      </c>
      <c r="Y93">
        <f>HYPERLINK("https://klasma.github.io/Logging_0685/tillsynsmail/A 43385-2022 tillsynsbegäran mail.docx", "A 43385-2022")</f>
        <v/>
      </c>
    </row>
    <row r="94" ht="15" customHeight="1">
      <c r="A94" t="inlineStr">
        <is>
          <t>A 53741-2022</t>
        </is>
      </c>
      <c r="B94" s="1" t="n">
        <v>44880</v>
      </c>
      <c r="C94" s="1" t="n">
        <v>45754</v>
      </c>
      <c r="D94" t="inlineStr">
        <is>
          <t>JÖNKÖPINGS LÄN</t>
        </is>
      </c>
      <c r="E94" t="inlineStr">
        <is>
          <t>VETLANDA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Sommarfibbla</t>
        </is>
      </c>
      <c r="S94">
        <f>HYPERLINK("https://klasma.github.io/Logging_0685/artfynd/A 53741-2022 artfynd.xlsx", "A 53741-2022")</f>
        <v/>
      </c>
      <c r="T94">
        <f>HYPERLINK("https://klasma.github.io/Logging_0685/kartor/A 53741-2022 karta.png", "A 53741-2022")</f>
        <v/>
      </c>
      <c r="V94">
        <f>HYPERLINK("https://klasma.github.io/Logging_0685/klagomål/A 53741-2022 FSC-klagomål.docx", "A 53741-2022")</f>
        <v/>
      </c>
      <c r="W94">
        <f>HYPERLINK("https://klasma.github.io/Logging_0685/klagomålsmail/A 53741-2022 FSC-klagomål mail.docx", "A 53741-2022")</f>
        <v/>
      </c>
      <c r="X94">
        <f>HYPERLINK("https://klasma.github.io/Logging_0685/tillsyn/A 53741-2022 tillsynsbegäran.docx", "A 53741-2022")</f>
        <v/>
      </c>
      <c r="Y94">
        <f>HYPERLINK("https://klasma.github.io/Logging_0685/tillsynsmail/A 53741-2022 tillsynsbegäran mail.docx", "A 53741-2022")</f>
        <v/>
      </c>
    </row>
    <row r="95" ht="15" customHeight="1">
      <c r="A95" t="inlineStr">
        <is>
          <t>A 56262-2022</t>
        </is>
      </c>
      <c r="B95" s="1" t="n">
        <v>44890</v>
      </c>
      <c r="C95" s="1" t="n">
        <v>45754</v>
      </c>
      <c r="D95" t="inlineStr">
        <is>
          <t>JÖNKÖPINGS LÄN</t>
        </is>
      </c>
      <c r="E95" t="inlineStr">
        <is>
          <t>VETLANDA</t>
        </is>
      </c>
      <c r="G95" t="n">
        <v>15.9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HYPERLINK("https://klasma.github.io/Logging_0685/artfynd/A 56262-2022 artfynd.xlsx", "A 56262-2022")</f>
        <v/>
      </c>
      <c r="T95">
        <f>HYPERLINK("https://klasma.github.io/Logging_0685/kartor/A 56262-2022 karta.png", "A 56262-2022")</f>
        <v/>
      </c>
      <c r="V95">
        <f>HYPERLINK("https://klasma.github.io/Logging_0685/klagomål/A 56262-2022 FSC-klagomål.docx", "A 56262-2022")</f>
        <v/>
      </c>
      <c r="W95">
        <f>HYPERLINK("https://klasma.github.io/Logging_0685/klagomålsmail/A 56262-2022 FSC-klagomål mail.docx", "A 56262-2022")</f>
        <v/>
      </c>
      <c r="X95">
        <f>HYPERLINK("https://klasma.github.io/Logging_0685/tillsyn/A 56262-2022 tillsynsbegäran.docx", "A 56262-2022")</f>
        <v/>
      </c>
      <c r="Y95">
        <f>HYPERLINK("https://klasma.github.io/Logging_0685/tillsynsmail/A 56262-2022 tillsynsbegäran mail.docx", "A 56262-2022")</f>
        <v/>
      </c>
    </row>
    <row r="96" ht="15" customHeight="1">
      <c r="A96" t="inlineStr">
        <is>
          <t>A 59894-2022</t>
        </is>
      </c>
      <c r="B96" s="1" t="n">
        <v>44908</v>
      </c>
      <c r="C96" s="1" t="n">
        <v>45754</v>
      </c>
      <c r="D96" t="inlineStr">
        <is>
          <t>JÖNKÖPINGS LÄN</t>
        </is>
      </c>
      <c r="E96" t="inlineStr">
        <is>
          <t>VETLANDA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Backklöver</t>
        </is>
      </c>
      <c r="S96">
        <f>HYPERLINK("https://klasma.github.io/Logging_0685/artfynd/A 59894-2022 artfynd.xlsx", "A 59894-2022")</f>
        <v/>
      </c>
      <c r="T96">
        <f>HYPERLINK("https://klasma.github.io/Logging_0685/kartor/A 59894-2022 karta.png", "A 59894-2022")</f>
        <v/>
      </c>
      <c r="V96">
        <f>HYPERLINK("https://klasma.github.io/Logging_0685/klagomål/A 59894-2022 FSC-klagomål.docx", "A 59894-2022")</f>
        <v/>
      </c>
      <c r="W96">
        <f>HYPERLINK("https://klasma.github.io/Logging_0685/klagomålsmail/A 59894-2022 FSC-klagomål mail.docx", "A 59894-2022")</f>
        <v/>
      </c>
      <c r="X96">
        <f>HYPERLINK("https://klasma.github.io/Logging_0685/tillsyn/A 59894-2022 tillsynsbegäran.docx", "A 59894-2022")</f>
        <v/>
      </c>
      <c r="Y96">
        <f>HYPERLINK("https://klasma.github.io/Logging_0685/tillsynsmail/A 59894-2022 tillsynsbegäran mail.docx", "A 59894-2022")</f>
        <v/>
      </c>
    </row>
    <row r="97" ht="15" customHeight="1">
      <c r="A97" t="inlineStr">
        <is>
          <t>A 61446-2022</t>
        </is>
      </c>
      <c r="B97" s="1" t="n">
        <v>44916</v>
      </c>
      <c r="C97" s="1" t="n">
        <v>45754</v>
      </c>
      <c r="D97" t="inlineStr">
        <is>
          <t>JÖNKÖPINGS LÄN</t>
        </is>
      </c>
      <c r="E97" t="inlineStr">
        <is>
          <t>VETLANDA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Krokfibbla</t>
        </is>
      </c>
      <c r="S97">
        <f>HYPERLINK("https://klasma.github.io/Logging_0685/artfynd/A 61446-2022 artfynd.xlsx", "A 61446-2022")</f>
        <v/>
      </c>
      <c r="T97">
        <f>HYPERLINK("https://klasma.github.io/Logging_0685/kartor/A 61446-2022 karta.png", "A 61446-2022")</f>
        <v/>
      </c>
      <c r="V97">
        <f>HYPERLINK("https://klasma.github.io/Logging_0685/klagomål/A 61446-2022 FSC-klagomål.docx", "A 61446-2022")</f>
        <v/>
      </c>
      <c r="W97">
        <f>HYPERLINK("https://klasma.github.io/Logging_0685/klagomålsmail/A 61446-2022 FSC-klagomål mail.docx", "A 61446-2022")</f>
        <v/>
      </c>
      <c r="X97">
        <f>HYPERLINK("https://klasma.github.io/Logging_0685/tillsyn/A 61446-2022 tillsynsbegäran.docx", "A 61446-2022")</f>
        <v/>
      </c>
      <c r="Y97">
        <f>HYPERLINK("https://klasma.github.io/Logging_0685/tillsynsmail/A 61446-2022 tillsynsbegäran mail.docx", "A 61446-2022")</f>
        <v/>
      </c>
    </row>
    <row r="98" ht="15" customHeight="1">
      <c r="A98" t="inlineStr">
        <is>
          <t>A 5369-2023</t>
        </is>
      </c>
      <c r="B98" s="1" t="n">
        <v>44959</v>
      </c>
      <c r="C98" s="1" t="n">
        <v>45754</v>
      </c>
      <c r="D98" t="inlineStr">
        <is>
          <t>JÖNKÖPINGS LÄN</t>
        </is>
      </c>
      <c r="E98" t="inlineStr">
        <is>
          <t>VETLANDA</t>
        </is>
      </c>
      <c r="G98" t="n">
        <v>4.8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5369-2023 artfynd.xlsx", "A 5369-2023")</f>
        <v/>
      </c>
      <c r="T98">
        <f>HYPERLINK("https://klasma.github.io/Logging_0685/kartor/A 5369-2023 karta.png", "A 5369-2023")</f>
        <v/>
      </c>
      <c r="V98">
        <f>HYPERLINK("https://klasma.github.io/Logging_0685/klagomål/A 5369-2023 FSC-klagomål.docx", "A 5369-2023")</f>
        <v/>
      </c>
      <c r="W98">
        <f>HYPERLINK("https://klasma.github.io/Logging_0685/klagomålsmail/A 5369-2023 FSC-klagomål mail.docx", "A 5369-2023")</f>
        <v/>
      </c>
      <c r="X98">
        <f>HYPERLINK("https://klasma.github.io/Logging_0685/tillsyn/A 5369-2023 tillsynsbegäran.docx", "A 5369-2023")</f>
        <v/>
      </c>
      <c r="Y98">
        <f>HYPERLINK("https://klasma.github.io/Logging_0685/tillsynsmail/A 5369-2023 tillsynsbegäran mail.docx", "A 5369-2023")</f>
        <v/>
      </c>
    </row>
    <row r="99" ht="15" customHeight="1">
      <c r="A99" t="inlineStr">
        <is>
          <t>A 10919-2023</t>
        </is>
      </c>
      <c r="B99" s="1" t="n">
        <v>44991</v>
      </c>
      <c r="C99" s="1" t="n">
        <v>45754</v>
      </c>
      <c r="D99" t="inlineStr">
        <is>
          <t>JÖNKÖPINGS LÄN</t>
        </is>
      </c>
      <c r="E99" t="inlineStr">
        <is>
          <t>VETLANDA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HYPERLINK("https://klasma.github.io/Logging_0685/artfynd/A 10919-2023 artfynd.xlsx", "A 10919-2023")</f>
        <v/>
      </c>
      <c r="T99">
        <f>HYPERLINK("https://klasma.github.io/Logging_0685/kartor/A 10919-2023 karta.png", "A 10919-2023")</f>
        <v/>
      </c>
      <c r="V99">
        <f>HYPERLINK("https://klasma.github.io/Logging_0685/klagomål/A 10919-2023 FSC-klagomål.docx", "A 10919-2023")</f>
        <v/>
      </c>
      <c r="W99">
        <f>HYPERLINK("https://klasma.github.io/Logging_0685/klagomålsmail/A 10919-2023 FSC-klagomål mail.docx", "A 10919-2023")</f>
        <v/>
      </c>
      <c r="X99">
        <f>HYPERLINK("https://klasma.github.io/Logging_0685/tillsyn/A 10919-2023 tillsynsbegäran.docx", "A 10919-2023")</f>
        <v/>
      </c>
      <c r="Y99">
        <f>HYPERLINK("https://klasma.github.io/Logging_0685/tillsynsmail/A 10919-2023 tillsynsbegäran mail.docx", "A 10919-2023")</f>
        <v/>
      </c>
    </row>
    <row r="100" ht="15" customHeight="1">
      <c r="A100" t="inlineStr">
        <is>
          <t>A 14083-2023</t>
        </is>
      </c>
      <c r="B100" s="1" t="n">
        <v>45009</v>
      </c>
      <c r="C100" s="1" t="n">
        <v>45754</v>
      </c>
      <c r="D100" t="inlineStr">
        <is>
          <t>JÖNKÖPINGS LÄN</t>
        </is>
      </c>
      <c r="E100" t="inlineStr">
        <is>
          <t>VETLANDA</t>
        </is>
      </c>
      <c r="G100" t="n">
        <v>2.2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HYPERLINK("https://klasma.github.io/Logging_0685/artfynd/A 14083-2023 artfynd.xlsx", "A 14083-2023")</f>
        <v/>
      </c>
      <c r="T100">
        <f>HYPERLINK("https://klasma.github.io/Logging_0685/kartor/A 14083-2023 karta.png", "A 14083-2023")</f>
        <v/>
      </c>
      <c r="V100">
        <f>HYPERLINK("https://klasma.github.io/Logging_0685/klagomål/A 14083-2023 FSC-klagomål.docx", "A 14083-2023")</f>
        <v/>
      </c>
      <c r="W100">
        <f>HYPERLINK("https://klasma.github.io/Logging_0685/klagomålsmail/A 14083-2023 FSC-klagomål mail.docx", "A 14083-2023")</f>
        <v/>
      </c>
      <c r="X100">
        <f>HYPERLINK("https://klasma.github.io/Logging_0685/tillsyn/A 14083-2023 tillsynsbegäran.docx", "A 14083-2023")</f>
        <v/>
      </c>
      <c r="Y100">
        <f>HYPERLINK("https://klasma.github.io/Logging_0685/tillsynsmail/A 14083-2023 tillsynsbegäran mail.docx", "A 14083-2023")</f>
        <v/>
      </c>
    </row>
    <row r="101" ht="15" customHeight="1">
      <c r="A101" t="inlineStr">
        <is>
          <t>A 15659-2023</t>
        </is>
      </c>
      <c r="B101" s="1" t="n">
        <v>45021</v>
      </c>
      <c r="C101" s="1" t="n">
        <v>45754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15659-2023 artfynd.xlsx", "A 15659-2023")</f>
        <v/>
      </c>
      <c r="T101">
        <f>HYPERLINK("https://klasma.github.io/Logging_0685/kartor/A 15659-2023 karta.png", "A 15659-2023")</f>
        <v/>
      </c>
      <c r="V101">
        <f>HYPERLINK("https://klasma.github.io/Logging_0685/klagomål/A 15659-2023 FSC-klagomål.docx", "A 15659-2023")</f>
        <v/>
      </c>
      <c r="W101">
        <f>HYPERLINK("https://klasma.github.io/Logging_0685/klagomålsmail/A 15659-2023 FSC-klagomål mail.docx", "A 15659-2023")</f>
        <v/>
      </c>
      <c r="X101">
        <f>HYPERLINK("https://klasma.github.io/Logging_0685/tillsyn/A 15659-2023 tillsynsbegäran.docx", "A 15659-2023")</f>
        <v/>
      </c>
      <c r="Y101">
        <f>HYPERLINK("https://klasma.github.io/Logging_0685/tillsynsmail/A 15659-2023 tillsynsbegäran mail.docx", "A 15659-2023")</f>
        <v/>
      </c>
    </row>
    <row r="102" ht="15" customHeight="1">
      <c r="A102" t="inlineStr">
        <is>
          <t>A 24945-2023</t>
        </is>
      </c>
      <c r="B102" s="1" t="n">
        <v>45085</v>
      </c>
      <c r="C102" s="1" t="n">
        <v>45754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HYPERLINK("https://klasma.github.io/Logging_0685/artfynd/A 24945-2023 artfynd.xlsx", "A 24945-2023")</f>
        <v/>
      </c>
      <c r="T102">
        <f>HYPERLINK("https://klasma.github.io/Logging_0685/kartor/A 24945-2023 karta.png", "A 24945-2023")</f>
        <v/>
      </c>
      <c r="V102">
        <f>HYPERLINK("https://klasma.github.io/Logging_0685/klagomål/A 24945-2023 FSC-klagomål.docx", "A 24945-2023")</f>
        <v/>
      </c>
      <c r="W102">
        <f>HYPERLINK("https://klasma.github.io/Logging_0685/klagomålsmail/A 24945-2023 FSC-klagomål mail.docx", "A 24945-2023")</f>
        <v/>
      </c>
      <c r="X102">
        <f>HYPERLINK("https://klasma.github.io/Logging_0685/tillsyn/A 24945-2023 tillsynsbegäran.docx", "A 24945-2023")</f>
        <v/>
      </c>
      <c r="Y102">
        <f>HYPERLINK("https://klasma.github.io/Logging_0685/tillsynsmail/A 24945-2023 tillsynsbegäran mail.docx", "A 24945-2023")</f>
        <v/>
      </c>
    </row>
    <row r="103" ht="15" customHeight="1">
      <c r="A103" t="inlineStr">
        <is>
          <t>A 27548-2023</t>
        </is>
      </c>
      <c r="B103" s="1" t="n">
        <v>45092</v>
      </c>
      <c r="C103" s="1" t="n">
        <v>45754</v>
      </c>
      <c r="D103" t="inlineStr">
        <is>
          <t>JÖNKÖPINGS LÄN</t>
        </is>
      </c>
      <c r="E103" t="inlineStr">
        <is>
          <t>VETLANDA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27548-2023 artfynd.xlsx", "A 27548-2023")</f>
        <v/>
      </c>
      <c r="T103">
        <f>HYPERLINK("https://klasma.github.io/Logging_0685/kartor/A 27548-2023 karta.png", "A 27548-2023")</f>
        <v/>
      </c>
      <c r="V103">
        <f>HYPERLINK("https://klasma.github.io/Logging_0685/klagomål/A 27548-2023 FSC-klagomål.docx", "A 27548-2023")</f>
        <v/>
      </c>
      <c r="W103">
        <f>HYPERLINK("https://klasma.github.io/Logging_0685/klagomålsmail/A 27548-2023 FSC-klagomål mail.docx", "A 27548-2023")</f>
        <v/>
      </c>
      <c r="X103">
        <f>HYPERLINK("https://klasma.github.io/Logging_0685/tillsyn/A 27548-2023 tillsynsbegäran.docx", "A 27548-2023")</f>
        <v/>
      </c>
      <c r="Y103">
        <f>HYPERLINK("https://klasma.github.io/Logging_0685/tillsynsmail/A 27548-2023 tillsynsbegäran mail.docx", "A 27548-2023")</f>
        <v/>
      </c>
    </row>
    <row r="104" ht="15" customHeight="1">
      <c r="A104" t="inlineStr">
        <is>
          <t>A 28407-2023</t>
        </is>
      </c>
      <c r="B104" s="1" t="n">
        <v>45101</v>
      </c>
      <c r="C104" s="1" t="n">
        <v>45754</v>
      </c>
      <c r="D104" t="inlineStr">
        <is>
          <t>JÖNKÖPINGS LÄN</t>
        </is>
      </c>
      <c r="E104" t="inlineStr">
        <is>
          <t>VETLANDA</t>
        </is>
      </c>
      <c r="G104" t="n">
        <v>3.2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28407-2023 artfynd.xlsx", "A 28407-2023")</f>
        <v/>
      </c>
      <c r="T104">
        <f>HYPERLINK("https://klasma.github.io/Logging_0685/kartor/A 28407-2023 karta.png", "A 28407-2023")</f>
        <v/>
      </c>
      <c r="U104">
        <f>HYPERLINK("https://klasma.github.io/Logging_0685/knärot/A 28407-2023 karta knärot.png", "A 28407-2023")</f>
        <v/>
      </c>
      <c r="V104">
        <f>HYPERLINK("https://klasma.github.io/Logging_0685/klagomål/A 28407-2023 FSC-klagomål.docx", "A 28407-2023")</f>
        <v/>
      </c>
      <c r="W104">
        <f>HYPERLINK("https://klasma.github.io/Logging_0685/klagomålsmail/A 28407-2023 FSC-klagomål mail.docx", "A 28407-2023")</f>
        <v/>
      </c>
      <c r="X104">
        <f>HYPERLINK("https://klasma.github.io/Logging_0685/tillsyn/A 28407-2023 tillsynsbegäran.docx", "A 28407-2023")</f>
        <v/>
      </c>
      <c r="Y104">
        <f>HYPERLINK("https://klasma.github.io/Logging_0685/tillsynsmail/A 28407-2023 tillsynsbegäran mail.docx", "A 28407-2023")</f>
        <v/>
      </c>
    </row>
    <row r="105" ht="15" customHeight="1">
      <c r="A105" t="inlineStr">
        <is>
          <t>A 28829-2023</t>
        </is>
      </c>
      <c r="B105" s="1" t="n">
        <v>45104</v>
      </c>
      <c r="C105" s="1" t="n">
        <v>45754</v>
      </c>
      <c r="D105" t="inlineStr">
        <is>
          <t>JÖNKÖPINGS LÄN</t>
        </is>
      </c>
      <c r="E105" t="inlineStr">
        <is>
          <t>VETLANDA</t>
        </is>
      </c>
      <c r="G105" t="n">
        <v>8.6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 glada</t>
        </is>
      </c>
      <c r="S105">
        <f>HYPERLINK("https://klasma.github.io/Logging_0685/artfynd/A 28829-2023 artfynd.xlsx", "A 28829-2023")</f>
        <v/>
      </c>
      <c r="T105">
        <f>HYPERLINK("https://klasma.github.io/Logging_0685/kartor/A 28829-2023 karta.png", "A 28829-2023")</f>
        <v/>
      </c>
      <c r="V105">
        <f>HYPERLINK("https://klasma.github.io/Logging_0685/klagomål/A 28829-2023 FSC-klagomål.docx", "A 28829-2023")</f>
        <v/>
      </c>
      <c r="W105">
        <f>HYPERLINK("https://klasma.github.io/Logging_0685/klagomålsmail/A 28829-2023 FSC-klagomål mail.docx", "A 28829-2023")</f>
        <v/>
      </c>
      <c r="X105">
        <f>HYPERLINK("https://klasma.github.io/Logging_0685/tillsyn/A 28829-2023 tillsynsbegäran.docx", "A 28829-2023")</f>
        <v/>
      </c>
      <c r="Y105">
        <f>HYPERLINK("https://klasma.github.io/Logging_0685/tillsynsmail/A 28829-2023 tillsynsbegäran mail.docx", "A 28829-2023")</f>
        <v/>
      </c>
      <c r="Z105">
        <f>HYPERLINK("https://klasma.github.io/Logging_0685/fåglar/A 28829-2023 prioriterade fågelarter.docx", "A 28829-2023")</f>
        <v/>
      </c>
    </row>
    <row r="106" ht="15" customHeight="1">
      <c r="A106" t="inlineStr">
        <is>
          <t>A 29027-2023</t>
        </is>
      </c>
      <c r="B106" s="1" t="n">
        <v>45104</v>
      </c>
      <c r="C106" s="1" t="n">
        <v>45754</v>
      </c>
      <c r="D106" t="inlineStr">
        <is>
          <t>JÖNKÖPINGS LÄN</t>
        </is>
      </c>
      <c r="E106" t="inlineStr">
        <is>
          <t>VETLANDA</t>
        </is>
      </c>
      <c r="G106" t="n">
        <v>10.1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29027-2023 artfynd.xlsx", "A 29027-2023")</f>
        <v/>
      </c>
      <c r="T106">
        <f>HYPERLINK("https://klasma.github.io/Logging_0685/kartor/A 29027-2023 karta.png", "A 29027-2023")</f>
        <v/>
      </c>
      <c r="U106">
        <f>HYPERLINK("https://klasma.github.io/Logging_0685/knärot/A 29027-2023 karta knärot.png", "A 29027-2023")</f>
        <v/>
      </c>
      <c r="V106">
        <f>HYPERLINK("https://klasma.github.io/Logging_0685/klagomål/A 29027-2023 FSC-klagomål.docx", "A 29027-2023")</f>
        <v/>
      </c>
      <c r="W106">
        <f>HYPERLINK("https://klasma.github.io/Logging_0685/klagomålsmail/A 29027-2023 FSC-klagomål mail.docx", "A 29027-2023")</f>
        <v/>
      </c>
      <c r="X106">
        <f>HYPERLINK("https://klasma.github.io/Logging_0685/tillsyn/A 29027-2023 tillsynsbegäran.docx", "A 29027-2023")</f>
        <v/>
      </c>
      <c r="Y106">
        <f>HYPERLINK("https://klasma.github.io/Logging_0685/tillsynsmail/A 29027-2023 tillsynsbegäran mail.docx", "A 29027-2023")</f>
        <v/>
      </c>
    </row>
    <row r="107" ht="15" customHeight="1">
      <c r="A107" t="inlineStr">
        <is>
          <t>A 43157-2023</t>
        </is>
      </c>
      <c r="B107" s="1" t="n">
        <v>45183</v>
      </c>
      <c r="C107" s="1" t="n">
        <v>45754</v>
      </c>
      <c r="D107" t="inlineStr">
        <is>
          <t>JÖNKÖPINGS LÄN</t>
        </is>
      </c>
      <c r="E107" t="inlineStr">
        <is>
          <t>VETLANDA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43157-2023 artfynd.xlsx", "A 43157-2023")</f>
        <v/>
      </c>
      <c r="T107">
        <f>HYPERLINK("https://klasma.github.io/Logging_0685/kartor/A 43157-2023 karta.png", "A 43157-2023")</f>
        <v/>
      </c>
      <c r="V107">
        <f>HYPERLINK("https://klasma.github.io/Logging_0685/klagomål/A 43157-2023 FSC-klagomål.docx", "A 43157-2023")</f>
        <v/>
      </c>
      <c r="W107">
        <f>HYPERLINK("https://klasma.github.io/Logging_0685/klagomålsmail/A 43157-2023 FSC-klagomål mail.docx", "A 43157-2023")</f>
        <v/>
      </c>
      <c r="X107">
        <f>HYPERLINK("https://klasma.github.io/Logging_0685/tillsyn/A 43157-2023 tillsynsbegäran.docx", "A 43157-2023")</f>
        <v/>
      </c>
      <c r="Y107">
        <f>HYPERLINK("https://klasma.github.io/Logging_0685/tillsynsmail/A 43157-2023 tillsynsbegäran mail.docx", "A 43157-2023")</f>
        <v/>
      </c>
    </row>
    <row r="108" ht="15" customHeight="1">
      <c r="A108" t="inlineStr">
        <is>
          <t>A 45170-2023</t>
        </is>
      </c>
      <c r="B108" s="1" t="n">
        <v>45191</v>
      </c>
      <c r="C108" s="1" t="n">
        <v>45754</v>
      </c>
      <c r="D108" t="inlineStr">
        <is>
          <t>JÖNKÖPINGS LÄN</t>
        </is>
      </c>
      <c r="E108" t="inlineStr">
        <is>
          <t>VETLANDA</t>
        </is>
      </c>
      <c r="G108" t="n">
        <v>4.2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HYPERLINK("https://klasma.github.io/Logging_0685/artfynd/A 45170-2023 artfynd.xlsx", "A 45170-2023")</f>
        <v/>
      </c>
      <c r="T108">
        <f>HYPERLINK("https://klasma.github.io/Logging_0685/kartor/A 45170-2023 karta.png", "A 45170-2023")</f>
        <v/>
      </c>
      <c r="V108">
        <f>HYPERLINK("https://klasma.github.io/Logging_0685/klagomål/A 45170-2023 FSC-klagomål.docx", "A 45170-2023")</f>
        <v/>
      </c>
      <c r="W108">
        <f>HYPERLINK("https://klasma.github.io/Logging_0685/klagomålsmail/A 45170-2023 FSC-klagomål mail.docx", "A 45170-2023")</f>
        <v/>
      </c>
      <c r="X108">
        <f>HYPERLINK("https://klasma.github.io/Logging_0685/tillsyn/A 45170-2023 tillsynsbegäran.docx", "A 45170-2023")</f>
        <v/>
      </c>
      <c r="Y108">
        <f>HYPERLINK("https://klasma.github.io/Logging_0685/tillsynsmail/A 45170-2023 tillsynsbegäran mail.docx", "A 45170-2023")</f>
        <v/>
      </c>
    </row>
    <row r="109" ht="15" customHeight="1">
      <c r="A109" t="inlineStr">
        <is>
          <t>A 57111-2023</t>
        </is>
      </c>
      <c r="B109" s="1" t="n">
        <v>45239</v>
      </c>
      <c r="C109" s="1" t="n">
        <v>45754</v>
      </c>
      <c r="D109" t="inlineStr">
        <is>
          <t>JÖNKÖPINGS LÄN</t>
        </is>
      </c>
      <c r="E109" t="inlineStr">
        <is>
          <t>VETLANDA</t>
        </is>
      </c>
      <c r="F109" t="inlineStr">
        <is>
          <t>Kyrkan</t>
        </is>
      </c>
      <c r="G109" t="n">
        <v>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57111-2023 artfynd.xlsx", "A 57111-2023")</f>
        <v/>
      </c>
      <c r="T109">
        <f>HYPERLINK("https://klasma.github.io/Logging_0685/kartor/A 57111-2023 karta.png", "A 57111-2023")</f>
        <v/>
      </c>
      <c r="V109">
        <f>HYPERLINK("https://klasma.github.io/Logging_0685/klagomål/A 57111-2023 FSC-klagomål.docx", "A 57111-2023")</f>
        <v/>
      </c>
      <c r="W109">
        <f>HYPERLINK("https://klasma.github.io/Logging_0685/klagomålsmail/A 57111-2023 FSC-klagomål mail.docx", "A 57111-2023")</f>
        <v/>
      </c>
      <c r="X109">
        <f>HYPERLINK("https://klasma.github.io/Logging_0685/tillsyn/A 57111-2023 tillsynsbegäran.docx", "A 57111-2023")</f>
        <v/>
      </c>
      <c r="Y109">
        <f>HYPERLINK("https://klasma.github.io/Logging_0685/tillsynsmail/A 57111-2023 tillsynsbegäran mail.docx", "A 57111-2023")</f>
        <v/>
      </c>
    </row>
    <row r="110" ht="15" customHeight="1">
      <c r="A110" t="inlineStr">
        <is>
          <t>A 56147-2023</t>
        </is>
      </c>
      <c r="B110" s="1" t="n">
        <v>45240</v>
      </c>
      <c r="C110" s="1" t="n">
        <v>45754</v>
      </c>
      <c r="D110" t="inlineStr">
        <is>
          <t>JÖNKÖPINGS LÄN</t>
        </is>
      </c>
      <c r="E110" t="inlineStr">
        <is>
          <t>VETLANDA</t>
        </is>
      </c>
      <c r="G110" t="n">
        <v>1.2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Gräsull</t>
        </is>
      </c>
      <c r="S110">
        <f>HYPERLINK("https://klasma.github.io/Logging_0685/artfynd/A 56147-2023 artfynd.xlsx", "A 56147-2023")</f>
        <v/>
      </c>
      <c r="T110">
        <f>HYPERLINK("https://klasma.github.io/Logging_0685/kartor/A 56147-2023 karta.png", "A 56147-2023")</f>
        <v/>
      </c>
      <c r="V110">
        <f>HYPERLINK("https://klasma.github.io/Logging_0685/klagomål/A 56147-2023 FSC-klagomål.docx", "A 56147-2023")</f>
        <v/>
      </c>
      <c r="W110">
        <f>HYPERLINK("https://klasma.github.io/Logging_0685/klagomålsmail/A 56147-2023 FSC-klagomål mail.docx", "A 56147-2023")</f>
        <v/>
      </c>
      <c r="X110">
        <f>HYPERLINK("https://klasma.github.io/Logging_0685/tillsyn/A 56147-2023 tillsynsbegäran.docx", "A 56147-2023")</f>
        <v/>
      </c>
      <c r="Y110">
        <f>HYPERLINK("https://klasma.github.io/Logging_0685/tillsynsmail/A 56147-2023 tillsynsbegäran mail.docx", "A 56147-2023")</f>
        <v/>
      </c>
    </row>
    <row r="111" ht="15" customHeight="1">
      <c r="A111" t="inlineStr">
        <is>
          <t>A 60971-2023</t>
        </is>
      </c>
      <c r="B111" s="1" t="n">
        <v>45261</v>
      </c>
      <c r="C111" s="1" t="n">
        <v>45754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60971-2023 artfynd.xlsx", "A 60971-2023")</f>
        <v/>
      </c>
      <c r="T111">
        <f>HYPERLINK("https://klasma.github.io/Logging_0685/kartor/A 60971-2023 karta.png", "A 60971-2023")</f>
        <v/>
      </c>
      <c r="V111">
        <f>HYPERLINK("https://klasma.github.io/Logging_0685/klagomål/A 60971-2023 FSC-klagomål.docx", "A 60971-2023")</f>
        <v/>
      </c>
      <c r="W111">
        <f>HYPERLINK("https://klasma.github.io/Logging_0685/klagomålsmail/A 60971-2023 FSC-klagomål mail.docx", "A 60971-2023")</f>
        <v/>
      </c>
      <c r="X111">
        <f>HYPERLINK("https://klasma.github.io/Logging_0685/tillsyn/A 60971-2023 tillsynsbegäran.docx", "A 60971-2023")</f>
        <v/>
      </c>
      <c r="Y111">
        <f>HYPERLINK("https://klasma.github.io/Logging_0685/tillsynsmail/A 60971-2023 tillsynsbegäran mail.docx", "A 60971-2023")</f>
        <v/>
      </c>
    </row>
    <row r="112" ht="15" customHeight="1">
      <c r="A112" t="inlineStr">
        <is>
          <t>A 555-2024</t>
        </is>
      </c>
      <c r="B112" s="1" t="n">
        <v>45299</v>
      </c>
      <c r="C112" s="1" t="n">
        <v>45754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Skogsödla</t>
        </is>
      </c>
      <c r="S112">
        <f>HYPERLINK("https://klasma.github.io/Logging_0685/artfynd/A 555-2024 artfynd.xlsx", "A 555-2024")</f>
        <v/>
      </c>
      <c r="T112">
        <f>HYPERLINK("https://klasma.github.io/Logging_0685/kartor/A 555-2024 karta.png", "A 555-2024")</f>
        <v/>
      </c>
      <c r="V112">
        <f>HYPERLINK("https://klasma.github.io/Logging_0685/klagomål/A 555-2024 FSC-klagomål.docx", "A 555-2024")</f>
        <v/>
      </c>
      <c r="W112">
        <f>HYPERLINK("https://klasma.github.io/Logging_0685/klagomålsmail/A 555-2024 FSC-klagomål mail.docx", "A 555-2024")</f>
        <v/>
      </c>
      <c r="X112">
        <f>HYPERLINK("https://klasma.github.io/Logging_0685/tillsyn/A 555-2024 tillsynsbegäran.docx", "A 555-2024")</f>
        <v/>
      </c>
      <c r="Y112">
        <f>HYPERLINK("https://klasma.github.io/Logging_0685/tillsynsmail/A 555-2024 tillsynsbegäran mail.docx", "A 555-2024")</f>
        <v/>
      </c>
    </row>
    <row r="113" ht="15" customHeight="1">
      <c r="A113" t="inlineStr">
        <is>
          <t>A 3135-2024</t>
        </is>
      </c>
      <c r="B113" s="1" t="n">
        <v>45316</v>
      </c>
      <c r="C113" s="1" t="n">
        <v>45754</v>
      </c>
      <c r="D113" t="inlineStr">
        <is>
          <t>JÖNKÖPINGS LÄN</t>
        </is>
      </c>
      <c r="E113" t="inlineStr">
        <is>
          <t>VETLANDA</t>
        </is>
      </c>
      <c r="G113" t="n">
        <v>7.3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HYPERLINK("https://klasma.github.io/Logging_0685/artfynd/A 3135-2024 artfynd.xlsx", "A 3135-2024")</f>
        <v/>
      </c>
      <c r="T113">
        <f>HYPERLINK("https://klasma.github.io/Logging_0685/kartor/A 3135-2024 karta.png", "A 3135-2024")</f>
        <v/>
      </c>
      <c r="V113">
        <f>HYPERLINK("https://klasma.github.io/Logging_0685/klagomål/A 3135-2024 FSC-klagomål.docx", "A 3135-2024")</f>
        <v/>
      </c>
      <c r="W113">
        <f>HYPERLINK("https://klasma.github.io/Logging_0685/klagomålsmail/A 3135-2024 FSC-klagomål mail.docx", "A 3135-2024")</f>
        <v/>
      </c>
      <c r="X113">
        <f>HYPERLINK("https://klasma.github.io/Logging_0685/tillsyn/A 3135-2024 tillsynsbegäran.docx", "A 3135-2024")</f>
        <v/>
      </c>
      <c r="Y113">
        <f>HYPERLINK("https://klasma.github.io/Logging_0685/tillsynsmail/A 3135-2024 tillsynsbegäran mail.docx", "A 3135-2024")</f>
        <v/>
      </c>
    </row>
    <row r="114" ht="15" customHeight="1">
      <c r="A114" t="inlineStr">
        <is>
          <t>A 6777-2024</t>
        </is>
      </c>
      <c r="B114" s="1" t="n">
        <v>45342</v>
      </c>
      <c r="C114" s="1" t="n">
        <v>45754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HYPERLINK("https://klasma.github.io/Logging_0685/artfynd/A 6777-2024 artfynd.xlsx", "A 6777-2024")</f>
        <v/>
      </c>
      <c r="T114">
        <f>HYPERLINK("https://klasma.github.io/Logging_0685/kartor/A 6777-2024 karta.png", "A 6777-2024")</f>
        <v/>
      </c>
      <c r="V114">
        <f>HYPERLINK("https://klasma.github.io/Logging_0685/klagomål/A 6777-2024 FSC-klagomål.docx", "A 6777-2024")</f>
        <v/>
      </c>
      <c r="W114">
        <f>HYPERLINK("https://klasma.github.io/Logging_0685/klagomålsmail/A 6777-2024 FSC-klagomål mail.docx", "A 6777-2024")</f>
        <v/>
      </c>
      <c r="X114">
        <f>HYPERLINK("https://klasma.github.io/Logging_0685/tillsyn/A 6777-2024 tillsynsbegäran.docx", "A 6777-2024")</f>
        <v/>
      </c>
      <c r="Y114">
        <f>HYPERLINK("https://klasma.github.io/Logging_0685/tillsynsmail/A 6777-2024 tillsynsbegäran mail.docx", "A 6777-2024")</f>
        <v/>
      </c>
    </row>
    <row r="115" ht="15" customHeight="1">
      <c r="A115" t="inlineStr">
        <is>
          <t>A 8677-2024</t>
        </is>
      </c>
      <c r="B115" s="1" t="n">
        <v>45352</v>
      </c>
      <c r="C115" s="1" t="n">
        <v>45754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8677-2024 artfynd.xlsx", "A 8677-2024")</f>
        <v/>
      </c>
      <c r="T115">
        <f>HYPERLINK("https://klasma.github.io/Logging_0685/kartor/A 8677-2024 karta.png", "A 8677-2024")</f>
        <v/>
      </c>
      <c r="V115">
        <f>HYPERLINK("https://klasma.github.io/Logging_0685/klagomål/A 8677-2024 FSC-klagomål.docx", "A 8677-2024")</f>
        <v/>
      </c>
      <c r="W115">
        <f>HYPERLINK("https://klasma.github.io/Logging_0685/klagomålsmail/A 8677-2024 FSC-klagomål mail.docx", "A 8677-2024")</f>
        <v/>
      </c>
      <c r="X115">
        <f>HYPERLINK("https://klasma.github.io/Logging_0685/tillsyn/A 8677-2024 tillsynsbegäran.docx", "A 8677-2024")</f>
        <v/>
      </c>
      <c r="Y115">
        <f>HYPERLINK("https://klasma.github.io/Logging_0685/tillsynsmail/A 8677-2024 tillsynsbegäran mail.docx", "A 8677-2024")</f>
        <v/>
      </c>
    </row>
    <row r="116" ht="15" customHeight="1">
      <c r="A116" t="inlineStr">
        <is>
          <t>A 8976-2024</t>
        </is>
      </c>
      <c r="B116" s="1" t="n">
        <v>45357</v>
      </c>
      <c r="C116" s="1" t="n">
        <v>45754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Loppstarr</t>
        </is>
      </c>
      <c r="S116">
        <f>HYPERLINK("https://klasma.github.io/Logging_0685/artfynd/A 8976-2024 artfynd.xlsx", "A 8976-2024")</f>
        <v/>
      </c>
      <c r="T116">
        <f>HYPERLINK("https://klasma.github.io/Logging_0685/kartor/A 8976-2024 karta.png", "A 8976-2024")</f>
        <v/>
      </c>
      <c r="V116">
        <f>HYPERLINK("https://klasma.github.io/Logging_0685/klagomål/A 8976-2024 FSC-klagomål.docx", "A 8976-2024")</f>
        <v/>
      </c>
      <c r="W116">
        <f>HYPERLINK("https://klasma.github.io/Logging_0685/klagomålsmail/A 8976-2024 FSC-klagomål mail.docx", "A 8976-2024")</f>
        <v/>
      </c>
      <c r="X116">
        <f>HYPERLINK("https://klasma.github.io/Logging_0685/tillsyn/A 8976-2024 tillsynsbegäran.docx", "A 8976-2024")</f>
        <v/>
      </c>
      <c r="Y116">
        <f>HYPERLINK("https://klasma.github.io/Logging_0685/tillsynsmail/A 8976-2024 tillsynsbegäran mail.docx", "A 8976-2024")</f>
        <v/>
      </c>
    </row>
    <row r="117" ht="15" customHeight="1">
      <c r="A117" t="inlineStr">
        <is>
          <t>A 15177-2024</t>
        </is>
      </c>
      <c r="B117" s="1" t="n">
        <v>45400</v>
      </c>
      <c r="C117" s="1" t="n">
        <v>45754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20.9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HYPERLINK("https://klasma.github.io/Logging_0685/artfynd/A 15177-2024 artfynd.xlsx", "A 15177-2024")</f>
        <v/>
      </c>
      <c r="T117">
        <f>HYPERLINK("https://klasma.github.io/Logging_0685/kartor/A 15177-2024 karta.png", "A 15177-2024")</f>
        <v/>
      </c>
      <c r="U117">
        <f>HYPERLINK("https://klasma.github.io/Logging_0685/knärot/A 15177-2024 karta knärot.png", "A 15177-2024")</f>
        <v/>
      </c>
      <c r="V117">
        <f>HYPERLINK("https://klasma.github.io/Logging_0685/klagomål/A 15177-2024 FSC-klagomål.docx", "A 15177-2024")</f>
        <v/>
      </c>
      <c r="W117">
        <f>HYPERLINK("https://klasma.github.io/Logging_0685/klagomålsmail/A 15177-2024 FSC-klagomål mail.docx", "A 15177-2024")</f>
        <v/>
      </c>
      <c r="X117">
        <f>HYPERLINK("https://klasma.github.io/Logging_0685/tillsyn/A 15177-2024 tillsynsbegäran.docx", "A 15177-2024")</f>
        <v/>
      </c>
      <c r="Y117">
        <f>HYPERLINK("https://klasma.github.io/Logging_0685/tillsynsmail/A 15177-2024 tillsynsbegäran mail.docx", "A 15177-2024")</f>
        <v/>
      </c>
    </row>
    <row r="118" ht="15" customHeight="1">
      <c r="A118" t="inlineStr">
        <is>
          <t>A 16508-2024</t>
        </is>
      </c>
      <c r="B118" s="1" t="n">
        <v>45408</v>
      </c>
      <c r="C118" s="1" t="n">
        <v>45754</v>
      </c>
      <c r="D118" t="inlineStr">
        <is>
          <t>JÖNKÖPINGS LÄN</t>
        </is>
      </c>
      <c r="E118" t="inlineStr">
        <is>
          <t>VETLANDA</t>
        </is>
      </c>
      <c r="G118" t="n">
        <v>4.4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16508-2024 artfynd.xlsx", "A 16508-2024")</f>
        <v/>
      </c>
      <c r="T118">
        <f>HYPERLINK("https://klasma.github.io/Logging_0685/kartor/A 16508-2024 karta.png", "A 16508-2024")</f>
        <v/>
      </c>
      <c r="V118">
        <f>HYPERLINK("https://klasma.github.io/Logging_0685/klagomål/A 16508-2024 FSC-klagomål.docx", "A 16508-2024")</f>
        <v/>
      </c>
      <c r="W118">
        <f>HYPERLINK("https://klasma.github.io/Logging_0685/klagomålsmail/A 16508-2024 FSC-klagomål mail.docx", "A 16508-2024")</f>
        <v/>
      </c>
      <c r="X118">
        <f>HYPERLINK("https://klasma.github.io/Logging_0685/tillsyn/A 16508-2024 tillsynsbegäran.docx", "A 16508-2024")</f>
        <v/>
      </c>
      <c r="Y118">
        <f>HYPERLINK("https://klasma.github.io/Logging_0685/tillsynsmail/A 16508-2024 tillsynsbegäran mail.docx", "A 16508-2024")</f>
        <v/>
      </c>
    </row>
    <row r="119" ht="15" customHeight="1">
      <c r="A119" t="inlineStr">
        <is>
          <t>A 17874-2024</t>
        </is>
      </c>
      <c r="B119" s="1" t="n">
        <v>45419</v>
      </c>
      <c r="C119" s="1" t="n">
        <v>45754</v>
      </c>
      <c r="D119" t="inlineStr">
        <is>
          <t>JÖNKÖPINGS LÄN</t>
        </is>
      </c>
      <c r="E119" t="inlineStr">
        <is>
          <t>VETLANDA</t>
        </is>
      </c>
      <c r="G119" t="n">
        <v>3.8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Dvärghäxört</t>
        </is>
      </c>
      <c r="S119">
        <f>HYPERLINK("https://klasma.github.io/Logging_0685/artfynd/A 17874-2024 artfynd.xlsx", "A 17874-2024")</f>
        <v/>
      </c>
      <c r="T119">
        <f>HYPERLINK("https://klasma.github.io/Logging_0685/kartor/A 17874-2024 karta.png", "A 17874-2024")</f>
        <v/>
      </c>
      <c r="V119">
        <f>HYPERLINK("https://klasma.github.io/Logging_0685/klagomål/A 17874-2024 FSC-klagomål.docx", "A 17874-2024")</f>
        <v/>
      </c>
      <c r="W119">
        <f>HYPERLINK("https://klasma.github.io/Logging_0685/klagomålsmail/A 17874-2024 FSC-klagomål mail.docx", "A 17874-2024")</f>
        <v/>
      </c>
      <c r="X119">
        <f>HYPERLINK("https://klasma.github.io/Logging_0685/tillsyn/A 17874-2024 tillsynsbegäran.docx", "A 17874-2024")</f>
        <v/>
      </c>
      <c r="Y119">
        <f>HYPERLINK("https://klasma.github.io/Logging_0685/tillsynsmail/A 17874-2024 tillsynsbegäran mail.docx", "A 17874-2024")</f>
        <v/>
      </c>
    </row>
    <row r="120" ht="15" customHeight="1">
      <c r="A120" t="inlineStr">
        <is>
          <t>A 22965-2024</t>
        </is>
      </c>
      <c r="B120" s="1" t="n">
        <v>45449</v>
      </c>
      <c r="C120" s="1" t="n">
        <v>45754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HYPERLINK("https://klasma.github.io/Logging_0685/artfynd/A 22965-2024 artfynd.xlsx", "A 22965-2024")</f>
        <v/>
      </c>
      <c r="T120">
        <f>HYPERLINK("https://klasma.github.io/Logging_0685/kartor/A 22965-2024 karta.png", "A 22965-2024")</f>
        <v/>
      </c>
      <c r="V120">
        <f>HYPERLINK("https://klasma.github.io/Logging_0685/klagomål/A 22965-2024 FSC-klagomål.docx", "A 22965-2024")</f>
        <v/>
      </c>
      <c r="W120">
        <f>HYPERLINK("https://klasma.github.io/Logging_0685/klagomålsmail/A 22965-2024 FSC-klagomål mail.docx", "A 22965-2024")</f>
        <v/>
      </c>
      <c r="X120">
        <f>HYPERLINK("https://klasma.github.io/Logging_0685/tillsyn/A 22965-2024 tillsynsbegäran.docx", "A 22965-2024")</f>
        <v/>
      </c>
      <c r="Y120">
        <f>HYPERLINK("https://klasma.github.io/Logging_0685/tillsynsmail/A 22965-2024 tillsynsbegäran mail.docx", "A 22965-2024")</f>
        <v/>
      </c>
      <c r="Z120">
        <f>HYPERLINK("https://klasma.github.io/Logging_0685/fåglar/A 22965-2024 prioriterade fågelarter.docx", "A 22965-2024")</f>
        <v/>
      </c>
    </row>
    <row r="121" ht="15" customHeight="1">
      <c r="A121" t="inlineStr">
        <is>
          <t>A 28783-2024</t>
        </is>
      </c>
      <c r="B121" s="1" t="n">
        <v>45478</v>
      </c>
      <c r="C121" s="1" t="n">
        <v>45754</v>
      </c>
      <c r="D121" t="inlineStr">
        <is>
          <t>JÖNKÖPINGS LÄN</t>
        </is>
      </c>
      <c r="E121" t="inlineStr">
        <is>
          <t>VETLANDA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28783-2024 artfynd.xlsx", "A 28783-2024")</f>
        <v/>
      </c>
      <c r="T121">
        <f>HYPERLINK("https://klasma.github.io/Logging_0685/kartor/A 28783-2024 karta.png", "A 28783-2024")</f>
        <v/>
      </c>
      <c r="V121">
        <f>HYPERLINK("https://klasma.github.io/Logging_0685/klagomål/A 28783-2024 FSC-klagomål.docx", "A 28783-2024")</f>
        <v/>
      </c>
      <c r="W121">
        <f>HYPERLINK("https://klasma.github.io/Logging_0685/klagomålsmail/A 28783-2024 FSC-klagomål mail.docx", "A 28783-2024")</f>
        <v/>
      </c>
      <c r="X121">
        <f>HYPERLINK("https://klasma.github.io/Logging_0685/tillsyn/A 28783-2024 tillsynsbegäran.docx", "A 28783-2024")</f>
        <v/>
      </c>
      <c r="Y121">
        <f>HYPERLINK("https://klasma.github.io/Logging_0685/tillsynsmail/A 28783-2024 tillsynsbegäran mail.docx", "A 28783-2024")</f>
        <v/>
      </c>
    </row>
    <row r="122" ht="15" customHeight="1">
      <c r="A122" t="inlineStr">
        <is>
          <t>A 33744-2024</t>
        </is>
      </c>
      <c r="B122" s="1" t="n">
        <v>45520</v>
      </c>
      <c r="C122" s="1" t="n">
        <v>45754</v>
      </c>
      <c r="D122" t="inlineStr">
        <is>
          <t>JÖNKÖPINGS LÄN</t>
        </is>
      </c>
      <c r="E122" t="inlineStr">
        <is>
          <t>VETLANDA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HYPERLINK("https://klasma.github.io/Logging_0685/artfynd/A 33744-2024 artfynd.xlsx", "A 33744-2024")</f>
        <v/>
      </c>
      <c r="T122">
        <f>HYPERLINK("https://klasma.github.io/Logging_0685/kartor/A 33744-2024 karta.png", "A 33744-2024")</f>
        <v/>
      </c>
      <c r="V122">
        <f>HYPERLINK("https://klasma.github.io/Logging_0685/klagomål/A 33744-2024 FSC-klagomål.docx", "A 33744-2024")</f>
        <v/>
      </c>
      <c r="W122">
        <f>HYPERLINK("https://klasma.github.io/Logging_0685/klagomålsmail/A 33744-2024 FSC-klagomål mail.docx", "A 33744-2024")</f>
        <v/>
      </c>
      <c r="X122">
        <f>HYPERLINK("https://klasma.github.io/Logging_0685/tillsyn/A 33744-2024 tillsynsbegäran.docx", "A 33744-2024")</f>
        <v/>
      </c>
      <c r="Y122">
        <f>HYPERLINK("https://klasma.github.io/Logging_0685/tillsynsmail/A 33744-2024 tillsynsbegäran mail.docx", "A 33744-2024")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45754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45754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45754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45754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45754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45754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45754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45754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45754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45754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45754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45754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45754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45754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45754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45754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45754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45754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45754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45754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45754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45754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45754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45754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45754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45754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45754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45754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45754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45754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45754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45754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45754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45754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45754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45754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45754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45754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45754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45754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45754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45754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45754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45754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45754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45754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45754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45754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45754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45754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45754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45754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45754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45754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45754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45754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45754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45754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45754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45754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45754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45754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45754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45754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45754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45754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45754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45754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45754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45754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45754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45754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45754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45754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45754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45754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45754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45754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45754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45754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45754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45754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45754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45754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45754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45754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45754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45754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45754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45754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45754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45754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45754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45754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45754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45754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45754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45754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45754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45754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45754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45754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45754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45754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45754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45754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45754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45754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45754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45754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45754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45754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45754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45754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45754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45754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45754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45754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45754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45754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45754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45754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45754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45754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45754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45754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45754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45754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45754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45754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45754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45754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45754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45754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45754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45754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45754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45754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45754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45754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45754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45754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45754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45754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45754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45754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45754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45754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45754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45754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45754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45754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45754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45754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45754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45754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45754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45754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45754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45754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45754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45754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45754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45754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45754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45754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45754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45754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45754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45754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45754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45754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45754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45754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45754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45754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45754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45754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45754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45754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45754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45754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45754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45754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45754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45754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45754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45754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45754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45754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45754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45754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45754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45754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45754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45754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45754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45754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45754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45754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45754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45754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45754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45754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45754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45754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45754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45754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45754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45754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45754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45754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45754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45754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45754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45754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45754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45754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45754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45754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45754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45754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45754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45754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45754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45754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45754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45754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45754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45754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45754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45754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45754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45754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45754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45754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45754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45754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45754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45754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45754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45754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45754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45754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45754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45754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45754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45754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45754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45754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45754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45754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45754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45754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45754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45754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45754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45754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45754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45754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45754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45754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45754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45754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45754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45754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45754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45754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45754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45754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45754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45754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45754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45754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45754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45754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45754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45754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45754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45754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45754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45754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45754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45754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45754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45754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45754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45754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45754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45754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45754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45754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45754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45754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45754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45754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45754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45754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45754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45754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45754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45754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45754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45754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45754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45754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45754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45754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45754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45754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45754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45754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45754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45754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45754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45754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45754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45754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45754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45754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45754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45754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45754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45754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45754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45754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45754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45754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45754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45754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45754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45754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45754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45754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45754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45754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45754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45754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45754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45754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45754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45754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45754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45754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45754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45754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45754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45754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45754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45754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45754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45754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45754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45754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45754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45754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45754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45754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45754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45754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45754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45754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45754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45754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45754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45754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45754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45754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45754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45754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45754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45754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45754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45754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45754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45754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45754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45754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45754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45754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45754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45754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45754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45754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45754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45754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45754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45754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45754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45754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45754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45754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45754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45754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45754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45754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45754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45754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45754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45754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45754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45754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45754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45754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45754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45754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45754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45754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45754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45754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45754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45754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45754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45754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45754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45754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45754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45754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45754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45754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45754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45754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45754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45754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45754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45754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45754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45754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45754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45754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45754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45754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45754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45754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45754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45754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45754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45754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45754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45754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45754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45754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45754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45754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45754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45754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45754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45754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45754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45754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45754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45754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45754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45754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45754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45754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45754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45754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45754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45754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45754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45754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45754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45754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45754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45754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45754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45754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45754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45754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45754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45754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45754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45754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45754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45754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45754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45754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45754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45754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45754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45754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45754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45754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45754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45754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45754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45754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45754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45754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45754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45754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45754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45754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45754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45754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45754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45754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45754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45754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45754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45754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45754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45754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45754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45754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45754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45754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45754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45754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45754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45754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45754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45754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45754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45754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45754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45754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45754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45754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45754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45754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45754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45754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45754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45754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45754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45754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45754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45754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45754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45754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45754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45754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45754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45754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45754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45754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45754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45754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45754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45754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45754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45754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45754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45754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45754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45754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45754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45754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45754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45754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45754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45754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45754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45754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45754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45754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45754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45754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45754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45754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45754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45754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45754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45754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45754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45754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45754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45754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45754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45754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45754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45754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45754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45754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45754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45754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45754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45754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45754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45754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45754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45754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45754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45754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45754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45754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45754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45754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45754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45754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45754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45754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45754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45754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45754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45754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45754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45754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45754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45754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45754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45754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45754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45754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45754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45754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45754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45754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45754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45754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45754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45754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45754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45754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45754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45754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45754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45754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45754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45754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45754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45754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45754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45754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45754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45754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45754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45754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45754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45754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45754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45754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45754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45754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45754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45754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45754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45754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45754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45754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45754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45754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45754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45754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45754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45754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45754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45754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45754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45754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45754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45754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45754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45754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45754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45754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45754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45754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45754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45754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45754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45754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45754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45754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45754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45754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45754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45754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45754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45754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45754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45754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45754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45754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45754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45754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45754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45754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45754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45754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45754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45754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45754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45754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45754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45754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45754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45754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45754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45754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45754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45754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45754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45754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45754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45754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45754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45754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45754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45754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45754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45754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45754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45754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45754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45754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45754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45754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45754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45754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45754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45754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45754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45754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45754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45754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45754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45754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45754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45754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45754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45754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45754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45754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45754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45754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45754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45754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45754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45754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45754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45754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45754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45754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45754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45754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45754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45754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45754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45754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45754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45754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45754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45754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45754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45754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45754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45754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45754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45754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45754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45754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45754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45754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45754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45754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45754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45754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45754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45754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45754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45754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45754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45754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45754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45754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45754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45754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45754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45754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45754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45754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45754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45754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45754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45754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45754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45754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45754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45754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45754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45754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45754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45754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45754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45754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45754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45754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45754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45754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45754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45754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45754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45754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45754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45754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45754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45754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45754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45754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45754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45754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45754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45754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45754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45754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45754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45754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45754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45754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45754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45754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45754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45754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45754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45754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45754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45754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45754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45754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45754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45754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45754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45754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45754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45754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45754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45754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45754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45754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45754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45754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45754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45754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45754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45754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45754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45754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45754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45754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45754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45754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45754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45754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45754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45754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45754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45754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45754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45754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45754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45754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45754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45754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45754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45754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45754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45754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45754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45754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45754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45754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45754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45754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45754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45754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45754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45754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45754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45754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45754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45754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45754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45754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45754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45754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45754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45754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45754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45754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45754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45754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45754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45754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45754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45754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45754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45754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45754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45754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45754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45754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45754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45754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45754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45754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45754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45754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45754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45754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45754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45754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45754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45754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45754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45754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45754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45754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45754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45754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45754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45754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45754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45754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45754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45754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45754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45754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45754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45754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45754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45754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45754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45754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45754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45754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45754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45754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45754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45754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45754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45754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45754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45754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45754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45754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45754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45754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45754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45754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45754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45754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45754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45754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45754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45754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45754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45754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45754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45754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45754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45754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45754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45754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45754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45754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45754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45754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45754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45754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45754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45754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45754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45754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45754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45754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45754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45754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45754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45754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45754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45754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45754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45754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45754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45754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45754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45754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45754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45754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45754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45754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45754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45754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45754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45754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45754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45754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45754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45754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45754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45754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45754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45754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45754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45754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45754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45754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45754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45754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45754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45754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45754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45754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45754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45754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45754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45754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45754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45754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45754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45754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45754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45754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45754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45754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45754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45754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45754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45754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45754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45754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45754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45754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45754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45754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45754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45754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45754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45754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45754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45754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45754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45754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45754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45754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45754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45754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45754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45754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45754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45754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45754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45754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45754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45754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45754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45754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45754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45754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45754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45754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45754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45754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45754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45754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45754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45754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45754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45754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45754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45754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45754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45754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45754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45754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45754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45754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45754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45754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45754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45754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45754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45754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45754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45754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45754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45754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45754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45754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45754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45754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45754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45754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45754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45754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45754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45754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45754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45754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45754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45754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45754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45754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45754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45754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45754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45754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45754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45754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45754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45754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45754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45754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45754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45754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45754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45754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45754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45754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45754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45754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45754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45754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45754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45754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45754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45754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45754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45754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45754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45754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45754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45754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45754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45754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45754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45754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45754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45754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45754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45754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45754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45754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45754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45754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45754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45754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45754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45754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45754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45754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45754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45754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45754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45754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45754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45754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45754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45754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45754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45754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45754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45754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45754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45754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45754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45754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45754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45754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45754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45754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45754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45754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45754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45754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45754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45754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45754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45754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45754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45754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45754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45754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45754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45754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45754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45754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45754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45754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45754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45754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45754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45754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45754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45754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45754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45754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45754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45754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45754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45754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45754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45754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45754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45754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45754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45754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45754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45754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45754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45754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45754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45754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45754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45754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45754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45754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45754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45754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45754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45754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45754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45754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45754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45754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45754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45754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45754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45754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45754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45754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45754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45754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45754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45754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45754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45754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45754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45754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45754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45754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45754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45754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45754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45754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45754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45754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45754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45754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45754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45754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45754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45754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45754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45754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45754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45754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45754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45754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45754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45754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45754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45754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45754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45754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45754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45754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45754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45754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45754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45754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45754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45754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45754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45754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45754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45754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45754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45754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45754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45754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45754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45754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45754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45754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45754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45754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45754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45754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45754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45754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45754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45754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45754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45754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45754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45754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45754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45754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45754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45754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45754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45754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45754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45754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45754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45754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45754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45754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45754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45754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45754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45754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45754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45754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45754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45754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45754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45754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45754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45754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45754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45754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45754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45754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45754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45754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45754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45754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45754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45754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45754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45754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45754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45754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45754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45754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45754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45754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45754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45754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45754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45754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45754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45754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45754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45754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45754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45754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45754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45754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45754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45754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45754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45754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45754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45754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45754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45754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45754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45754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45754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45754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45754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45754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45754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45754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45754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45754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45754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45754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45754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45754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45754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45754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45754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45754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45754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45754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45754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45754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45754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45754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45754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45754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45754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45754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45754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45754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45754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45754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45754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45754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45754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45754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45754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45754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45754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45754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45754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45754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45754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45754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45754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45754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45754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45754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45754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45754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45754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45754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45754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45754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45754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45754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45754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45754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45754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45754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45754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45754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45754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45754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45754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45754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45754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45754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45754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45754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45754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45754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45754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45754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45754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45754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45754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45754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45754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45754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45754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45754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45754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45754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45754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45754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45754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45754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45754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45754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45754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45754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45754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45754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45754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45754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45754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45754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45754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45754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45754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45754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45754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45754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45754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45754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45754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45754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45754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45754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45754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45754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45754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45754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45754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45754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45754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45754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45754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45754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45754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45754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45754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45754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45754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45754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45754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45754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45754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45754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45754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45754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45754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45754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45754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45754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45754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45754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45754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45754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45754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45754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45754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45754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45754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45754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45754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45754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45754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45754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45754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45754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45754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45754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45754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45754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45754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45754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45754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45754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45754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45754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45754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45754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45754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45754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45754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45754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45754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45754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45754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45754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45754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45754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45754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45754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45754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45754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45754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45754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45754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45754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45754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45754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45754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45754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45754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45754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45754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45754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45754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45754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45754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45754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45754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45754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45754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45754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45754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45754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45754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45754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45754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45754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45754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45754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45754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45754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45754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45754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45754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45754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45754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45754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45754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45754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45754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45754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45754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45754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45754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45754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45754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45754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45754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45754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45754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45754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45754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45754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45754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45754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45754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45754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45754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45754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45754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45754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45754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45754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45754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45754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45754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45754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45754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45754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45754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45754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45754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45754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45754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45754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45754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45754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45754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45754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45754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45754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45754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45754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45754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45754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45754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45754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45754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45754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45754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45754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45754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45754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45754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45754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45754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45754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45754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45754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45754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45754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45754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45754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45754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45754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45754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45754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45754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45754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45754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45754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45754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45754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45754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45754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45754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45754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45754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45754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45754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45754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45754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45754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45754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45754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45754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45754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45754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45754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45754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45754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45754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45754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45754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45754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45754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45754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45754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45754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45754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45754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45754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45754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45754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45754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45754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45754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45754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45754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45754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45754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45754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45754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45754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45754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45754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45754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45754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45754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45754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45754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45754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45754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45754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45754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45754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45754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45754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45754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45754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45754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45754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45754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45754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45754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45754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45754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45754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45754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45754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45754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45754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45754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45754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45754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45754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45754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45754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45754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45754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45754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45754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45754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45754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45754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45754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45754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45754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45754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45754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45754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45754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45754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45754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45754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45754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45754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45754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45754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45754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45754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45754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45754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45754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45754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45754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45754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45754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45754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45754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45754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45754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45754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45754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45754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45754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45754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45754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45754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45754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45754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45754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45754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45754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45754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45754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45754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45754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45754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45754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45754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45754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45754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45754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45754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45754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45754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45754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45754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45754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45754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45754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45754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45754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45754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45754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45754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45754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45754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45754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45754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45754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45754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45754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45754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45754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45754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45754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45754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45754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45754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45754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45754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45754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45754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45754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45754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45754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45754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45754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45754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45754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45754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45754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45754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45754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45754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45754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45754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45754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45754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45754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45754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45754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45754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45754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45754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45754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45754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45754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45754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45754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45754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45754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45754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45754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45754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45754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45754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45754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45754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45754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45754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45754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45754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45754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45754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45754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45754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45754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45754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45754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45754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45754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45754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45754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45754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45754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45754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45754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45754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45754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45754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45754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45754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45754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45754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45754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45754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45754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45754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45754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45754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45754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45754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45754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45754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45754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45754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45754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45754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45754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45754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45754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45754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45754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45754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45754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45754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45754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45754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45754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45754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45754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45754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45754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45754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45754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45754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45754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45754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45754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45754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45754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45754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45754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45754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45754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45754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45754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45754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45754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45754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45754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45754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45754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45754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45754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45754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45754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45754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45754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45754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45754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45754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45754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45754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45754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45754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45754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45754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45754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45754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45754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45754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45754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45754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45754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45754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45754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45754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45754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45754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45754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45754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45754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45754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45754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45754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45754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45754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45754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45754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45754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45754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45754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45754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45754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45754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45754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45754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45754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45754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45754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45754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45754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45754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45754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45754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45754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45754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45754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45754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45754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45754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45754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45754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45754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45754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45754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45754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45754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45754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45754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45754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45754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45754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45754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45754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45754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45754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45754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45754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45754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45754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45754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45754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45754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45754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45754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45754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45754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45754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45754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45754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45754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45754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45754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45754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45754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45754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45754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45754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45754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45754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45754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45754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45754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45754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45754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45754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45754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45754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45754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45754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45754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45754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45754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45754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45754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45754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45754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45754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45754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45754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45754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45754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12910-2025</t>
        </is>
      </c>
      <c r="B2296" s="1" t="n">
        <v>45733</v>
      </c>
      <c r="C2296" s="1" t="n">
        <v>45754</v>
      </c>
      <c r="D2296" t="inlineStr">
        <is>
          <t>JÖNKÖPINGS LÄN</t>
        </is>
      </c>
      <c r="E2296" t="inlineStr">
        <is>
          <t>VETLANDA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45754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12729-2025</t>
        </is>
      </c>
      <c r="B2298" s="1" t="n">
        <v>45733</v>
      </c>
      <c r="C2298" s="1" t="n">
        <v>45754</v>
      </c>
      <c r="D2298" t="inlineStr">
        <is>
          <t>JÖNKÖPINGS LÄN</t>
        </is>
      </c>
      <c r="E2298" t="inlineStr">
        <is>
          <t>VETLANDA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45754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45754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45754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45754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45754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45754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45754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45754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45754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13812-2025</t>
        </is>
      </c>
      <c r="B2308" s="1" t="n">
        <v>45737</v>
      </c>
      <c r="C2308" s="1" t="n">
        <v>45754</v>
      </c>
      <c r="D2308" t="inlineStr">
        <is>
          <t>JÖNKÖPINGS LÄN</t>
        </is>
      </c>
      <c r="E2308" t="inlineStr">
        <is>
          <t>VETLANDA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45754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45754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45754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45754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45754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13991-2025</t>
        </is>
      </c>
      <c r="B2314" s="1" t="n">
        <v>45739</v>
      </c>
      <c r="C2314" s="1" t="n">
        <v>45754</v>
      </c>
      <c r="D2314" t="inlineStr">
        <is>
          <t>JÖNKÖPINGS LÄN</t>
        </is>
      </c>
      <c r="E2314" t="inlineStr">
        <is>
          <t>VETLANDA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45754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45754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45754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45754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45754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45754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14561-2025</t>
        </is>
      </c>
      <c r="B2321" s="1" t="n">
        <v>45741</v>
      </c>
      <c r="C2321" s="1" t="n">
        <v>45754</v>
      </c>
      <c r="D2321" t="inlineStr">
        <is>
          <t>JÖNKÖPINGS LÄN</t>
        </is>
      </c>
      <c r="E2321" t="inlineStr">
        <is>
          <t>VETLANDA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14750-2025</t>
        </is>
      </c>
      <c r="B2322" s="1" t="n">
        <v>45742</v>
      </c>
      <c r="C2322" s="1" t="n">
        <v>45754</v>
      </c>
      <c r="D2322" t="inlineStr">
        <is>
          <t>JÖNKÖPINGS LÄN</t>
        </is>
      </c>
      <c r="E2322" t="inlineStr">
        <is>
          <t>VETLANDA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14653-2025</t>
        </is>
      </c>
      <c r="B2323" s="1" t="n">
        <v>45742</v>
      </c>
      <c r="C2323" s="1" t="n">
        <v>45754</v>
      </c>
      <c r="D2323" t="inlineStr">
        <is>
          <t>JÖNKÖPINGS LÄN</t>
        </is>
      </c>
      <c r="E2323" t="inlineStr">
        <is>
          <t>VETLANDA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45754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45754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45754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45754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45754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45754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45754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45754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15492-2025</t>
        </is>
      </c>
      <c r="B2332" s="1" t="n">
        <v>45747</v>
      </c>
      <c r="C2332" s="1" t="n">
        <v>45754</v>
      </c>
      <c r="D2332" t="inlineStr">
        <is>
          <t>JÖNKÖPINGS LÄN</t>
        </is>
      </c>
      <c r="E2332" t="inlineStr">
        <is>
          <t>VETLANDA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15498-2025</t>
        </is>
      </c>
      <c r="B2333" s="1" t="n">
        <v>45747</v>
      </c>
      <c r="C2333" s="1" t="n">
        <v>45754</v>
      </c>
      <c r="D2333" t="inlineStr">
        <is>
          <t>JÖNKÖPINGS LÄN</t>
        </is>
      </c>
      <c r="E2333" t="inlineStr">
        <is>
          <t>VETLANDA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45754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45754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45754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45754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45754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45754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45754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45754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45754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45754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16483-2025</t>
        </is>
      </c>
      <c r="B2344" s="1" t="n">
        <v>45751</v>
      </c>
      <c r="C2344" s="1" t="n">
        <v>45754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2025-04-07T16:46:53Z</dcterms:created>
  <dcterms:modified xmlns:dcterms="http://purl.org/dc/terms/" xmlns:xsi="http://www.w3.org/2001/XMLSchema-instance" xsi:type="dcterms:W3CDTF">2025-04-07T16:46:55Z</dcterms:modified>
</cp:coreProperties>
</file>