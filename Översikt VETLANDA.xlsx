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45699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45699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45699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45699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45699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45699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45699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45699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45699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45699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45699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45699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45699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45699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45699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45699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45699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45699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45699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45699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45699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45699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45699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45699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45699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45699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45699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45699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45699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45699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45699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45699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45699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45699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45699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45699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45699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45699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45699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45699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45699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45699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45699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45699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45699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45699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45699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45699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45699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45699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45699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45699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45699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45699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45699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45699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45699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45699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45699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45699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45699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45699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45699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45699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45699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45699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45699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45699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45699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45699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45699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45699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45699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45699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45699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45699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45699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45699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45699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45699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45699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45699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45699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45699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45699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45699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45699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45699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45699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45699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45699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45699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45699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45699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45699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45699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45699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45699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45699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45699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45699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45699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45699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45699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45699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45699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45699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45699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45699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45699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45699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45699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45699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45699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45699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45699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45699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45699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45699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45699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45699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45699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45699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45699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45699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45699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45699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45699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45699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45699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45699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45699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45699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45699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45699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45699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45699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45699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45699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45699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45699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45699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45699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45699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45699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45699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45699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45699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45699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45699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45699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45699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45699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45699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45699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45699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45699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45699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45699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45699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45699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45699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45699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45699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45699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45699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45699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45699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45699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45699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45699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45699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45699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45699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45699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45699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45699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45699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45699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45699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45699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45699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45699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45699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45699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45699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45699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45699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45699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45699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45699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45699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45699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45699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45699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45699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45699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45699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45699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45699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45699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45699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45699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45699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45699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45699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45699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45699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45699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45699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45699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45699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45699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45699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45699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45699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45699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45699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45699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45699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45699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45699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45699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45699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45699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45699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45699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45699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45699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45699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45699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45699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45699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45699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45699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45699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45699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45699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45699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45699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45699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45699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45699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45699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45699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45699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45699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45699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45699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45699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45699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45699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45699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45699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45699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45699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45699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45699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45699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45699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45699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45699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45699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45699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45699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45699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45699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45699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45699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45699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45699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45699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45699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45699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45699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45699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45699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45699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45699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45699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45699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45699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45699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45699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45699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45699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45699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45699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45699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45699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45699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45699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45699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45699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45699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45699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45699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45699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45699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45699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45699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45699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45699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45699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45699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45699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45699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45699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45699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45699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45699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45699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45699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45699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45699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45699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45699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45699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45699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45699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45699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45699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45699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45699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45699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45699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45699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45699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45699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45699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45699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45699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45699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45699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45699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45699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45699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45699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45699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45699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45699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45699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45699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45699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45699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45699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45699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45699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45699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45699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45699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45699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45699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45699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45699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45699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45699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45699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45699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45699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45699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45699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45699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45699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45699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45699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45699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45699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45699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45699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45699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45699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45699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45699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45699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45699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45699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45699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45699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45699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45699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45699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45699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45699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45699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45699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45699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45699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45699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45699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45699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45699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45699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45699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45699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45699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45699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45699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45699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45699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45699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45699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45699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45699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45699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45699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45699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45699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45699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45699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45699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45699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45699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45699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45699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45699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45699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45699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45699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45699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45699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45699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45699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45699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45699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45699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45699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45699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45699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45699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45699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45699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45699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45699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45699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45699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45699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45699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45699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45699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45699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45699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45699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45699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45699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45699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45699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45699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45699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45699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45699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45699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45699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45699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45699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45699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45699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45699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45699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45699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45699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45699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45699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45699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45699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45699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45699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45699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45699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45699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45699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45699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45699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45699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45699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45699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45699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45699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45699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45699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45699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45699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45699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45699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45699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45699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45699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45699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45699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45699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45699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45699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45699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45699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45699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45699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45699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45699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45699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45699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45699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45699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45699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45699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45699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45699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45699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45699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45699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45699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45699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45699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45699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45699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45699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45699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45699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45699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45699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45699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45699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45699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45699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45699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45699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45699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45699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45699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45699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45699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45699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45699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45699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45699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45699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45699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45699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45699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45699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45699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45699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45699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45699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45699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45699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45699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45699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45699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45699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45699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45699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45699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45699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45699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45699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45699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45699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45699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45699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45699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45699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45699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45699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45699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45699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45699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45699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45699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45699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45699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45699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45699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45699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45699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45699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45699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45699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45699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45699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45699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45699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45699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45699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45699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45699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45699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45699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45699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45699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45699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45699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45699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45699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45699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45699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45699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45699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45699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45699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45699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45699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45699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45699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45699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45699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45699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45699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45699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45699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45699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45699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45699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45699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45699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45699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45699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45699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45699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45699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45699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45699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45699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45699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45699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45699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45699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45699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45699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45699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45699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45699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45699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45699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45699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45699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45699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45699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45699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45699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45699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45699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45699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45699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45699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45699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45699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45699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45699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45699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45699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45699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45699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45699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45699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45699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45699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45699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45699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45699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45699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45699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45699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45699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45699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45699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45699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45699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45699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45699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45699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45699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45699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45699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45699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45699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45699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45699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45699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45699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45699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45699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45699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45699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45699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45699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45699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45699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45699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45699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45699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45699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45699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45699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45699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45699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45699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45699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45699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45699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45699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45699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45699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45699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45699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45699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45699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45699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45699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45699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45699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45699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45699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45699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45699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45699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45699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45699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45699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45699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45699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45699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45699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45699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45699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45699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45699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45699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45699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45699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45699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45699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45699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45699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45699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45699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45699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45699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45699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45699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45699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45699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45699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45699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45699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45699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45699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45699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45699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45699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45699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45699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45699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45699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45699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45699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45699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45699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45699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45699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45699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45699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45699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45699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45699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45699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45699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45699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45699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45699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45699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45699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45699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45699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45699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45699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45699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45699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45699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45699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45699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45699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45699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45699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45699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45699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45699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45699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45699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45699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45699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45699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45699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45699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45699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45699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45699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45699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45699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45699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45699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45699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45699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45699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45699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45699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45699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45699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45699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45699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45699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45699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45699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45699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45699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45699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45699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45699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45699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45699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45699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45699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45699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45699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45699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45699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45699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45699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45699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45699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45699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45699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45699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45699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45699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45699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45699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45699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45699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45699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45699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45699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45699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45699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45699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45699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45699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45699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45699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45699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45699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45699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45699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45699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45699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45699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45699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45699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45699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45699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45699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45699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45699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45699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45699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45699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45699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45699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45699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45699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45699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45699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45699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45699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45699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45699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45699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45699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45699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45699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45699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45699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45699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45699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45699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45699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45699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45699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45699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45699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45699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45699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45699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45699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45699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45699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45699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45699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45699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45699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45699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45699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45699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45699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45699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45699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45699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45699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45699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45699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45699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45699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45699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45699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45699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45699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45699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45699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45699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45699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45699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45699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45699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45699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45699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45699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45699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45699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45699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45699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45699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45699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45699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45699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45699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45699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45699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45699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45699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45699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45699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45699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45699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45699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45699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45699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45699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45699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45699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45699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45699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45699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45699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45699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45699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45699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45699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45699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45699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45699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45699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45699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45699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45699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45699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45699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45699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45699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45699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45699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45699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45699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45699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45699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45699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45699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45699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45699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45699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45699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45699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45699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45699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45699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45699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45699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45699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45699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45699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45699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45699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45699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45699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45699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45699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45699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45699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45699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45699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45699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45699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45699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45699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45699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45699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45699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45699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45699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45699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45699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45699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45699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45699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45699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45699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45699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45699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45699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45699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45699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45699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45699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45699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45699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45699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45699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45699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45699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45699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45699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45699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45699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45699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45699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45699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45699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45699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45699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45699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45699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45699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45699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45699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45699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45699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45699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45699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45699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45699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45699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45699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45699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45699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45699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45699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45699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45699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45699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45699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45699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45699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45699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45699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45699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45699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45699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45699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45699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45699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45699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45699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45699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45699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45699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45699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45699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45699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45699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45699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45699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45699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45699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45699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45699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45699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45699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45699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45699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45699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45699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45699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45699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45699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45699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45699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45699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45699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45699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45699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45699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45699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45699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45699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45699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45699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45699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45699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45699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45699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45699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45699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45699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45699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45699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45699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45699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45699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45699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45699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45699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45699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45699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45699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45699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45699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45699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45699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45699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45699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45699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45699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45699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45699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45699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45699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45699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45699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45699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45699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45699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45699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45699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45699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45699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45699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45699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45699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45699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45699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45699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45699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45699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45699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45699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45699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45699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45699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45699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45699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45699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45699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45699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45699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45699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45699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45699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45699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45699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45699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45699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45699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45699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45699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45699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45699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45699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45699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45699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45699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45699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45699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45699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45699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45699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45699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45699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45699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45699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45699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45699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45699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45699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45699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45699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45699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45699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45699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45699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45699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45699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45699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45699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45699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45699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45699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45699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45699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45699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45699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45699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45699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45699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45699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45699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45699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45699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45699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45699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45699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45699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45699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45699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45699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45699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45699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45699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45699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45699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45699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45699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45699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45699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45699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45699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45699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45699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45699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45699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45699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45699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45699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45699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45699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45699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45699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45699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45699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45699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45699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45699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45699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45699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45699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45699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45699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45699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45699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45699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45699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45699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45699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45699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45699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45699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45699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45699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45699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45699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45699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45699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45699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45699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45699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45699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45699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45699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45699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45699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45699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45699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45699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45699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45699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45699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45699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45699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45699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45699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45699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45699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45699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45699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45699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45699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45699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45699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45699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45699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45699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45699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45699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45699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45699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45699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45699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45699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45699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45699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45699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45699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45699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45699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45699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45699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45699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45699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45699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45699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45699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45699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45699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45699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45699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45699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45699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45699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45699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45699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45699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45699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45699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45699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45699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45699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45699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45699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45699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45699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45699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45699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45699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45699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45699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45699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45699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45699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45699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45699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45699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45699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45699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45699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45699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45699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45699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45699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45699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45699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45699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45699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45699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45699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45699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45699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45699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45699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45699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45699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45699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45699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45699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45699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45699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45699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45699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45699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45699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45699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45699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45699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45699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45699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45699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45699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45699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45699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45699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45699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45699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45699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45699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45699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45699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45699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45699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45699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45699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45699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45699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45699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45699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45699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45699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45699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45699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45699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45699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45699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45699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45699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45699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45699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45699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45699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45699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45699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45699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45699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45699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45699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45699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45699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45699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45699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45699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45699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45699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45699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45699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45699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45699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45699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45699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45699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45699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45699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45699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45699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45699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45699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45699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45699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45699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45699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45699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45699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45699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45699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45699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45699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45699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45699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45699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45699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45699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45699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45699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45699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45699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45699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45699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45699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45699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45699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45699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45699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45699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45699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45699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45699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45699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45699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45699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45699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45699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45699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45699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45699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45699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45699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45699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45699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45699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45699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45699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45699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45699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45699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45699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45699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45699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45699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45699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45699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45699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45699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45699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45699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45699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45699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45699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45699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45699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45699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45699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45699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45699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45699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45699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45699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45699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45699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45699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45699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45699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45699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45699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45699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45699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45699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45699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45699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45699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45699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45699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45699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45699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45699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45699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45699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45699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45699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45699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45699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45699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45699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45699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45699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45699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45699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45699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45699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45699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45699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45699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45699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45699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45699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45699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45699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45699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45699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45699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45699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45699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45699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45699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45699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45699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45699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45699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45699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45699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45699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45699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45699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45699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45699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45699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45699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45699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45699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45699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45699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45699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45699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45699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45699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45699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45699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45699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45699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45699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45699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45699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45699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45699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45699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45699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45699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45699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45699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45699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45699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45699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45699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45699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45699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45699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45699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45699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45699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45699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45699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45699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45699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45699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45699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45699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45699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45699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45699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45699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45699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45699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45699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45699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45699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45699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45699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45699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45699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45699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45699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45699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45699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45699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45699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45699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45699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45699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45699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45699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45699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45699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45699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45699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45699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45699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45699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45699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45699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45699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45699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45699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45699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45699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45699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45699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45699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45699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45699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45699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45699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45699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45699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45699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45699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45699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45699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45699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45699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45699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45699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45699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45699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45699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45699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45699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45699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45699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45699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45699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45699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45699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45699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45699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45699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45699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45699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45699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45699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45699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45699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45699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45699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45699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45699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45699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45699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45699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45699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45699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45699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45699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45699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45699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45699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45699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45699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45699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45699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45699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45699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45699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45699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45699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45699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45699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45699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45699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45699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45699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45699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45699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45699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45699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45699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45699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45699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45699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45699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45699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45699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45699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45699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45699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45699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45699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45699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45699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45699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45699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45699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45699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45699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45699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45699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45699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45699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45699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45699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45699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45699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45699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45699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45699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45699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45699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45699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45699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45699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45699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45699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45699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45699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45699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45699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45699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45699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45699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45699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45699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45699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45699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45699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45699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45699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45699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45699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45699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45699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45699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45699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45699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45699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45699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45699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45699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45699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45699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45699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45699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45699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45699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45699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45699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45699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45699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45699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45699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45699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45699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45699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45699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45699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45699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45699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45699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45699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45699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45699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45699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45699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45699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45699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45699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45699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45699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45699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45699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45699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45699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45699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45699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45699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45699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45699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45699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45699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45699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45699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45699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45699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45699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45699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45699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45699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45699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45699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45699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45699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45699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45699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45699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45699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45699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45699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45699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45699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45699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45699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45699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45699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45699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45699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45699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45699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45699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45699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45699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45699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45699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45699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45699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45699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45699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45699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45699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45699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45699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45699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45699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45699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45699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45699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45699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45699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45699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45699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45699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45699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45699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45699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45699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45699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45699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45699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45699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45699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45699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45699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45699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45699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45699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45699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45699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45699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45699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45699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45699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45699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45699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45699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45699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45699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45699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45699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45699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45699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45699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45699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45699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45699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45699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45699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45699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45699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45699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45699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45699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45699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45699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45699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45699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45699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45699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45699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45699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45699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45699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45699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45699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45699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45699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45699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45699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45699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45699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45699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45699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45699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45699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45699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45699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45699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45699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45699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45699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45699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45699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45699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45699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45699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45699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45699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45699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45699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45699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45699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45699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45699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45699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45699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45699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45699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45699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45699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45699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45699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45699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45699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45699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45699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45699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45699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45699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45699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45699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45699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45699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45699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45699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45699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45699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45699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45699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45699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45699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45699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45699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45699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45699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45699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45699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45699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45699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45699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45699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45699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45699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45699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45699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45699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45699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45699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45699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45699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45699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45699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45699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45699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45699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45699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45699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45699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45699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45699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45699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45699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45699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45699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45699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45699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45699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45699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45699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45699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45699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45699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45699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45699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45699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45699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45699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45699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45699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45699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45699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45699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45699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45699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45699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45699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45699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45699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45699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45699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45699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45699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45699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45699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45699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45699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45699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45699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45699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45699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45699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45699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45699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45699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45699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45699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45699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45699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45699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45699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45699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45699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45699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45699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45699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45699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45699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45699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45699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45699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45699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45699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45699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45699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45699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45699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45699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45699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45699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45699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45699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45699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45699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45699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45699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45699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45699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45699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45699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45699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45699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45699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45699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45699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45699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45699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45699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45699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45699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45699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45699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45699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45699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45699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45699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45699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45699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45699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45699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45699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45699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45699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45699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45699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45699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45699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45699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45699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45699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45699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45699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45699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45699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45699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45699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45699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45699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45699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45699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45699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45699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45699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45699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45699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45699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45699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45699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45699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45699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45699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45699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45699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45699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1583-2025</t>
        </is>
      </c>
      <c r="B2184" s="1" t="n">
        <v>45670</v>
      </c>
      <c r="C2184" s="1" t="n">
        <v>45699</v>
      </c>
      <c r="D2184" t="inlineStr">
        <is>
          <t>JÖNKÖPINGS LÄN</t>
        </is>
      </c>
      <c r="E2184" t="inlineStr">
        <is>
          <t>VETLANDA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45699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45699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45699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45699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1950-2025</t>
        </is>
      </c>
      <c r="B2189" s="1" t="n">
        <v>45672</v>
      </c>
      <c r="C2189" s="1" t="n">
        <v>45699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1947-2025</t>
        </is>
      </c>
      <c r="B2190" s="1" t="n">
        <v>45672</v>
      </c>
      <c r="C2190" s="1" t="n">
        <v>45699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45699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1953-2025</t>
        </is>
      </c>
      <c r="B2192" s="1" t="n">
        <v>45672</v>
      </c>
      <c r="C2192" s="1" t="n">
        <v>45699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  <c r="U2192">
        <f>HYPERLINK("https://klasma.github.io/Logging_0685/knärot/A 1953-2025 karta knärot.png", "A 1953-2025")</f>
        <v/>
      </c>
      <c r="V2192">
        <f>HYPERLINK("https://klasma.github.io/Logging_0685/klagomål/A 1953-2025 FSC-klagomål.docx", "A 1953-2025")</f>
        <v/>
      </c>
      <c r="W2192">
        <f>HYPERLINK("https://klasma.github.io/Logging_0685/klagomålsmail/A 1953-2025 FSC-klagomål mail.docx", "A 1953-2025")</f>
        <v/>
      </c>
      <c r="X2192">
        <f>HYPERLINK("https://klasma.github.io/Logging_0685/tillsyn/A 1953-2025 tillsynsbegäran.docx", "A 1953-2025")</f>
        <v/>
      </c>
      <c r="Y2192">
        <f>HYPERLINK("https://klasma.github.io/Logging_0685/tillsynsmail/A 1953-2025 tillsynsbegäran mail.docx", "A 1953-2025")</f>
        <v/>
      </c>
    </row>
    <row r="2193" ht="15" customHeight="1">
      <c r="A2193" t="inlineStr">
        <is>
          <t>A 1960-2025</t>
        </is>
      </c>
      <c r="B2193" s="1" t="n">
        <v>45672</v>
      </c>
      <c r="C2193" s="1" t="n">
        <v>45699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45699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45699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45699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2205-2025</t>
        </is>
      </c>
      <c r="B2197" s="1" t="n">
        <v>45673</v>
      </c>
      <c r="C2197" s="1" t="n">
        <v>45699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45699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45699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45699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2497-2025</t>
        </is>
      </c>
      <c r="B2201" s="1" t="n">
        <v>45674</v>
      </c>
      <c r="C2201" s="1" t="n">
        <v>45699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45699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45699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45699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45699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45699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45699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45699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45699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45699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45699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45699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45699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45699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45699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4064-2025</t>
        </is>
      </c>
      <c r="B2216" s="1" t="n">
        <v>45684</v>
      </c>
      <c r="C2216" s="1" t="n">
        <v>45699</v>
      </c>
      <c r="D2216" t="inlineStr">
        <is>
          <t>JÖNKÖPINGS LÄN</t>
        </is>
      </c>
      <c r="E2216" t="inlineStr">
        <is>
          <t>VETLANDA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4068-2025</t>
        </is>
      </c>
      <c r="B2217" s="1" t="n">
        <v>45684</v>
      </c>
      <c r="C2217" s="1" t="n">
        <v>45699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4066-2025</t>
        </is>
      </c>
      <c r="B2218" s="1" t="n">
        <v>45684</v>
      </c>
      <c r="C2218" s="1" t="n">
        <v>45699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4070-2025</t>
        </is>
      </c>
      <c r="B2219" s="1" t="n">
        <v>45684</v>
      </c>
      <c r="C2219" s="1" t="n">
        <v>45699</v>
      </c>
      <c r="D2219" t="inlineStr">
        <is>
          <t>JÖNKÖPINGS LÄN</t>
        </is>
      </c>
      <c r="E2219" t="inlineStr">
        <is>
          <t>VETLANDA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4061-2025</t>
        </is>
      </c>
      <c r="B2220" s="1" t="n">
        <v>45684</v>
      </c>
      <c r="C2220" s="1" t="n">
        <v>45699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45699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45699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45699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5136-2025</t>
        </is>
      </c>
      <c r="B2224" s="1" t="n">
        <v>45691</v>
      </c>
      <c r="C2224" s="1" t="n">
        <v>45699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5144-2025</t>
        </is>
      </c>
      <c r="B2225" s="1" t="n">
        <v>45691</v>
      </c>
      <c r="C2225" s="1" t="n">
        <v>45699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5148-2025</t>
        </is>
      </c>
      <c r="B2226" s="1" t="n">
        <v>45691</v>
      </c>
      <c r="C2226" s="1" t="n">
        <v>45699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5194-2025</t>
        </is>
      </c>
      <c r="B2227" s="1" t="n">
        <v>45691</v>
      </c>
      <c r="C2227" s="1" t="n">
        <v>45699</v>
      </c>
      <c r="D2227" t="inlineStr">
        <is>
          <t>JÖNKÖPINGS LÄN</t>
        </is>
      </c>
      <c r="E2227" t="inlineStr">
        <is>
          <t>VETLANDA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5163-2025</t>
        </is>
      </c>
      <c r="B2228" s="1" t="n">
        <v>45691</v>
      </c>
      <c r="C2228" s="1" t="n">
        <v>45699</v>
      </c>
      <c r="D2228" t="inlineStr">
        <is>
          <t>JÖNKÖPINGS LÄN</t>
        </is>
      </c>
      <c r="E2228" t="inlineStr">
        <is>
          <t>VETLANDA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5199-2025</t>
        </is>
      </c>
      <c r="B2229" s="1" t="n">
        <v>45691</v>
      </c>
      <c r="C2229" s="1" t="n">
        <v>45699</v>
      </c>
      <c r="D2229" t="inlineStr">
        <is>
          <t>JÖNKÖPINGS LÄN</t>
        </is>
      </c>
      <c r="E2229" t="inlineStr">
        <is>
          <t>VETLANDA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45699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5365-2025</t>
        </is>
      </c>
      <c r="B2231" s="1" t="n">
        <v>45692</v>
      </c>
      <c r="C2231" s="1" t="n">
        <v>45699</v>
      </c>
      <c r="D2231" t="inlineStr">
        <is>
          <t>JÖNKÖPINGS LÄN</t>
        </is>
      </c>
      <c r="E2231" t="inlineStr">
        <is>
          <t>VETLANDA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5379-2025</t>
        </is>
      </c>
      <c r="B2232" s="1" t="n">
        <v>45692</v>
      </c>
      <c r="C2232" s="1" t="n">
        <v>45699</v>
      </c>
      <c r="D2232" t="inlineStr">
        <is>
          <t>JÖNKÖPINGS LÄN</t>
        </is>
      </c>
      <c r="E2232" t="inlineStr">
        <is>
          <t>VETLANDA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5396-2025</t>
        </is>
      </c>
      <c r="B2233" s="1" t="n">
        <v>45692</v>
      </c>
      <c r="C2233" s="1" t="n">
        <v>45699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5492-2025</t>
        </is>
      </c>
      <c r="B2234" s="1" t="n">
        <v>45693</v>
      </c>
      <c r="C2234" s="1" t="n">
        <v>45699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5499-2025</t>
        </is>
      </c>
      <c r="B2235" s="1" t="n">
        <v>45693</v>
      </c>
      <c r="C2235" s="1" t="n">
        <v>45699</v>
      </c>
      <c r="D2235" t="inlineStr">
        <is>
          <t>JÖNKÖPINGS LÄN</t>
        </is>
      </c>
      <c r="E2235" t="inlineStr">
        <is>
          <t>VETLANDA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>
      <c r="A2236" t="inlineStr">
        <is>
          <t>A 6332-2025</t>
        </is>
      </c>
      <c r="B2236" s="1" t="n">
        <v>45698</v>
      </c>
      <c r="C2236" s="1" t="n">
        <v>45699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2025-02-11T17:07:13Z</dcterms:created>
  <dcterms:modified xmlns:dcterms="http://purl.org/dc/terms/" xmlns:xsi="http://www.w3.org/2001/XMLSchema-instance" xsi:type="dcterms:W3CDTF">2025-02-11T17:07:15Z</dcterms:modified>
</cp:coreProperties>
</file>